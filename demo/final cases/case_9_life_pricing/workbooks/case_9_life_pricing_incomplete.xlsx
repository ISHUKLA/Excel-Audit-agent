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 Guide" sheetId="1" state="visible" r:id="rId3"/>
    <sheet name="Context" sheetId="2" state="visible" r:id="rId4"/>
    <sheet name="Product Assumptions" sheetId="3" state="visible" r:id="rId5"/>
    <sheet name="Policy Projection" sheetId="4" state="visible" r:id="rId6"/>
    <sheet name="Cash Flows" sheetId="5" state="visible" r:id="rId7"/>
    <sheet name="Profitability Summary" sheetId="6" state="visible" r:id="rId8"/>
    <sheet name="Independent Pricing Reference" sheetId="7" state="visible" r:id="rId9"/>
  </sheets>
  <definedNames>
    <definedName function="false" hidden="false" name="DiscountFactors" vbProcedure="false">'Cash Flows'!$G$4:$G$9</definedName>
    <definedName function="false" hidden="false" name="NetCashFlows" vbProcedure="false">'Cash Flows'!$F$4:$F$9</definedName>
  </definedName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<sst xmlns="http://schemas.openxmlformats.org/spreadsheetml/2006/main" count="104" uniqueCount="89">
  <si>
    <t xml:space="preserve">Case 9: life pricing with an incomplete reconstruction</t>
  </si>
  <si>
    <t xml:space="preserve">Business problem</t>
  </si>
  <si>
    <t xml:space="preserve">Synthetic protection-product pricing projection used for a launch discussion.</t>
  </si>
  <si>
    <t xml:space="preserve">Workbook result</t>
  </si>
  <si>
    <t xml:space="preserve">The workbook displays a EUR 4.6 million present-value margin.</t>
  </si>
  <si>
    <t xml:space="preserve">Independent context</t>
  </si>
  <si>
    <t xml:space="preserve">A separately controlled pricing result is negative EUR 4.8 million, an illustrative EUR 9.4 million swing.</t>
  </si>
  <si>
    <t xml:space="preserve">Gate 2 output</t>
  </si>
  <si>
    <t xml:space="preserve">Profitability Summary!B8 (designated profitability result).</t>
  </si>
  <si>
    <t xml:space="preserve">Published boundary</t>
  </si>
  <si>
    <t xml:space="preserve">IRR is outside the current reconstruction catalogue and is retained verbatim; SUMPRODUCT reconstructs independently.</t>
  </si>
  <si>
    <t xml:space="preserve">Expected internal result</t>
  </si>
  <si>
    <t xml:space="preserve">INCOMPLETE. The cached workbook result is visible but is not reconstructed or verified.</t>
  </si>
  <si>
    <t xml:space="preserve">Expected external result</t>
  </si>
  <si>
    <t xml:space="preserve">NOT PERFORMED. No accounting-reference figures are supplied.</t>
  </si>
  <si>
    <t xml:space="preserve">Gate 3 demonstration</t>
  </si>
  <si>
    <t xml:space="preserve">Without the explicit existing incomplete-result acknowledgement, Gate 3 blocks and Gate 4/PDF remain unavailable.</t>
  </si>
  <si>
    <t xml:space="preserve">Methodology boundary</t>
  </si>
  <si>
    <t xml:space="preserve">The independent negative result is contextual evidence, not a result certified by Glass Box.</t>
  </si>
  <si>
    <t xml:space="preserve">Manual check</t>
  </si>
  <si>
    <t xml:space="preserve">Expected value</t>
  </si>
  <si>
    <t xml:space="preserve">Location</t>
  </si>
  <si>
    <t xml:space="preserve">Annual premium volume</t>
  </si>
  <si>
    <t xml:space="preserve">Product Assumptions!B4</t>
  </si>
  <si>
    <t xml:space="preserve">Approved lapse</t>
  </si>
  <si>
    <t xml:space="preserve">Product Assumptions!B5</t>
  </si>
  <si>
    <t xml:space="preserve">Embedded lapse</t>
  </si>
  <si>
    <t xml:space="preserve">Policy Projection!C4</t>
  </si>
  <si>
    <t xml:space="preserve">Workbook PV margin</t>
  </si>
  <si>
    <t xml:space="preserve">Profitability Summary!B5</t>
  </si>
  <si>
    <t xml:space="preserve">Independent pricing result</t>
  </si>
  <si>
    <t xml:space="preserve">Independent Pricing Reference!B4</t>
  </si>
  <si>
    <t xml:space="preserve">Illustrative economic swing</t>
  </si>
  <si>
    <t xml:space="preserve">Independent Pricing Reference!B5</t>
  </si>
  <si>
    <t xml:space="preserve">Confirmed workbook context</t>
  </si>
  <si>
    <t xml:space="preserve">Field</t>
  </si>
  <si>
    <t xml:space="preserve">Workbook value</t>
  </si>
  <si>
    <t xml:space="preserve">Entity</t>
  </si>
  <si>
    <t xml:space="preserve">Glass Box Life Belgium SA</t>
  </si>
  <si>
    <t xml:space="preserve">Period</t>
  </si>
  <si>
    <t xml:space="preserve">31 December 2025</t>
  </si>
  <si>
    <t xml:space="preserve">Currency</t>
  </si>
  <si>
    <t xml:space="preserve">EUR</t>
  </si>
  <si>
    <t xml:space="preserve">Basis</t>
  </si>
  <si>
    <t xml:space="preserve">Synthetic life-pricing demonstration</t>
  </si>
  <si>
    <t xml:space="preserve">Data status</t>
  </si>
  <si>
    <t xml:space="preserve">Entirely synthetic</t>
  </si>
  <si>
    <t xml:space="preserve">Approved product assumptions</t>
  </si>
  <si>
    <t xml:space="preserve">Assumption</t>
  </si>
  <si>
    <t xml:space="preserve">Approved value</t>
  </si>
  <si>
    <t xml:space="preserve">Product code</t>
  </si>
  <si>
    <t xml:space="preserve">Claims factor</t>
  </si>
  <si>
    <t xml:space="preserve">Expected annual premium volume</t>
  </si>
  <si>
    <t xml:space="preserve">PROTECT</t>
  </si>
  <si>
    <t xml:space="preserve">Approved annual lapse</t>
  </si>
  <si>
    <t xml:space="preserve">Discount rate</t>
  </si>
  <si>
    <t xml:space="preserve">Claims ratio</t>
  </si>
  <si>
    <t xml:space="preserve">Expense ratio</t>
  </si>
  <si>
    <t xml:space="preserve">Commission ratio</t>
  </si>
  <si>
    <t xml:space="preserve">Acquisition cash outflow</t>
  </si>
  <si>
    <t xml:space="preserve">Policy projection</t>
  </si>
  <si>
    <t xml:space="preserve">The approved 6% lapse is shown separately; the projection embeds 3% in C4.</t>
  </si>
  <si>
    <t xml:space="preserve">Year</t>
  </si>
  <si>
    <t xml:space="preserve">Premium volume</t>
  </si>
  <si>
    <t xml:space="preserve">Lapse used</t>
  </si>
  <si>
    <t xml:space="preserve">In-force flag</t>
  </si>
  <si>
    <t xml:space="preserve">Projection cash flows</t>
  </si>
  <si>
    <t xml:space="preserve">Year zero contains acquisition cash outflow; all later rows are supported intermediate calculations.</t>
  </si>
  <si>
    <t xml:space="preserve">Premium</t>
  </si>
  <si>
    <t xml:space="preserve">Claims</t>
  </si>
  <si>
    <t xml:space="preserve">Expenses</t>
  </si>
  <si>
    <t xml:space="preserve">Commission</t>
  </si>
  <si>
    <t xml:space="preserve">Net cash flow</t>
  </si>
  <si>
    <t xml:space="preserve">Discount factor</t>
  </si>
  <si>
    <t xml:space="preserve">Status</t>
  </si>
  <si>
    <t xml:space="preserve">Included</t>
  </si>
  <si>
    <t xml:space="preserve">Life-product profitability summary</t>
  </si>
  <si>
    <t xml:space="preserve">Cached workbook values are not substitutes for unsupported reconstruction.</t>
  </si>
  <si>
    <t xml:space="preserve">Metric</t>
  </si>
  <si>
    <t xml:space="preserve">Present-value margin</t>
  </si>
  <si>
    <t xml:space="preserve">Internal rate of return</t>
  </si>
  <si>
    <t xml:space="preserve">Profitability ratio</t>
  </si>
  <si>
    <t xml:space="preserve">Designated profitability result</t>
  </si>
  <si>
    <t xml:space="preserve">Included projected premium</t>
  </si>
  <si>
    <t xml:space="preserve">Included projection periods</t>
  </si>
  <si>
    <t xml:space="preserve">Independent pricing reference</t>
  </si>
  <si>
    <t xml:space="preserve">Contextual evidence only; not a result certified by Glass Box.</t>
  </si>
  <si>
    <t xml:space="preserve">Measure</t>
  </si>
  <si>
    <t xml:space="preserve">Controlled value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</si>
</sst>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.0,,\m;[RED]&quot;(€&quot;#,##0.0,,&quot;m)&quot;;\-"/>
    <numFmt numFmtId="166" formatCode="0.0%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/>
      <top style="thin">
        <color rgb="FFB7C9D6"/>
      </top>
      <bottom style="thin">
        <color rgb="FFB7C9D6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90"/>
    <col collapsed="false" customWidth="true" hidden="false" outlineLevel="0" max="3" min="3" style="0" width="34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" t="s">
        <v>1</v>
      </c>
      <c r="B3" s="2" t="s">
        <v>2</v>
      </c>
      <c r="C3" s="2"/>
    </row>
    <row r="4" customFormat="false" ht="15" hidden="false" customHeight="false" outlineLevel="0" collapsed="false">
      <c r="A4" s="2" t="s">
        <v>3</v>
      </c>
      <c r="B4" s="2" t="s">
        <v>4</v>
      </c>
      <c r="C4" s="2"/>
    </row>
    <row r="5" customFormat="false" ht="15" hidden="false" customHeight="false" outlineLevel="0" collapsed="false">
      <c r="A5" s="2" t="s">
        <v>5</v>
      </c>
      <c r="B5" s="2" t="s">
        <v>6</v>
      </c>
      <c r="C5" s="2"/>
    </row>
    <row r="6" customFormat="false" ht="15" hidden="false" customHeight="false" outlineLevel="0" collapsed="false">
      <c r="A6" s="2" t="s">
        <v>7</v>
      </c>
      <c r="B6" s="2" t="s">
        <v>8</v>
      </c>
      <c r="C6" s="2"/>
    </row>
    <row r="7" customFormat="false" ht="15" hidden="false" customHeight="false" outlineLevel="0" collapsed="false">
      <c r="A7" s="2" t="s">
        <v>9</v>
      </c>
      <c r="B7" s="2" t="s">
        <v>10</v>
      </c>
      <c r="C7" s="2"/>
    </row>
    <row r="8" customFormat="false" ht="15" hidden="false" customHeight="false" outlineLevel="0" collapsed="false">
      <c r="A8" s="2" t="s">
        <v>11</v>
      </c>
      <c r="B8" s="2" t="s">
        <v>12</v>
      </c>
      <c r="C8" s="2"/>
    </row>
    <row r="9" customFormat="false" ht="15" hidden="false" customHeight="false" outlineLevel="0" collapsed="false">
      <c r="A9" s="2" t="s">
        <v>13</v>
      </c>
      <c r="B9" s="2" t="s">
        <v>14</v>
      </c>
      <c r="C9" s="2"/>
    </row>
    <row r="10" customFormat="false" ht="15" hidden="false" customHeight="false" outlineLevel="0" collapsed="false">
      <c r="A10" s="2" t="s">
        <v>15</v>
      </c>
      <c r="B10" s="2" t="s">
        <v>16</v>
      </c>
      <c r="C10" s="2"/>
    </row>
    <row r="11" customFormat="false" ht="15" hidden="false" customHeight="false" outlineLevel="0" collapsed="false">
      <c r="A11" s="2" t="s">
        <v>17</v>
      </c>
      <c r="B11" s="2" t="s">
        <v>18</v>
      </c>
      <c r="C11" s="2"/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3" t="s">
        <v>19</v>
      </c>
      <c r="B13" s="4" t="s">
        <v>20</v>
      </c>
      <c r="C13" s="5" t="s">
        <v>21</v>
      </c>
    </row>
    <row r="14" customFormat="false" ht="15" hidden="false" customHeight="false" outlineLevel="0" collapsed="false">
      <c r="A14" s="2" t="s">
        <v>22</v>
      </c>
      <c r="B14" s="6" t="n">
        <v>120000000</v>
      </c>
      <c r="C14" s="2" t="s">
        <v>23</v>
      </c>
    </row>
    <row r="15" customFormat="false" ht="15" hidden="false" customHeight="false" outlineLevel="0" collapsed="false">
      <c r="A15" s="2" t="s">
        <v>24</v>
      </c>
      <c r="B15" s="7" t="n">
        <v>0.06</v>
      </c>
      <c r="C15" s="2" t="s">
        <v>25</v>
      </c>
    </row>
    <row r="16" customFormat="false" ht="15" hidden="false" customHeight="false" outlineLevel="0" collapsed="false">
      <c r="A16" s="2" t="s">
        <v>26</v>
      </c>
      <c r="B16" s="7" t="n">
        <v>0.03</v>
      </c>
      <c r="C16" s="2" t="s">
        <v>27</v>
      </c>
    </row>
    <row r="17" customFormat="false" ht="15" hidden="false" customHeight="false" outlineLevel="0" collapsed="false">
      <c r="A17" s="2" t="s">
        <v>28</v>
      </c>
      <c r="B17" s="6" t="n">
        <v>4600000</v>
      </c>
      <c r="C17" s="2" t="s">
        <v>29</v>
      </c>
    </row>
    <row r="18" customFormat="false" ht="15" hidden="false" customHeight="false" outlineLevel="0" collapsed="false">
      <c r="A18" s="2" t="s">
        <v>30</v>
      </c>
      <c r="B18" s="6" t="n">
        <v>-4800000</v>
      </c>
      <c r="C18" s="2" t="s">
        <v>31</v>
      </c>
    </row>
    <row r="19" customFormat="false" ht="15" hidden="false" customHeight="false" outlineLevel="0" collapsed="false">
      <c r="A19" s="2" t="s">
        <v>32</v>
      </c>
      <c r="B19" s="6" t="n">
        <v>9400000</v>
      </c>
      <c r="C19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</cols>
  <sheetData>
    <row r="1" customFormat="false" ht="24" hidden="false" customHeight="true" outlineLevel="0" collapsed="false">
      <c r="A1" s="1" t="s">
        <v>34</v>
      </c>
      <c r="B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35</v>
      </c>
      <c r="B3" s="5" t="s">
        <v>36</v>
      </c>
    </row>
    <row r="4" customFormat="false" ht="15" hidden="false" customHeight="false" outlineLevel="0" collapsed="false">
      <c r="A4" s="2" t="s">
        <v>37</v>
      </c>
      <c r="B4" s="2" t="s">
        <v>38</v>
      </c>
    </row>
    <row r="5" customFormat="false" ht="15" hidden="false" customHeight="false" outlineLevel="0" collapsed="false">
      <c r="A5" s="2" t="s">
        <v>39</v>
      </c>
      <c r="B5" s="2" t="s">
        <v>40</v>
      </c>
    </row>
    <row r="6" customFormat="false" ht="15" hidden="false" customHeight="false" outlineLevel="0" collapsed="false">
      <c r="A6" s="2" t="s">
        <v>41</v>
      </c>
      <c r="B6" s="2" t="s">
        <v>42</v>
      </c>
    </row>
    <row r="7" customFormat="false" ht="15" hidden="false" customHeight="false" outlineLevel="0" collapsed="false">
      <c r="A7" s="2" t="s">
        <v>43</v>
      </c>
      <c r="B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24" hidden="false" customHeight="true" outlineLevel="0" collapsed="false">
      <c r="A1" s="1" t="s">
        <v>47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48</v>
      </c>
      <c r="B3" s="5" t="s">
        <v>49</v>
      </c>
      <c r="C3" s="2"/>
      <c r="D3" s="2"/>
      <c r="E3" s="3" t="s">
        <v>50</v>
      </c>
      <c r="F3" s="5" t="s">
        <v>51</v>
      </c>
    </row>
    <row r="4" customFormat="false" ht="15" hidden="false" customHeight="false" outlineLevel="0" collapsed="false">
      <c r="A4" s="2" t="s">
        <v>52</v>
      </c>
      <c r="B4" s="8" t="n">
        <v>120000000</v>
      </c>
      <c r="C4" s="2"/>
      <c r="D4" s="2"/>
      <c r="E4" s="2" t="s">
        <v>53</v>
      </c>
      <c r="F4" s="9" t="n">
        <v>0.72</v>
      </c>
    </row>
    <row r="5" customFormat="false" ht="15" hidden="false" customHeight="false" outlineLevel="0" collapsed="false">
      <c r="A5" s="2" t="s">
        <v>54</v>
      </c>
      <c r="B5" s="10" t="n">
        <v>0.06</v>
      </c>
      <c r="C5" s="2"/>
      <c r="D5" s="2"/>
      <c r="E5" s="2"/>
      <c r="F5" s="2"/>
    </row>
    <row r="6" customFormat="false" ht="15" hidden="false" customHeight="false" outlineLevel="0" collapsed="false">
      <c r="A6" s="2" t="s">
        <v>55</v>
      </c>
      <c r="B6" s="10" t="n">
        <v>0.05</v>
      </c>
      <c r="C6" s="2"/>
      <c r="D6" s="2"/>
      <c r="E6" s="2"/>
      <c r="F6" s="2"/>
    </row>
    <row r="7" customFormat="false" ht="15" hidden="false" customHeight="false" outlineLevel="0" collapsed="false">
      <c r="A7" s="2" t="s">
        <v>56</v>
      </c>
      <c r="B7" s="10" t="n">
        <v>0.72</v>
      </c>
      <c r="C7" s="2"/>
      <c r="D7" s="2"/>
      <c r="E7" s="2"/>
      <c r="F7" s="2"/>
    </row>
    <row r="8" customFormat="false" ht="15" hidden="false" customHeight="false" outlineLevel="0" collapsed="false">
      <c r="A8" s="2" t="s">
        <v>57</v>
      </c>
      <c r="B8" s="10" t="n">
        <v>0.1</v>
      </c>
      <c r="C8" s="2"/>
      <c r="D8" s="2"/>
      <c r="E8" s="2"/>
      <c r="F8" s="2"/>
    </row>
    <row r="9" customFormat="false" ht="15" hidden="false" customHeight="false" outlineLevel="0" collapsed="false">
      <c r="A9" s="2" t="s">
        <v>58</v>
      </c>
      <c r="B9" s="10" t="n">
        <v>0.1</v>
      </c>
      <c r="C9" s="2"/>
      <c r="D9" s="2"/>
      <c r="E9" s="2"/>
      <c r="F9" s="2"/>
    </row>
    <row r="10" customFormat="false" ht="15" hidden="false" customHeight="false" outlineLevel="0" collapsed="false">
      <c r="A10" s="2" t="s">
        <v>59</v>
      </c>
      <c r="B10" s="8" t="n">
        <v>34659129.899819</v>
      </c>
      <c r="C10" s="2"/>
      <c r="D10" s="2"/>
      <c r="E10" s="2"/>
      <c r="F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8"/>
  </cols>
  <sheetData>
    <row r="1" customFormat="false" ht="24" hidden="false" customHeight="true" outlineLevel="0" collapsed="false">
      <c r="A1" s="1" t="s">
        <v>60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62</v>
      </c>
      <c r="B3" s="4" t="s">
        <v>63</v>
      </c>
      <c r="C3" s="4" t="s">
        <v>64</v>
      </c>
      <c r="D3" s="4" t="s">
        <v>65</v>
      </c>
      <c r="E3" s="5" t="s">
        <v>50</v>
      </c>
    </row>
    <row r="4" customFormat="false" ht="15" hidden="false" customHeight="false" outlineLevel="0" collapsed="false">
      <c r="A4" s="2" t="n">
        <v>1</v>
      </c>
      <c r="B4" s="11" t="n">
        <f aca="false">'Product Assumptions'!$B$4</f>
        <v>120000000</v>
      </c>
      <c r="C4" s="12" t="n">
        <f aca="false">IF(B4&gt;0,0.03,0)</f>
        <v>0.03</v>
      </c>
      <c r="D4" s="13" t="n">
        <f aca="false">IF(B4&gt;0,1,0)</f>
        <v>1</v>
      </c>
      <c r="E4" s="2" t="s">
        <v>53</v>
      </c>
    </row>
    <row r="5" customFormat="false" ht="15" hidden="false" customHeight="false" outlineLevel="0" collapsed="false">
      <c r="A5" s="2" t="n">
        <v>2</v>
      </c>
      <c r="B5" s="11" t="n">
        <f aca="false">ROUND(B4-B4*C4,0)</f>
        <v>116400000</v>
      </c>
      <c r="C5" s="14" t="n">
        <f aca="false">C4</f>
        <v>0.03</v>
      </c>
      <c r="D5" s="13" t="n">
        <f aca="false">IF(B5&gt;0,1,0)</f>
        <v>1</v>
      </c>
      <c r="E5" s="2" t="s">
        <v>53</v>
      </c>
    </row>
    <row r="6" customFormat="false" ht="15" hidden="false" customHeight="false" outlineLevel="0" collapsed="false">
      <c r="A6" s="2" t="n">
        <v>3</v>
      </c>
      <c r="B6" s="11" t="n">
        <f aca="false">ROUND(B5-B5*C5,0)</f>
        <v>112908000</v>
      </c>
      <c r="C6" s="14" t="n">
        <f aca="false">C4</f>
        <v>0.03</v>
      </c>
      <c r="D6" s="13" t="n">
        <f aca="false">IF(B6&gt;0,1,0)</f>
        <v>1</v>
      </c>
      <c r="E6" s="2" t="s">
        <v>53</v>
      </c>
    </row>
    <row r="7" customFormat="false" ht="15" hidden="false" customHeight="false" outlineLevel="0" collapsed="false">
      <c r="A7" s="2" t="n">
        <v>4</v>
      </c>
      <c r="B7" s="11" t="n">
        <f aca="false">ROUND(B6-B6*C6,0)</f>
        <v>109520760</v>
      </c>
      <c r="C7" s="14" t="n">
        <f aca="false">C4</f>
        <v>0.03</v>
      </c>
      <c r="D7" s="13" t="n">
        <f aca="false">IF(B7&gt;0,1,0)</f>
        <v>1</v>
      </c>
      <c r="E7" s="2" t="s">
        <v>53</v>
      </c>
    </row>
    <row r="8" customFormat="false" ht="15" hidden="false" customHeight="false" outlineLevel="0" collapsed="false">
      <c r="A8" s="2" t="n">
        <v>5</v>
      </c>
      <c r="B8" s="11" t="n">
        <f aca="false">ROUND(B7-B7*C7,0)</f>
        <v>106235137</v>
      </c>
      <c r="C8" s="14" t="n">
        <f aca="false">C4</f>
        <v>0.03</v>
      </c>
      <c r="D8" s="13" t="n">
        <f aca="false">IF(B8&gt;0,1,0)</f>
        <v>1</v>
      </c>
      <c r="E8" s="2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6" min="2" style="0" width="19"/>
    <col collapsed="false" customWidth="true" hidden="false" outlineLevel="0" max="7" min="7" style="0" width="17"/>
    <col collapsed="false" customWidth="true" hidden="false" outlineLevel="0" max="8" min="8" style="0" width="15"/>
  </cols>
  <sheetData>
    <row r="1" customFormat="false" ht="24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67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62</v>
      </c>
      <c r="B3" s="4" t="s">
        <v>68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73</v>
      </c>
      <c r="H3" s="5" t="s">
        <v>74</v>
      </c>
    </row>
    <row r="4" customFormat="false" ht="15" hidden="false" customHeight="false" outlineLevel="0" collapsed="false">
      <c r="A4" s="2" t="n">
        <v>0</v>
      </c>
      <c r="B4" s="6" t="n">
        <v>0</v>
      </c>
      <c r="C4" s="6" t="n">
        <v>0</v>
      </c>
      <c r="D4" s="6" t="n">
        <v>0</v>
      </c>
      <c r="E4" s="6" t="n">
        <v>0</v>
      </c>
      <c r="F4" s="6" t="n">
        <f aca="false">-'Product Assumptions'!$B$10</f>
        <v>-34659129.899819</v>
      </c>
      <c r="G4" s="2" t="n">
        <v>1</v>
      </c>
      <c r="H4" s="2" t="s">
        <v>75</v>
      </c>
    </row>
    <row r="5" customFormat="false" ht="15" hidden="false" customHeight="false" outlineLevel="0" collapsed="false">
      <c r="A5" s="2" t="n">
        <v>1</v>
      </c>
      <c r="B5" s="11" t="n">
        <f aca="false">'Policy Projection'!B4</f>
        <v>120000000</v>
      </c>
      <c r="C5" s="11" t="n">
        <f aca="false">-ROUND(B5*VLOOKUP('Policy Projection'!E4,'Product Assumptions'!$E$4:$F$4,2,FALSE()),0)</f>
        <v>-86400000</v>
      </c>
      <c r="D5" s="11" t="n">
        <f aca="false">-ROUND(B5*'Product Assumptions'!$B$8,0)</f>
        <v>-12000000</v>
      </c>
      <c r="E5" s="11" t="n">
        <f aca="false">-ROUND(B5*'Product Assumptions'!$B$9,0)</f>
        <v>-12000000</v>
      </c>
      <c r="F5" s="11" t="n">
        <f aca="false">SUM(B5:E5)</f>
        <v>9600000</v>
      </c>
      <c r="G5" s="13" t="n">
        <f aca="false">G4/(1+'Product Assumptions'!$B$6)</f>
        <v>0.952380952380952</v>
      </c>
      <c r="H5" s="2" t="s">
        <v>75</v>
      </c>
    </row>
    <row r="6" customFormat="false" ht="15" hidden="false" customHeight="false" outlineLevel="0" collapsed="false">
      <c r="A6" s="2" t="n">
        <v>2</v>
      </c>
      <c r="B6" s="11" t="n">
        <f aca="false">'Policy Projection'!B5</f>
        <v>116400000</v>
      </c>
      <c r="C6" s="11" t="n">
        <f aca="false">-ROUND(B6*VLOOKUP('Policy Projection'!E5,'Product Assumptions'!$E$4:$F$4,2,FALSE()),0)</f>
        <v>-83808000</v>
      </c>
      <c r="D6" s="11" t="n">
        <f aca="false">-ROUND(B6*'Product Assumptions'!$B$8,0)</f>
        <v>-11640000</v>
      </c>
      <c r="E6" s="11" t="n">
        <f aca="false">-ROUND(B6*'Product Assumptions'!$B$9,0)</f>
        <v>-11640000</v>
      </c>
      <c r="F6" s="11" t="n">
        <f aca="false">SUM(B6:E6)</f>
        <v>9312000</v>
      </c>
      <c r="G6" s="13" t="n">
        <f aca="false">G5/(1+'Product Assumptions'!$B$6)</f>
        <v>0.90702947845805</v>
      </c>
      <c r="H6" s="2" t="s">
        <v>75</v>
      </c>
    </row>
    <row r="7" customFormat="false" ht="15" hidden="false" customHeight="false" outlineLevel="0" collapsed="false">
      <c r="A7" s="2" t="n">
        <v>3</v>
      </c>
      <c r="B7" s="11" t="n">
        <f aca="false">'Policy Projection'!B6</f>
        <v>112908000</v>
      </c>
      <c r="C7" s="11" t="n">
        <f aca="false">-ROUND(B7*VLOOKUP('Policy Projection'!E6,'Product Assumptions'!$E$4:$F$4,2,FALSE()),0)</f>
        <v>-81293760</v>
      </c>
      <c r="D7" s="11" t="n">
        <f aca="false">-ROUND(B7*'Product Assumptions'!$B$8,0)</f>
        <v>-11290800</v>
      </c>
      <c r="E7" s="11" t="n">
        <f aca="false">-ROUND(B7*'Product Assumptions'!$B$9,0)</f>
        <v>-11290800</v>
      </c>
      <c r="F7" s="11" t="n">
        <f aca="false">SUM(B7:E7)</f>
        <v>9032640</v>
      </c>
      <c r="G7" s="13" t="n">
        <f aca="false">G6/(1+'Product Assumptions'!$B$6)</f>
        <v>0.863837598531476</v>
      </c>
      <c r="H7" s="2" t="s">
        <v>75</v>
      </c>
    </row>
    <row r="8" customFormat="false" ht="15" hidden="false" customHeight="false" outlineLevel="0" collapsed="false">
      <c r="A8" s="2" t="n">
        <v>4</v>
      </c>
      <c r="B8" s="11" t="n">
        <f aca="false">'Policy Projection'!B7</f>
        <v>109520760</v>
      </c>
      <c r="C8" s="11" t="n">
        <f aca="false">-ROUND(B8*VLOOKUP('Policy Projection'!E7,'Product Assumptions'!$E$4:$F$4,2,FALSE()),0)</f>
        <v>-78854947</v>
      </c>
      <c r="D8" s="11" t="n">
        <f aca="false">-ROUND(B8*'Product Assumptions'!$B$8,0)</f>
        <v>-10952076</v>
      </c>
      <c r="E8" s="11" t="n">
        <f aca="false">-ROUND(B8*'Product Assumptions'!$B$9,0)</f>
        <v>-10952076</v>
      </c>
      <c r="F8" s="11" t="n">
        <f aca="false">SUM(B8:E8)</f>
        <v>8761661</v>
      </c>
      <c r="G8" s="13" t="n">
        <f aca="false">G7/(1+'Product Assumptions'!$B$6)</f>
        <v>0.822702474791882</v>
      </c>
      <c r="H8" s="2" t="s">
        <v>75</v>
      </c>
    </row>
    <row r="9" customFormat="false" ht="15" hidden="false" customHeight="false" outlineLevel="0" collapsed="false">
      <c r="A9" s="2" t="n">
        <v>5</v>
      </c>
      <c r="B9" s="11" t="n">
        <f aca="false">'Policy Projection'!B8</f>
        <v>106235137</v>
      </c>
      <c r="C9" s="11" t="n">
        <f aca="false">-ROUND(B9*VLOOKUP('Policy Projection'!E8,'Product Assumptions'!$E$4:$F$4,2,FALSE()),0)</f>
        <v>-76489299</v>
      </c>
      <c r="D9" s="11" t="n">
        <f aca="false">-ROUND(B9*'Product Assumptions'!$B$8,0)</f>
        <v>-10623514</v>
      </c>
      <c r="E9" s="11" t="n">
        <f aca="false">-ROUND(B9*'Product Assumptions'!$B$9,0)</f>
        <v>-10623514</v>
      </c>
      <c r="F9" s="11" t="n">
        <f aca="false">SUM(B9:E9)</f>
        <v>8498810</v>
      </c>
      <c r="G9" s="13" t="n">
        <f aca="false">G8/(1+'Product Assumptions'!$B$6)</f>
        <v>0.783526166468459</v>
      </c>
      <c r="H9" s="2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</cols>
  <sheetData>
    <row r="1" customFormat="false" ht="24" hidden="false" customHeight="true" outlineLevel="0" collapsed="false">
      <c r="A1" s="1" t="s">
        <v>76</v>
      </c>
      <c r="B1" s="1"/>
    </row>
    <row r="2" customFormat="false" ht="15" hidden="false" customHeight="false" outlineLevel="0" collapsed="false">
      <c r="A2" s="2" t="s">
        <v>77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78</v>
      </c>
      <c r="B4" s="5" t="s">
        <v>36</v>
      </c>
    </row>
    <row r="5" customFormat="false" ht="15" hidden="false" customHeight="false" outlineLevel="0" collapsed="false">
      <c r="A5" s="2" t="s">
        <v>79</v>
      </c>
      <c r="B5" s="15" t="n">
        <f aca="false">SUMPRODUCT('Cash Flows'!$F$4:$F$9,'Cash Flows'!$G$4:$G$9)</f>
        <v>4599999.99927022</v>
      </c>
    </row>
    <row r="6" customFormat="false" ht="15" hidden="false" customHeight="false" outlineLevel="0" collapsed="false">
      <c r="A6" s="2" t="s">
        <v>80</v>
      </c>
      <c r="B6" s="12" t="n">
        <f aca="false">IRR(NetCashFlows)</f>
        <v>0.0978257912590136</v>
      </c>
    </row>
    <row r="7" customFormat="false" ht="15" hidden="false" customHeight="false" outlineLevel="0" collapsed="false">
      <c r="A7" s="2" t="s">
        <v>81</v>
      </c>
      <c r="B7" s="12" t="n">
        <f aca="false">ROUND(B5/'Product Assumptions'!B4,3)</f>
        <v>0.038</v>
      </c>
    </row>
    <row r="8" customFormat="false" ht="15" hidden="false" customHeight="false" outlineLevel="0" collapsed="false">
      <c r="A8" s="2" t="s">
        <v>82</v>
      </c>
      <c r="B8" s="15" t="n">
        <f aca="false">IF(B6&gt;0,B5,0)</f>
        <v>4599999.99927022</v>
      </c>
    </row>
    <row r="9" customFormat="false" ht="15" hidden="false" customHeight="false" outlineLevel="0" collapsed="false">
      <c r="A9" s="2" t="s">
        <v>83</v>
      </c>
      <c r="B9" s="11" t="n">
        <f aca="false">SUMIFS('Cash Flows'!B5:B9,'Cash Flows'!H5:H9,"Included")</f>
        <v>565063897</v>
      </c>
    </row>
    <row r="10" customFormat="false" ht="15" hidden="false" customHeight="false" outlineLevel="0" collapsed="false">
      <c r="A10" s="2" t="s">
        <v>84</v>
      </c>
      <c r="B10" s="13" t="n">
        <f aca="false">COUNTIFS('Cash Flows'!H5:H9,"Included")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</cols>
  <sheetData>
    <row r="1" customFormat="false" ht="24" hidden="false" customHeight="true" outlineLevel="0" collapsed="false">
      <c r="A1" s="1" t="s">
        <v>85</v>
      </c>
      <c r="B1" s="1"/>
    </row>
    <row r="2" customFormat="false" ht="15" hidden="false" customHeight="false" outlineLevel="0" collapsed="false">
      <c r="A2" s="2" t="s">
        <v>86</v>
      </c>
      <c r="B2" s="2"/>
    </row>
    <row r="3" customFormat="false" ht="15" hidden="false" customHeight="false" outlineLevel="0" collapsed="false">
      <c r="A3" s="3" t="s">
        <v>87</v>
      </c>
      <c r="B3" s="5" t="s">
        <v>88</v>
      </c>
    </row>
    <row r="4" customFormat="false" ht="15" hidden="false" customHeight="false" outlineLevel="0" collapsed="false">
      <c r="A4" s="2" t="s">
        <v>30</v>
      </c>
      <c r="B4" s="8" t="n">
        <v>-4800000</v>
      </c>
    </row>
    <row r="5" customFormat="false" ht="15" hidden="false" customHeight="false" outlineLevel="0" collapsed="false">
      <c r="A5" s="2" t="s">
        <v>32</v>
      </c>
      <c r="B5" s="11" t="n">
        <f aca="false">'Profitability Summary'!B5-B4</f>
        <v>9399999.99927022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
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ns0:workbook xmlns:ns0="http://schemas.openxmlformats.org/spreadsheetml/2006/main" xmlns:ns1="http://schemas.openxmlformats.org/officeDocument/2006/relationships" xmlns:ns2="http://schemas.libreoffice.org/">
  <ns0:fileVersion appName="Calc"/>
  <ns0:workbookPr backupFile="false" showObjects="all" date1904="false"/>
  <ns0:workbookProtection/>
  <ns0:bookViews>
    <ns0:workbookView showHorizontalScroll="true" showVerticalScroll="true" showSheetTabs="true" xWindow="0" yWindow="0" windowWidth="16384" windowHeight="8192" tabRatio="600" firstSheet="0" activeTab="0"/>
  </ns0:bookViews>
  <ns0:sheets>
    <ns0:sheet name="Board Summary" sheetId="1" state="visible" ns1:id="rId3"/>
    <ns0:sheet name="Assumptions" sheetId="2" state="visible" ns1:id="rId4"/>
    <ns0:sheet name="Reserve Calculation" sheetId="3" state="visible" ns1:id="rId5"/>
  </ns0:sheets>
  <ns0:calcPr iterateCount="100" refMode="A1" iterate="false" iterateDelta="0.001" calcId="191029" calcMode="manual" fullCalcOnLoad="0"/>
  <ns0:extLst>
    <ns0:ext uri="{7626C862-2A13-11E5-B345-FEFF819CDC9F}">
      <ns2:extCalcPr stringRefSyntax="CalcA1ExcelA1"/>
    </ns0:ext>
  </ns0:extLst>
</ns0:workbook>
</file>

<file path=xl/sharedStrings.xml><?xml version="1.0" encoding="utf-8"?>
<sst xmlns="http://schemas.openxmlformats.org/spreadsheetml/2006/main" count="30" uniqueCount="23">
  <si>
    <t xml:space="preserve">Q3 2026 Reserving Committee</t>
  </si>
  <si>
    <t xml:space="preserve">Opening reserve</t>
  </si>
  <si>
    <t xml:space="preserve">Claims position</t>
  </si>
  <si>
    <t xml:space="preserve">EUR million</t>
  </si>
  <si>
    <t xml:space="preserve">Tail development factor</t>
  </si>
  <si>
    <t xml:space="preserve">Ultimate claims</t>
  </si>
  <si>
    <t xml:space="preserve">Closing IBNR</t>
  </si>
  <si>
    <t xml:space="preserve">Prepared from the claims-triangle model for committee review. Figures are synthetic and do not constitute an opinion on reserve adequacy or methodology.</t>
  </si>
  <si>
    <t xml:space="preserve">Reserve assumptions</t>
  </si>
  <si>
    <t xml:space="preserve">Driver</t>
  </si>
  <si>
    <t xml:space="preserve">Previous setting</t>
  </si>
  <si>
    <t xml:space="preserve">Current setting</t>
  </si>
  <si>
    <t xml:space="preserve">As-of period</t>
  </si>
  <si>
    <t xml:space="preserve">Q3:26</t>
  </si>
  <si>
    <t xml:space="preserve">Tail sensitivity volume</t>
  </si>
  <si>
    <t xml:space="preserve">Ultimate claims before tail change</t>
  </si>
  <si>
    <t xml:space="preserve">Reported claims</t>
  </si>
  <si>
    <t xml:space="preserve">Editable inputs are highlighted. This synthetic workbook separates assumption selection from the calculation and output views.</t>
  </si>
  <si>
    <t xml:space="preserve">Claims reserve calculation</t>
  </si>
  <si>
    <t xml:space="preserve">Calculation</t>
  </si>
  <si>
    <t xml:space="preserve">Amount</t>
  </si>
  <si>
    <t xml:space="preserve">Tail assumption impact</t>
  </si>
  <si>
    <t xml:space="preserve">The tail impact is the change from the previous factor multiplied by the synthetic tail-sensitive claims volume.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</si>
</sst>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€#,##0.0,,\m;[RED]&quot;(€&quot;#,##0.0,,&quot;m)&quot;;\-"/>
    <numFmt numFmtId="166" formatCode="0.000"/>
  </numFmts>
  <fonts count="13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0"/>
      <color rgb="FF1F2937"/>
      <name val="Arial"/>
      <family val="0"/>
      <charset val="1"/>
    </font>
    <font>
      <b val="true"/>
      <sz val="16"/>
      <color rgb="FF17365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7365D"/>
      <name val="Arial"/>
      <family val="0"/>
      <charset val="1"/>
    </font>
    <font>
      <i val="true"/>
      <sz val="9"/>
      <color rgb="FF44546A"/>
      <name val="Arial"/>
      <family val="0"/>
      <charset val="1"/>
    </font>
    <font>
      <b val="true"/>
      <sz val="15"/>
      <color rgb="FF17365D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1F2937"/>
      </patternFill>
    </fill>
    <fill>
      <patternFill patternType="solid">
        <fgColor rgb="FFEAF3F8"/>
        <bgColor rgb="FFD9EAF7"/>
      </patternFill>
    </fill>
    <fill>
      <patternFill patternType="solid">
        <fgColor rgb="FFFFF2CC"/>
        <bgColor rgb="FFEAF3F8"/>
      </patternFill>
    </fill>
    <fill>
      <patternFill patternType="solid">
        <fgColor rgb="FFD9EAF7"/>
        <bgColor rgb="FFD9E2F3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7365D"/>
      </bottom>
      <diagonal/>
    </border>
    <border diagonalUp="false" diagonalDown="false">
      <left style="thin">
        <color rgb="FF17365D"/>
      </left>
      <right/>
      <top style="thin">
        <color rgb="FF17365D"/>
      </top>
      <bottom style="thin">
        <color rgb="FF17365D"/>
      </bottom>
      <diagonal/>
    </border>
    <border diagonalUp="false" diagonalDown="false">
      <left/>
      <right style="thin">
        <color rgb="FF17365D"/>
      </right>
      <top style="thin">
        <color rgb="FF17365D"/>
      </top>
      <bottom style="thin">
        <color rgb="FF17365D"/>
      </bottom>
      <diagonal/>
    </border>
    <border diagonalUp="false" diagonalDown="false">
      <left/>
      <right/>
      <top/>
      <bottom style="thin">
        <color rgb="FFD9E2F3"/>
      </bottom>
      <diagonal/>
    </border>
    <border diagonalUp="false" diagonalDown="false">
      <left/>
      <right/>
      <top style="thin">
        <color rgb="FFD9E2F3"/>
      </top>
      <bottom style="thin">
        <color rgb="FFD9E2F3"/>
      </bottom>
      <diagonal/>
    </border>
    <border diagonalUp="false" diagonalDown="false">
      <left/>
      <right/>
      <top style="thin">
        <color rgb="FFD9E2F3"/>
      </top>
      <bottom style="double">
        <color rgb="FF17365D"/>
      </bottom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 diagonalUp="false" diagonalDown="false">
      <left/>
      <right/>
      <top style="thin">
        <color rgb="FFD9E2F3"/>
      </top>
      <bottom style="thin">
        <color rgb="FF17365D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2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3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4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0" borderId="5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6" xfId="2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7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1" fillId="4" borderId="8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5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6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2CC"/>
      <rgbColor rgb="FFD9EA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7365D"/>
    <pageSetUpPr fitToPage="false"/>
  </sheetPr>
  <dimension ref="A1:F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1"/>
    <col collapsed="false" customWidth="true" hidden="false" outlineLevel="0" max="2" min="2" style="0" width="18"/>
    <col collapsed="false" customWidth="true" hidden="false" outlineLevel="0" max="6" min="3" style="0" width="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</row>
    <row r="2" customFormat="false" ht="25" hidden="false" customHeight="true" outlineLevel="0" collapsed="false">
      <c r="A2" s="2" t="s">
        <v>0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3"/>
      <c r="B3" s="3"/>
      <c r="C3" s="3"/>
      <c r="D3" s="3"/>
      <c r="E3" s="3"/>
      <c r="F3" s="3"/>
    </row>
    <row r="4" customFormat="false" ht="15" hidden="false" customHeight="false" outlineLevel="0" collapsed="false">
      <c r="A4" s="1" t="s">
        <v>1</v>
      </c>
      <c r="B4" s="4" t="n">
        <f aca="false">'Reserve Calculation'!B4</f>
        <v>65000000</v>
      </c>
      <c r="C4" s="1"/>
      <c r="D4" s="1"/>
      <c r="E4" s="1"/>
      <c r="F4" s="1"/>
    </row>
    <row r="5" customFormat="false" ht="15" hidden="false" customHeight="false" outlineLevel="0" collapsed="false">
      <c r="A5" s="1"/>
      <c r="B5" s="5"/>
      <c r="C5" s="1"/>
      <c r="D5" s="1"/>
      <c r="E5" s="1"/>
      <c r="F5" s="1"/>
    </row>
    <row r="6" customFormat="false" ht="15" hidden="false" customHeight="false" outlineLevel="0" collapsed="false">
      <c r="A6" s="6" t="s">
        <v>2</v>
      </c>
      <c r="B6" s="7" t="s">
        <v>3</v>
      </c>
      <c r="C6" s="1"/>
      <c r="D6" s="1"/>
      <c r="E6" s="1"/>
      <c r="F6" s="1"/>
    </row>
    <row r="7" customFormat="false" ht="15" hidden="false" customHeight="false" outlineLevel="0" collapsed="false">
      <c r="A7" s="8" t="s">
        <v>4</v>
      </c>
      <c r="B7" s="9" t="n">
        <f aca="false">Assumptions!C14</f>
        <v>1.042</v>
      </c>
      <c r="C7" s="1"/>
      <c r="D7" s="1"/>
      <c r="E7" s="1"/>
      <c r="F7" s="1"/>
    </row>
    <row r="8" customFormat="false" ht="15" hidden="false" customHeight="false" outlineLevel="0" collapsed="false">
      <c r="A8" s="10" t="s">
        <v>5</v>
      </c>
      <c r="B8" s="11" t="n">
        <f aca="false">'Reserve Calculation'!B8</f>
        <v>148200000</v>
      </c>
      <c r="C8" s="1"/>
      <c r="D8" s="1"/>
      <c r="E8" s="1"/>
      <c r="F8" s="1"/>
    </row>
    <row r="9" customFormat="false" ht="15" hidden="false" customHeight="false" outlineLevel="0" collapsed="false">
      <c r="A9" s="12" t="s">
        <v>6</v>
      </c>
      <c r="B9" s="13" t="n">
        <f aca="false">'Reserve Calculation'!B10</f>
        <v>41700000</v>
      </c>
      <c r="C9" s="1"/>
      <c r="D9" s="1"/>
      <c r="E9" s="1"/>
      <c r="F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</row>
    <row r="12" customFormat="false" ht="24" hidden="false" customHeight="true" outlineLevel="0" collapsed="false">
      <c r="A12" s="14" t="s">
        <v>7</v>
      </c>
      <c r="B12" s="14"/>
      <c r="C12" s="14"/>
      <c r="D12" s="14"/>
      <c r="E12" s="14"/>
      <c r="F12" s="14"/>
    </row>
    <row r="13" customFormat="false" ht="24" hidden="false" customHeight="true" outlineLevel="0" collapsed="false">
      <c r="A13" s="14"/>
      <c r="B13" s="14"/>
      <c r="C13" s="14"/>
      <c r="D13" s="14"/>
      <c r="E13" s="14"/>
      <c r="F13" s="14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</row>
  </sheetData>
  <mergeCells count="2">
    <mergeCell ref="A2:F2"/>
    <mergeCell ref="A12:F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ns0:worksheet xmlns:ns0="http://schemas.openxmlformats.org/spreadsheetml/2006/main">
  <ns0:sheetPr filterMode="false">
    <ns0:tabColor rgb="FF5B9BD5"/>
    <ns0:pageSetUpPr fitToPage="false"/>
  </ns0:sheetPr>
  <ns0:dimension ref="A1:F24"/>
  <ns0:sheetViews>
    <ns0: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ns0:selection pane="topLeft" activeCell="A1" activeCellId="0" sqref="A1"/>
    </ns0:sheetView>
  </ns0:sheetViews>
  <ns0:sheetFormatPr defaultColWidth="8.6796875" defaultRowHeight="15" customHeight="false" zeroHeight="false" outlineLevelRow="0" outlineLevelCol="0"/>
  <ns0:cols>
    <ns0:col collapsed="false" customWidth="true" hidden="false" outlineLevel="0" max="1" min="1" style="0" width="38"/>
    <ns0:col collapsed="false" customWidth="true" hidden="false" outlineLevel="0" max="3" min="2" style="0" width="20"/>
    <ns0:col collapsed="false" customWidth="true" hidden="false" outlineLevel="0" max="6" min="4" style="0" width="4"/>
  </ns0:cols>
  <ns0:sheetData>
    <ns0:row r="1" customFormat="false" ht="15" hidden="false" customHeight="false" outlineLevel="0" collapsed="false">
      <ns0:c r="A1" s="1"/>
      <ns0:c r="B1" s="1"/>
      <ns0:c r="C1" s="1"/>
      <ns0:c r="D1" s="1"/>
      <ns0:c r="E1" s="1"/>
      <ns0:c r="F1" s="1"/>
    </ns0:row>
    <ns0:row r="2" customFormat="false" ht="18.55" hidden="false" customHeight="false" outlineLevel="0" collapsed="false">
      <ns0:c r="A2" s="15" t="s">
        <ns0:v>8</ns0:v>
      </ns0:c>
      <ns0:c r="B2" s="15"/>
      <ns0:c r="C2" s="15"/>
      <ns0:c r="D2" s="15"/>
      <ns0:c r="E2" s="15"/>
      <ns0:c r="F2" s="15"/>
    </ns0:row>
    <ns0:row r="3" customFormat="false" ht="15" hidden="false" customHeight="false" outlineLevel="0" collapsed="false">
      <ns0:c r="A3" s="3"/>
      <ns0:c r="B3" s="3"/>
      <ns0:c r="C3" s="3"/>
      <ns0:c r="D3" s="3"/>
      <ns0:c r="E3" s="3"/>
      <ns0:c r="F3" s="3"/>
    </ns0:row>
    <ns0:row r="4" customFormat="false" ht="15" hidden="false" customHeight="false" outlineLevel="0" collapsed="false">
      <ns0:c r="A4" s="1"/>
      <ns0:c r="B4" s="1"/>
      <ns0:c r="C4" s="1"/>
      <ns0:c r="D4" s="1"/>
      <ns0:c r="E4" s="1"/>
      <ns0:c r="F4" s="1"/>
    </ns0:row>
    <ns0:row r="5" customFormat="false" ht="15" hidden="false" customHeight="false" outlineLevel="0" collapsed="false">
      <ns0:c r="A5" s="1"/>
      <ns0:c r="B5" s="1"/>
      <ns0:c r="C5" s="1"/>
      <ns0:c r="D5" s="1"/>
      <ns0:c r="E5" s="1"/>
      <ns0:c r="F5" s="1"/>
    </ns0:row>
    <ns0:row r="6" customFormat="false" ht="15" hidden="false" customHeight="false" outlineLevel="0" collapsed="false">
      <ns0:c r="A6" s="1"/>
      <ns0:c r="B6" s="1"/>
      <ns0:c r="C6" s="1"/>
      <ns0:c r="D6" s="1"/>
      <ns0:c r="E6" s="1"/>
      <ns0:c r="F6" s="1"/>
    </ns0:row>
    <ns0:row r="7" customFormat="false" ht="15" hidden="false" customHeight="false" outlineLevel="0" collapsed="false">
      <ns0:c r="A7" s="1"/>
      <ns0:c r="B7" s="1"/>
      <ns0:c r="C7" s="1"/>
      <ns0:c r="D7" s="1"/>
      <ns0:c r="E7" s="1"/>
      <ns0:c r="F7" s="1"/>
    </ns0:row>
    <ns0:row r="8" customFormat="false" ht="15" hidden="false" customHeight="false" outlineLevel="0" collapsed="false">
      <ns0:c r="A8" s="1"/>
      <ns0:c r="B8" s="1"/>
      <ns0:c r="C8" s="1"/>
      <ns0:c r="D8" s="1"/>
      <ns0:c r="E8" s="1"/>
      <ns0:c r="F8" s="1"/>
    </ns0:row>
    <ns0:row r="9" customFormat="false" ht="15" hidden="false" customHeight="false" outlineLevel="0" collapsed="false">
      <ns0:c r="A9" s="1"/>
      <ns0:c r="B9" s="1"/>
      <ns0:c r="C9" s="1"/>
      <ns0:c r="D9" s="1"/>
      <ns0:c r="E9" s="1"/>
      <ns0:c r="F9" s="1"/>
    </ns0:row>
    <ns0:row r="10" customFormat="false" ht="15" hidden="false" customHeight="false" outlineLevel="0" collapsed="false">
      <ns0:c r="A10" s="1"/>
      <ns0:c r="B10" s="1"/>
      <ns0:c r="C10" s="1"/>
      <ns0:c r="D10" s="1"/>
      <ns0:c r="E10" s="1"/>
      <ns0:c r="F10" s="1"/>
    </ns0:row>
    <ns0:row r="11" customFormat="false" ht="15" hidden="false" customHeight="false" outlineLevel="0" collapsed="false">
      <ns0:c r="A11" s="1"/>
      <ns0:c r="B11" s="1"/>
      <ns0:c r="C11" s="1"/>
      <ns0:c r="D11" s="1"/>
      <ns0:c r="E11" s="1"/>
      <ns0:c r="F11" s="1"/>
    </ns0:row>
    <ns0:row r="12" customFormat="false" ht="15" hidden="false" customHeight="false" outlineLevel="0" collapsed="false">
      <ns0:c r="A12" s="16" t="s">
        <ns0:v>9</ns0:v>
      </ns0:c>
      <ns0:c r="B12" s="16" t="s">
        <ns0:v>10</ns0:v>
      </ns0:c>
      <ns0:c r="C12" s="16" t="s">
        <ns0:v>11</ns0:v>
      </ns0:c>
      <ns0:c r="D12" s="1"/>
      <ns0:c r="E12" s="1"/>
      <ns0:c r="F12" s="1"/>
    </ns0:row>
    <ns0:row r="13" customFormat="false" ht="15" hidden="false" customHeight="false" outlineLevel="0" collapsed="false">
      <ns0:c r="A13" s="8" t="s">
        <ns0:v>12</ns0:v>
      </ns0:c>
      <ns0:c r="B13" s="8" t="s">
        <ns0:v>13</ns0:v>
      </ns0:c>
      <ns0:c r="C13" s="8" t="s">
        <ns0:v>13</ns0:v>
      </ns0:c>
      <ns0:c r="D13" s="1"/>
      <ns0:c r="E13" s="1"/>
      <ns0:c r="F13" s="1"/>
    </ns0:row>
    <ns0:row r="14" customFormat="false" ht="15" hidden="false" customHeight="false" outlineLevel="0" collapsed="false">
      <ns0:c r="A14" s="10" t="s">
        <ns0:v>4</ns0:v>
      </ns0:c>
      <ns0:c r="B14" s="17" t="n">
        <ns0:v>1.042</ns0:v>
      </ns0:c>
      <ns0:c r="C14" s="18" t="n">
        <ns0:v>1.061</ns0:v>
      </ns0:c>
      <ns0:c r="D14" s="1"/>
      <ns0:c r="E14" s="1"/>
      <ns0:c r="F14" s="1"/>
    </ns0:row>
    <ns0:row r="15" customFormat="false" ht="15" hidden="false" customHeight="false" outlineLevel="0" collapsed="false">
      <ns0:c r="A15" s="10" t="s">
        <ns0:v>14</ns0:v>
      </ns0:c>
      <ns0:c r="B15" s="10"/>
      <ns0:c r="C15" s="19" t="n">
        <ns0:v>489473684.210526</ns0:v>
      </ns0:c>
      <ns0:c r="D15" s="1"/>
      <ns0:c r="E15" s="1"/>
      <ns0:c r="F15" s="1"/>
    </ns0:row>
    <ns0:row r="16" customFormat="false" ht="15" hidden="false" customHeight="false" outlineLevel="0" collapsed="false">
      <ns0:c r="A16" s="10" t="s">
        <ns0:v>15</ns0:v>
      </ns0:c>
      <ns0:c r="B16" s="10"/>
      <ns0:c r="C16" s="19" t="n">
        <ns0:v>148200000</ns0:v>
      </ns0:c>
      <ns0:c r="D16" s="1"/>
      <ns0:c r="E16" s="1"/>
      <ns0:c r="F16" s="1"/>
    </ns0:row>
    <ns0:row r="17" customFormat="false" ht="15" hidden="false" customHeight="false" outlineLevel="0" collapsed="false">
      <ns0:c r="A17" s="10" t="s">
        <ns0:v>16</ns0:v>
      </ns0:c>
      <ns0:c r="B17" s="10"/>
      <ns0:c r="C17" s="19" t="n">
        <ns0:v>106500000</ns0:v>
      </ns0:c>
      <ns0:c r="D17" s="1"/>
      <ns0:c r="E17" s="1"/>
      <ns0:c r="F17" s="1"/>
    </ns0:row>
    <ns0:row r="18" customFormat="false" ht="15" hidden="false" customHeight="false" outlineLevel="0" collapsed="false">
      <ns0:c r="A18" s="20" t="s">
        <ns0:v>1</ns0:v>
      </ns0:c>
      <ns0:c r="B18" s="20"/>
      <ns0:c r="C18" s="21" t="n">
        <ns0:v>65000000</ns0:v>
      </ns0:c>
      <ns0:c r="D18" s="1"/>
      <ns0:c r="E18" s="1"/>
      <ns0:c r="F18" s="1"/>
    </ns0:row>
    <ns0:row r="19" customFormat="false" ht="15" hidden="false" customHeight="false" outlineLevel="0" collapsed="false">
      <ns0:c r="A19" s="1"/>
      <ns0:c r="B19" s="1"/>
      <ns0:c r="C19" s="1"/>
      <ns0:c r="D19" s="1"/>
      <ns0:c r="E19" s="1"/>
      <ns0:c r="F19" s="1"/>
    </ns0:row>
    <ns0:row r="20" customFormat="false" ht="15" hidden="false" customHeight="true" outlineLevel="0" collapsed="false">
      <ns0:c r="A20" s="22" t="s">
        <ns0:v>17</ns0:v>
      </ns0:c>
      <ns0:c r="B20" s="22"/>
      <ns0:c r="C20" s="22"/>
      <ns0:c r="D20" s="22"/>
      <ns0:c r="E20" s="22"/>
      <ns0:c r="F20" s="22"/>
    </ns0:row>
    <ns0:row r="21" customFormat="false" ht="15" hidden="false" customHeight="false" outlineLevel="0" collapsed="false">
      <ns0:c r="A21" s="22"/>
      <ns0:c r="B21" s="22"/>
      <ns0:c r="C21" s="22"/>
      <ns0:c r="D21" s="22"/>
      <ns0:c r="E21" s="22"/>
      <ns0:c r="F21" s="22"/>
    </ns0:row>
    <ns0:row r="22" customFormat="false" ht="15" hidden="false" customHeight="false" outlineLevel="0" collapsed="false">
      <ns0:c r="A22" s="1"/>
      <ns0:c r="B22" s="1"/>
      <ns0:c r="C22" s="1"/>
      <ns0:c r="D22" s="1"/>
      <ns0:c r="E22" s="1"/>
      <ns0:c r="F22" s="1"/>
    </ns0:row>
    <ns0:row r="23" customFormat="false" ht="15" hidden="false" customHeight="false" outlineLevel="0" collapsed="false">
      <ns0:c r="A23" s="1"/>
      <ns0:c r="B23" s="1"/>
      <ns0:c r="C23" s="1"/>
      <ns0:c r="D23" s="1"/>
      <ns0:c r="E23" s="1"/>
      <ns0:c r="F23" s="1"/>
    </ns0:row>
    <ns0:row r="24" customFormat="false" ht="15" hidden="false" customHeight="false" outlineLevel="0" collapsed="false">
      <ns0:c r="A24" s="1"/>
      <ns0:c r="B24" s="1"/>
      <ns0:c r="C24" s="1"/>
      <ns0:c r="D24" s="1"/>
      <ns0:c r="E24" s="1"/>
      <ns0:c r="F24" s="1"/>
    </ns0:row>
  </ns0:sheetData>
  <ns0:mergeCells count="2">
    <ns0:mergeCell ref="A2:F2"/>
    <ns0:mergeCell ref="A20:F21"/>
  </ns0:mergeCells>
  <ns0:printOptions headings="false" gridLines="false" gridLinesSet="true" horizontalCentered="false" verticalCentered="false"/>
  <ns0:pageMargins left="0.7" right="0.7" top="0.75" bottom="0.75" header="0.511811023622047" footer="0.511811023622047"/>
  <ns0:pageSetup paperSize="9" scale="100" fitToWidth="1" fitToHeight="1" pageOrder="downThenOver" orientation="portrait" blackAndWhite="false" draft="false" cellComments="none" horizontalDpi="300" verticalDpi="300" copies="1"/>
  <ns0:headerFooter differentFirst="false" differentOddEven="false">
    <ns0:oddHeader/>
    <ns0:oddFooter/>
  </ns0:headerFooter>
</ns0: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0"/>
    <col collapsed="false" customWidth="true" hidden="false" outlineLevel="0" max="6" min="3" style="0" width="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</row>
    <row r="2" customFormat="false" ht="18.55" hidden="false" customHeight="false" outlineLevel="0" collapsed="false">
      <c r="A2" s="15" t="s">
        <v>18</v>
      </c>
      <c r="B2" s="15"/>
      <c r="C2" s="15"/>
      <c r="D2" s="15"/>
      <c r="E2" s="15"/>
      <c r="F2" s="15"/>
    </row>
    <row r="3" customFormat="false" ht="15" hidden="false" customHeight="false" outlineLevel="0" collapsed="false">
      <c r="A3" s="3"/>
      <c r="B3" s="3"/>
      <c r="C3" s="3"/>
      <c r="D3" s="3"/>
      <c r="E3" s="3"/>
      <c r="F3" s="3"/>
    </row>
    <row r="4" customFormat="false" ht="15" hidden="false" customHeight="false" outlineLevel="0" collapsed="false">
      <c r="A4" s="1" t="s">
        <v>1</v>
      </c>
      <c r="B4" s="23" t="n">
        <f aca="false">Assumptions!C18</f>
        <v>65000000</v>
      </c>
      <c r="C4" s="1"/>
      <c r="D4" s="1"/>
      <c r="E4" s="1"/>
      <c r="F4" s="1"/>
    </row>
    <row r="5" customFormat="false" ht="15" hidden="false" customHeight="false" outlineLevel="0" collapsed="false">
      <c r="A5" s="1"/>
      <c r="B5" s="23"/>
      <c r="C5" s="1"/>
      <c r="D5" s="1"/>
      <c r="E5" s="1"/>
      <c r="F5" s="1"/>
    </row>
    <row r="6" customFormat="false" ht="15" hidden="false" customHeight="false" outlineLevel="0" collapsed="false">
      <c r="A6" s="16" t="s">
        <v>19</v>
      </c>
      <c r="B6" s="24" t="s">
        <v>20</v>
      </c>
      <c r="C6" s="1"/>
      <c r="D6" s="1"/>
      <c r="E6" s="1"/>
      <c r="F6" s="1"/>
    </row>
    <row r="7" customFormat="false" ht="15" hidden="false" customHeight="false" outlineLevel="0" collapsed="false">
      <c r="A7" s="8" t="s">
        <v>21</v>
      </c>
      <c r="B7" s="25" t="n">
        <f aca="false">(Assumptions!C14-Assumptions!B14)*Assumptions!C15</f>
        <v>0</v>
      </c>
      <c r="C7" s="1"/>
      <c r="D7" s="1"/>
      <c r="E7" s="1"/>
      <c r="F7" s="1"/>
    </row>
    <row r="8" customFormat="false" ht="15" hidden="false" customHeight="false" outlineLevel="0" collapsed="false">
      <c r="A8" s="10" t="s">
        <v>5</v>
      </c>
      <c r="B8" s="26" t="n">
        <f aca="false">Assumptions!C16+B7</f>
        <v>148200000</v>
      </c>
      <c r="C8" s="1"/>
      <c r="D8" s="1"/>
      <c r="E8" s="1"/>
      <c r="F8" s="1"/>
    </row>
    <row r="9" customFormat="false" ht="15" hidden="false" customHeight="false" outlineLevel="0" collapsed="false">
      <c r="A9" s="10" t="s">
        <v>16</v>
      </c>
      <c r="B9" s="26" t="n">
        <f aca="false">Assumptions!C17</f>
        <v>106500000</v>
      </c>
      <c r="C9" s="1"/>
      <c r="D9" s="1"/>
      <c r="E9" s="1"/>
      <c r="F9" s="1"/>
    </row>
    <row r="10" customFormat="false" ht="15" hidden="false" customHeight="false" outlineLevel="0" collapsed="false">
      <c r="A10" s="12" t="s">
        <v>6</v>
      </c>
      <c r="B10" s="27" t="n">
        <f aca="false">B8-B9</f>
        <v>41700000</v>
      </c>
      <c r="C10" s="1"/>
      <c r="D10" s="1"/>
      <c r="E10" s="1"/>
      <c r="F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</row>
    <row r="12" customFormat="false" ht="15" hidden="false" customHeight="true" outlineLevel="0" collapsed="false">
      <c r="A12" s="28" t="s">
        <v>22</v>
      </c>
      <c r="B12" s="28"/>
      <c r="C12" s="28"/>
      <c r="D12" s="28"/>
      <c r="E12" s="28"/>
      <c r="F12" s="28"/>
    </row>
    <row r="13" customFormat="false" ht="15" hidden="false" customHeight="false" outlineLevel="0" collapsed="false">
      <c r="A13" s="28"/>
      <c r="B13" s="28"/>
      <c r="C13" s="28"/>
      <c r="D13" s="28"/>
      <c r="E13" s="28"/>
      <c r="F13" s="28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</row>
  </sheetData>
  <mergeCells count="2">
    <mergeCell ref="A2:F2"/>
    <mergeCell ref="A12:F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fr-BE</dc:language>
  <cp:lastModifiedBy/>
  <cp:revision>0</cp:revision>
  <dc:subject/>
  <dc:title/>
</cp:coreProperties>
</file>
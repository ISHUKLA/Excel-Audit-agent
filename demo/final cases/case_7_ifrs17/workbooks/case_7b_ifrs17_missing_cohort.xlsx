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se Guide" sheetId="1" state="visible" r:id="rId3"/>
    <sheet name="Context" sheetId="2" state="visible" r:id="rId4"/>
    <sheet name="Assumptions" sheetId="3" state="visible" r:id="rId5"/>
    <sheet name="Cohort Data" sheetId="4" state="visible" r:id="rId6"/>
    <sheet name="Cash Flow Calculation" sheetId="5" state="visible" r:id="rId7"/>
    <sheet name="Reserve Summary" sheetId="6" state="visible" r:id="rId8"/>
    <sheet name="Accounting Bridge" sheetId="7" state="visible" r:id="rId9"/>
  </sheets>
  <calcPr calcId="191029" calcMode="auto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<sst xmlns="http://schemas.openxmlformats.org/spreadsheetml/2006/main" count="105" uniqueCount="81">
  <si>
    <t xml:space="preserve">Case 7b: missing IFRS 17 cohort</t>
  </si>
  <si>
    <t xml:space="preserve">Business problem</t>
  </si>
  <si>
    <t xml:space="preserve">Synthetic IFRS 17 fulfilment-cash-flow aggregation and accounting bridge.</t>
  </si>
  <si>
    <t xml:space="preserve">Decision</t>
  </si>
  <si>
    <t xml:space="preserve">A human reviewer decides whether the workbook evidence supports continuing the reporting workflow.</t>
  </si>
  <si>
    <t xml:space="preserve">Gate 2 output</t>
  </si>
  <si>
    <t xml:space="preserve">Accounting Bridge!B4 (signed closing liability).</t>
  </si>
  <si>
    <t xml:space="preserve">Planted issue</t>
  </si>
  <si>
    <t xml:space="preserve">The claims aggregation stops before the final populated cohort, excluding EUR 6.2 million.</t>
  </si>
  <si>
    <t xml:space="preserve">Expected internal result</t>
  </si>
  <si>
    <t xml:space="preserve">Complete and pass because Python reconstructs the workbook formula as written.</t>
  </si>
  <si>
    <t xml:space="preserve">Expected external result</t>
  </si>
  <si>
    <t xml:space="preserve">Block below the EUR 6.2 million difference using human-entered thresholds.</t>
  </si>
  <si>
    <t xml:space="preserve">Manual check</t>
  </si>
  <si>
    <t xml:space="preserve">Expected value</t>
  </si>
  <si>
    <t xml:space="preserve">Location</t>
  </si>
  <si>
    <t xml:space="preserve">Present value of claims</t>
  </si>
  <si>
    <t xml:space="preserve">Reserve Summary!B5</t>
  </si>
  <si>
    <t xml:space="preserve">Fulfilment cash flows</t>
  </si>
  <si>
    <t xml:space="preserve">Reserve Summary!B8</t>
  </si>
  <si>
    <t xml:space="preserve">Closing liability</t>
  </si>
  <si>
    <t xml:space="preserve">Reserve Summary!B11</t>
  </si>
  <si>
    <t xml:space="preserve">Accounting output</t>
  </si>
  <si>
    <t xml:space="preserve">Accounting Bridge!B4</t>
  </si>
  <si>
    <t xml:space="preserve">Scope boundary</t>
  </si>
  <si>
    <t xml:space="preserve">Spreadsheet translation and reconciliation only</t>
  </si>
  <si>
    <t xml:space="preserve">No actuarial-methodology validation</t>
  </si>
  <si>
    <t xml:space="preserve">Confirmed workbook context</t>
  </si>
  <si>
    <t xml:space="preserve">Field</t>
  </si>
  <si>
    <t xml:space="preserve">Workbook value</t>
  </si>
  <si>
    <t xml:space="preserve">Entity</t>
  </si>
  <si>
    <t xml:space="preserve">Glass Box Life Belgium SA</t>
  </si>
  <si>
    <t xml:space="preserve">Period</t>
  </si>
  <si>
    <t xml:space="preserve">31 December 2025</t>
  </si>
  <si>
    <t xml:space="preserve">Currency</t>
  </si>
  <si>
    <t xml:space="preserve">EUR</t>
  </si>
  <si>
    <t xml:space="preserve">Basis</t>
  </si>
  <si>
    <t xml:space="preserve">Synthetic IFRS 17 reporting demonstration</t>
  </si>
  <si>
    <t xml:space="preserve">Data status</t>
  </si>
  <si>
    <t xml:space="preserve">Entirely synthetic</t>
  </si>
  <si>
    <t xml:space="preserve">Synthetic calculation assumptions</t>
  </si>
  <si>
    <t xml:space="preserve">Assumption</t>
  </si>
  <si>
    <t xml:space="preserve">Value</t>
  </si>
  <si>
    <t xml:space="preserve">Status</t>
  </si>
  <si>
    <t xml:space="preserve">Claim factor</t>
  </si>
  <si>
    <t xml:space="preserve">Risk adjustment</t>
  </si>
  <si>
    <t xml:space="preserve">Active</t>
  </si>
  <si>
    <t xml:space="preserve">Contractual service margin</t>
  </si>
  <si>
    <t xml:space="preserve">Currency rounding digits</t>
  </si>
  <si>
    <t xml:space="preserve">Active cohort status</t>
  </si>
  <si>
    <t xml:space="preserve">Included flag</t>
  </si>
  <si>
    <t xml:space="preserve">Synthetic IFRS 17 cohort data</t>
  </si>
  <si>
    <t xml:space="preserve">All amounts are fictional and stated in EUR.</t>
  </si>
  <si>
    <t xml:space="preserve">Cohort ID</t>
  </si>
  <si>
    <t xml:space="preserve">Claims PV</t>
  </si>
  <si>
    <t xml:space="preserve">Expenses PV</t>
  </si>
  <si>
    <t xml:space="preserve">Premiums PV</t>
  </si>
  <si>
    <t xml:space="preserve">Included</t>
  </si>
  <si>
    <t xml:space="preserve">C-2020</t>
  </si>
  <si>
    <t xml:space="preserve">C-2021</t>
  </si>
  <si>
    <t xml:space="preserve">C-2022</t>
  </si>
  <si>
    <t xml:space="preserve">C-2023</t>
  </si>
  <si>
    <t xml:space="preserve">C-2024</t>
  </si>
  <si>
    <t xml:space="preserve">C-2025</t>
  </si>
  <si>
    <t xml:space="preserve">Cohort cash-flow calculation</t>
  </si>
  <si>
    <t xml:space="preserve">The final populated cohort contributes EUR 6.2 million to claims present value.</t>
  </si>
  <si>
    <t xml:space="preserve">Fulfilment cash flow</t>
  </si>
  <si>
    <t xml:space="preserve">IFRS 17 reserve summary</t>
  </si>
  <si>
    <t xml:space="preserve">Workbook calculation as written: final cohort omitted from claims aggregation.</t>
  </si>
  <si>
    <t xml:space="preserve">Component</t>
  </si>
  <si>
    <t xml:space="preserve">Amount (EUR)</t>
  </si>
  <si>
    <t xml:space="preserve">Present value of expenses</t>
  </si>
  <si>
    <t xml:space="preserve">Present value of premiums</t>
  </si>
  <si>
    <t xml:space="preserve">Accounting bridge</t>
  </si>
  <si>
    <t xml:space="preserve">Credit balances are negative for reconciliation. All figures are synthetic.</t>
  </si>
  <si>
    <t xml:space="preserve">Authoritative output</t>
  </si>
  <si>
    <t xml:space="preserve">Signed balance (EUR)</t>
  </si>
  <si>
    <t xml:space="preserve">Use</t>
  </si>
  <si>
    <t xml:space="preserve">Designate this monetary output at Gate 2</t>
  </si>
  <si>
    <t xml:space="preserve">Closing liability magnitude</t>
  </si>
  <si>
    <t xml:space="preserve">Display only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</si>
</sst>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€#,##0.0,,\m;[RED]&quot;(€&quot;#,##0.0,,&quot;m)&quot;;\-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color rgb="FF17365D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F2F8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/>
      <top style="thin">
        <color rgb="FFB7C9D6"/>
      </top>
      <bottom style="thin">
        <color rgb="FFB7C9D6"/>
      </bottom>
      <diagonal/>
    </border>
    <border diagonalUp="false" diagonalDown="false">
      <left/>
      <right/>
      <top style="thin">
        <color rgb="FFB7C9D6"/>
      </top>
      <bottom style="thin">
        <color rgb="FFB7C9D6"/>
      </bottom>
      <diagonal/>
    </border>
    <border diagonalUp="false" diagonalDown="false">
      <left/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9" fillId="4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5" borderId="3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FF2CC"/>
      <rgbColor rgb="FFEAF2F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84"/>
    <col collapsed="false" customWidth="true" hidden="false" outlineLevel="0" max="3" min="3" style="0" width="29"/>
  </cols>
  <sheetData>
    <row r="1" customFormat="false" ht="24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/>
      <c r="B2" s="2"/>
      <c r="C2" s="2"/>
    </row>
    <row r="3" customFormat="false" ht="15" hidden="false" customHeight="false" outlineLevel="0" collapsed="false">
      <c r="A3" s="2" t="s">
        <v>1</v>
      </c>
      <c r="B3" s="2" t="s">
        <v>2</v>
      </c>
      <c r="C3" s="2"/>
    </row>
    <row r="4" customFormat="false" ht="15" hidden="false" customHeight="false" outlineLevel="0" collapsed="false">
      <c r="A4" s="2" t="s">
        <v>3</v>
      </c>
      <c r="B4" s="2" t="s">
        <v>4</v>
      </c>
      <c r="C4" s="2"/>
    </row>
    <row r="5" customFormat="false" ht="15" hidden="false" customHeight="false" outlineLevel="0" collapsed="false">
      <c r="A5" s="2" t="s">
        <v>5</v>
      </c>
      <c r="B5" s="2" t="s">
        <v>6</v>
      </c>
      <c r="C5" s="2"/>
    </row>
    <row r="6" customFormat="false" ht="15" hidden="false" customHeight="false" outlineLevel="0" collapsed="false">
      <c r="A6" s="2" t="s">
        <v>7</v>
      </c>
      <c r="B6" s="2" t="s">
        <v>8</v>
      </c>
      <c r="C6" s="2"/>
    </row>
    <row r="7" customFormat="false" ht="15" hidden="false" customHeight="false" outlineLevel="0" collapsed="false">
      <c r="A7" s="2" t="s">
        <v>9</v>
      </c>
      <c r="B7" s="2" t="s">
        <v>10</v>
      </c>
      <c r="C7" s="2"/>
    </row>
    <row r="8" customFormat="false" ht="15" hidden="false" customHeight="false" outlineLevel="0" collapsed="false">
      <c r="A8" s="2" t="s">
        <v>11</v>
      </c>
      <c r="B8" s="2" t="s">
        <v>12</v>
      </c>
      <c r="C8" s="2"/>
    </row>
    <row r="9" customFormat="false" ht="15" hidden="false" customHeight="false" outlineLevel="0" collapsed="false">
      <c r="A9" s="2"/>
      <c r="B9" s="2"/>
      <c r="C9" s="2"/>
    </row>
    <row r="10" customFormat="false" ht="15" hidden="false" customHeight="false" outlineLevel="0" collapsed="false">
      <c r="A10" s="3" t="s">
        <v>13</v>
      </c>
      <c r="B10" s="4" t="s">
        <v>14</v>
      </c>
      <c r="C10" s="5" t="s">
        <v>15</v>
      </c>
    </row>
    <row r="11" customFormat="false" ht="15" hidden="false" customHeight="false" outlineLevel="0" collapsed="false">
      <c r="A11" s="2" t="s">
        <v>16</v>
      </c>
      <c r="B11" s="6" t="n">
        <v>98000000</v>
      </c>
      <c r="C11" s="2" t="s">
        <v>17</v>
      </c>
    </row>
    <row r="12" customFormat="false" ht="15" hidden="false" customHeight="false" outlineLevel="0" collapsed="false">
      <c r="A12" s="2" t="s">
        <v>18</v>
      </c>
      <c r="B12" s="6" t="n">
        <v>92200000</v>
      </c>
      <c r="C12" s="2" t="s">
        <v>19</v>
      </c>
    </row>
    <row r="13" customFormat="false" ht="15" hidden="false" customHeight="false" outlineLevel="0" collapsed="false">
      <c r="A13" s="2" t="s">
        <v>20</v>
      </c>
      <c r="B13" s="6" t="n">
        <v>122200000</v>
      </c>
      <c r="C13" s="2" t="s">
        <v>21</v>
      </c>
    </row>
    <row r="14" customFormat="false" ht="15" hidden="false" customHeight="false" outlineLevel="0" collapsed="false">
      <c r="A14" s="2" t="s">
        <v>22</v>
      </c>
      <c r="B14" s="6" t="n">
        <v>-122200000</v>
      </c>
      <c r="C14" s="2" t="s">
        <v>23</v>
      </c>
    </row>
    <row r="15" customFormat="false" ht="15" hidden="false" customHeight="false" outlineLevel="0" collapsed="false">
      <c r="A15" s="2" t="s">
        <v>24</v>
      </c>
      <c r="B15" s="2" t="s">
        <v>25</v>
      </c>
      <c r="C15" s="2" t="s">
        <v>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</cols>
  <sheetData>
    <row r="1" customFormat="false" ht="24" hidden="false" customHeight="true" outlineLevel="0" collapsed="false">
      <c r="A1" s="1" t="s">
        <v>27</v>
      </c>
      <c r="B1" s="1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3" t="s">
        <v>28</v>
      </c>
      <c r="B3" s="5" t="s">
        <v>29</v>
      </c>
    </row>
    <row r="4" customFormat="false" ht="15" hidden="false" customHeight="false" outlineLevel="0" collapsed="false">
      <c r="A4" s="2" t="s">
        <v>30</v>
      </c>
      <c r="B4" s="2" t="s">
        <v>31</v>
      </c>
    </row>
    <row r="5" customFormat="false" ht="15" hidden="false" customHeight="false" outlineLevel="0" collapsed="false">
      <c r="A5" s="2" t="s">
        <v>32</v>
      </c>
      <c r="B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</row>
    <row r="7" customFormat="false" ht="15" hidden="false" customHeight="false" outlineLevel="0" collapsed="false">
      <c r="A7" s="2" t="s">
        <v>36</v>
      </c>
      <c r="B7" s="2" t="s">
        <v>37</v>
      </c>
    </row>
    <row r="8" customFormat="false" ht="15" hidden="false" customHeight="false" outlineLevel="0" collapsed="false">
      <c r="A8" s="2" t="s">
        <v>38</v>
      </c>
      <c r="B8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9"/>
    <col collapsed="false" customWidth="true" hidden="false" outlineLevel="0" max="3" min="3" style="0" width="4"/>
    <col collapsed="false" customWidth="true" hidden="false" outlineLevel="0" max="5" min="5" style="0" width="19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40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41</v>
      </c>
      <c r="B3" s="5" t="s">
        <v>42</v>
      </c>
      <c r="C3" s="2"/>
      <c r="D3" s="2"/>
      <c r="E3" s="3" t="s">
        <v>43</v>
      </c>
      <c r="F3" s="5" t="s">
        <v>44</v>
      </c>
    </row>
    <row r="4" customFormat="false" ht="15" hidden="false" customHeight="false" outlineLevel="0" collapsed="false">
      <c r="A4" s="2" t="s">
        <v>45</v>
      </c>
      <c r="B4" s="7" t="n">
        <v>7800000</v>
      </c>
      <c r="C4" s="2"/>
      <c r="D4" s="2"/>
      <c r="E4" s="2" t="s">
        <v>46</v>
      </c>
      <c r="F4" s="8" t="n">
        <v>1</v>
      </c>
    </row>
    <row r="5" customFormat="false" ht="15" hidden="false" customHeight="false" outlineLevel="0" collapsed="false">
      <c r="A5" s="2" t="s">
        <v>47</v>
      </c>
      <c r="B5" s="7" t="n">
        <v>22200000</v>
      </c>
      <c r="C5" s="2"/>
      <c r="D5" s="2"/>
      <c r="E5" s="2"/>
      <c r="F5" s="2"/>
    </row>
    <row r="6" customFormat="false" ht="15" hidden="false" customHeight="false" outlineLevel="0" collapsed="false">
      <c r="A6" s="2" t="s">
        <v>48</v>
      </c>
      <c r="B6" s="8" t="n">
        <v>0</v>
      </c>
      <c r="C6" s="2"/>
      <c r="D6" s="2"/>
      <c r="E6" s="2"/>
      <c r="F6" s="2"/>
    </row>
    <row r="7" customFormat="false" ht="15" hidden="false" customHeight="false" outlineLevel="0" collapsed="false">
      <c r="A7" s="2" t="s">
        <v>49</v>
      </c>
      <c r="B7" s="8" t="s">
        <v>46</v>
      </c>
      <c r="C7" s="2"/>
      <c r="D7" s="2"/>
      <c r="E7" s="2"/>
      <c r="F7" s="2"/>
    </row>
    <row r="8" customFormat="false" ht="15" hidden="false" customHeight="false" outlineLevel="0" collapsed="false">
      <c r="A8" s="2" t="s">
        <v>50</v>
      </c>
      <c r="B8" s="8" t="n">
        <v>1</v>
      </c>
      <c r="C8" s="2"/>
      <c r="D8" s="2"/>
      <c r="E8" s="2"/>
      <c r="F8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5" min="3" style="0" width="22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52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53</v>
      </c>
      <c r="B3" s="4" t="s">
        <v>43</v>
      </c>
      <c r="C3" s="4" t="s">
        <v>54</v>
      </c>
      <c r="D3" s="4" t="s">
        <v>55</v>
      </c>
      <c r="E3" s="4" t="s">
        <v>56</v>
      </c>
      <c r="F3" s="5" t="s">
        <v>57</v>
      </c>
    </row>
    <row r="4" customFormat="false" ht="15" hidden="false" customHeight="false" outlineLevel="0" collapsed="false">
      <c r="A4" s="2" t="s">
        <v>58</v>
      </c>
      <c r="B4" s="2" t="s">
        <v>46</v>
      </c>
      <c r="C4" s="7" t="n">
        <v>18000000</v>
      </c>
      <c r="D4" s="7" t="n">
        <v>2000000</v>
      </c>
      <c r="E4" s="7" t="n">
        <v>-3000000</v>
      </c>
      <c r="F4" s="8" t="n">
        <v>1</v>
      </c>
    </row>
    <row r="5" customFormat="false" ht="15" hidden="false" customHeight="false" outlineLevel="0" collapsed="false">
      <c r="A5" s="2" t="s">
        <v>59</v>
      </c>
      <c r="B5" s="2" t="s">
        <v>46</v>
      </c>
      <c r="C5" s="7" t="n">
        <v>20000000</v>
      </c>
      <c r="D5" s="7" t="n">
        <v>2100000</v>
      </c>
      <c r="E5" s="7" t="n">
        <v>-3000000</v>
      </c>
      <c r="F5" s="8" t="n">
        <v>1</v>
      </c>
    </row>
    <row r="6" customFormat="false" ht="15" hidden="false" customHeight="false" outlineLevel="0" collapsed="false">
      <c r="A6" s="2" t="s">
        <v>60</v>
      </c>
      <c r="B6" s="2" t="s">
        <v>46</v>
      </c>
      <c r="C6" s="7" t="n">
        <v>17000000</v>
      </c>
      <c r="D6" s="7" t="n">
        <v>2100000</v>
      </c>
      <c r="E6" s="7" t="n">
        <v>-3000000</v>
      </c>
      <c r="F6" s="8" t="n">
        <v>1</v>
      </c>
    </row>
    <row r="7" customFormat="false" ht="15" hidden="false" customHeight="false" outlineLevel="0" collapsed="false">
      <c r="A7" s="2" t="s">
        <v>61</v>
      </c>
      <c r="B7" s="2" t="s">
        <v>46</v>
      </c>
      <c r="C7" s="7" t="n">
        <v>21000000</v>
      </c>
      <c r="D7" s="7" t="n">
        <v>2100000</v>
      </c>
      <c r="E7" s="7" t="n">
        <v>-3000000</v>
      </c>
      <c r="F7" s="8" t="n">
        <v>1</v>
      </c>
    </row>
    <row r="8" customFormat="false" ht="15" hidden="false" customHeight="false" outlineLevel="0" collapsed="false">
      <c r="A8" s="2" t="s">
        <v>62</v>
      </c>
      <c r="B8" s="2" t="s">
        <v>46</v>
      </c>
      <c r="C8" s="7" t="n">
        <v>22000000</v>
      </c>
      <c r="D8" s="7" t="n">
        <v>2100000</v>
      </c>
      <c r="E8" s="7" t="n">
        <v>-3000000</v>
      </c>
      <c r="F8" s="8" t="n">
        <v>1</v>
      </c>
    </row>
    <row r="9" customFormat="false" ht="15" hidden="false" customHeight="false" outlineLevel="0" collapsed="false">
      <c r="A9" s="2" t="s">
        <v>63</v>
      </c>
      <c r="B9" s="2" t="s">
        <v>46</v>
      </c>
      <c r="C9" s="7" t="n">
        <v>6200000</v>
      </c>
      <c r="D9" s="7" t="n">
        <v>2200000</v>
      </c>
      <c r="E9" s="7" t="n">
        <v>-3400000</v>
      </c>
      <c r="F9" s="8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5" min="2" style="0" width="24"/>
  </cols>
  <sheetData>
    <row r="1" customFormat="false" ht="24" hidden="false" customHeight="true" outlineLevel="0" collapsed="false">
      <c r="A1" s="1" t="s">
        <v>64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65</v>
      </c>
      <c r="B2" s="2"/>
      <c r="C2" s="2"/>
      <c r="D2" s="2"/>
      <c r="E2" s="2"/>
    </row>
    <row r="3" customFormat="false" ht="15" hidden="false" customHeight="false" outlineLevel="0" collapsed="false">
      <c r="A3" s="3" t="s">
        <v>53</v>
      </c>
      <c r="B3" s="4" t="s">
        <v>54</v>
      </c>
      <c r="C3" s="4" t="s">
        <v>55</v>
      </c>
      <c r="D3" s="4" t="s">
        <v>56</v>
      </c>
      <c r="E3" s="5" t="s">
        <v>66</v>
      </c>
    </row>
    <row r="4" customFormat="false" ht="15" hidden="false" customHeight="false" outlineLevel="0" collapsed="false">
      <c r="A4" s="2" t="s">
        <v>58</v>
      </c>
      <c r="B4" s="9" t="n">
        <f aca="false">IF('Cohort Data'!$F4=Assumptions!$B$8,ROUND('Cohort Data'!$C4*VLOOKUP('Cohort Data'!$B4,Assumptions!$E$4:$F$4,2,FALSE()),Assumptions!$B$6),0)</f>
        <v>18000000</v>
      </c>
      <c r="C4" s="9" t="n">
        <f aca="false">ROUND('Cohort Data'!$D4,Assumptions!$B$6)</f>
        <v>2000000</v>
      </c>
      <c r="D4" s="9" t="n">
        <f aca="false">ROUND('Cohort Data'!$E4,Assumptions!$B$6)</f>
        <v>-3000000</v>
      </c>
      <c r="E4" s="9" t="n">
        <f aca="false">SUM(B4:D4)</f>
        <v>17000000</v>
      </c>
    </row>
    <row r="5" customFormat="false" ht="15" hidden="false" customHeight="false" outlineLevel="0" collapsed="false">
      <c r="A5" s="2" t="s">
        <v>59</v>
      </c>
      <c r="B5" s="9" t="n">
        <f aca="false">IF('Cohort Data'!$F5=Assumptions!$B$8,ROUND('Cohort Data'!$C5*VLOOKUP('Cohort Data'!$B5,Assumptions!$E$4:$F$4,2,FALSE()),Assumptions!$B$6),0)</f>
        <v>20000000</v>
      </c>
      <c r="C5" s="9" t="n">
        <f aca="false">ROUND('Cohort Data'!$D5,Assumptions!$B$6)</f>
        <v>2100000</v>
      </c>
      <c r="D5" s="9" t="n">
        <f aca="false">ROUND('Cohort Data'!$E5,Assumptions!$B$6)</f>
        <v>-3000000</v>
      </c>
      <c r="E5" s="9" t="n">
        <f aca="false">SUM(B5:D5)</f>
        <v>19100000</v>
      </c>
    </row>
    <row r="6" customFormat="false" ht="15" hidden="false" customHeight="false" outlineLevel="0" collapsed="false">
      <c r="A6" s="2" t="s">
        <v>60</v>
      </c>
      <c r="B6" s="9" t="n">
        <f aca="false">IF('Cohort Data'!$F6=Assumptions!$B$8,ROUND('Cohort Data'!$C6*VLOOKUP('Cohort Data'!$B6,Assumptions!$E$4:$F$4,2,FALSE()),Assumptions!$B$6),0)</f>
        <v>17000000</v>
      </c>
      <c r="C6" s="9" t="n">
        <f aca="false">ROUND('Cohort Data'!$D6,Assumptions!$B$6)</f>
        <v>2100000</v>
      </c>
      <c r="D6" s="9" t="n">
        <f aca="false">ROUND('Cohort Data'!$E6,Assumptions!$B$6)</f>
        <v>-3000000</v>
      </c>
      <c r="E6" s="9" t="n">
        <f aca="false">SUM(B6:D6)</f>
        <v>16100000</v>
      </c>
    </row>
    <row r="7" customFormat="false" ht="15" hidden="false" customHeight="false" outlineLevel="0" collapsed="false">
      <c r="A7" s="2" t="s">
        <v>61</v>
      </c>
      <c r="B7" s="9" t="n">
        <f aca="false">IF('Cohort Data'!$F7=Assumptions!$B$8,ROUND('Cohort Data'!$C7*VLOOKUP('Cohort Data'!$B7,Assumptions!$E$4:$F$4,2,FALSE()),Assumptions!$B$6),0)</f>
        <v>21000000</v>
      </c>
      <c r="C7" s="9" t="n">
        <f aca="false">ROUND('Cohort Data'!$D7,Assumptions!$B$6)</f>
        <v>2100000</v>
      </c>
      <c r="D7" s="9" t="n">
        <f aca="false">ROUND('Cohort Data'!$E7,Assumptions!$B$6)</f>
        <v>-3000000</v>
      </c>
      <c r="E7" s="9" t="n">
        <f aca="false">SUM(B7:D7)</f>
        <v>20100000</v>
      </c>
    </row>
    <row r="8" customFormat="false" ht="15" hidden="false" customHeight="false" outlineLevel="0" collapsed="false">
      <c r="A8" s="2" t="s">
        <v>62</v>
      </c>
      <c r="B8" s="9" t="n">
        <f aca="false">IF('Cohort Data'!$F8=Assumptions!$B$8,ROUND('Cohort Data'!$C8*VLOOKUP('Cohort Data'!$B8,Assumptions!$E$4:$F$4,2,FALSE()),Assumptions!$B$6),0)</f>
        <v>22000000</v>
      </c>
      <c r="C8" s="9" t="n">
        <f aca="false">ROUND('Cohort Data'!$D8,Assumptions!$B$6)</f>
        <v>2100000</v>
      </c>
      <c r="D8" s="9" t="n">
        <f aca="false">ROUND('Cohort Data'!$E8,Assumptions!$B$6)</f>
        <v>-3000000</v>
      </c>
      <c r="E8" s="9" t="n">
        <f aca="false">SUM(B8:D8)</f>
        <v>21100000</v>
      </c>
    </row>
    <row r="9" customFormat="false" ht="15" hidden="false" customHeight="false" outlineLevel="0" collapsed="false">
      <c r="A9" s="2" t="s">
        <v>63</v>
      </c>
      <c r="B9" s="9" t="n">
        <f aca="false">IF('Cohort Data'!$F9=Assumptions!$B$8,ROUND('Cohort Data'!$C9*VLOOKUP('Cohort Data'!$B9,Assumptions!$E$4:$F$4,2,FALSE()),Assumptions!$B$6),0)</f>
        <v>6200000</v>
      </c>
      <c r="C9" s="9" t="n">
        <f aca="false">ROUND('Cohort Data'!$D9,Assumptions!$B$6)</f>
        <v>2200000</v>
      </c>
      <c r="D9" s="9" t="n">
        <f aca="false">ROUND('Cohort Data'!$E9,Assumptions!$B$6)</f>
        <v>-3400000</v>
      </c>
      <c r="E9" s="9" t="n">
        <f aca="false">SUM(B9:D9)</f>
        <v>5000000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</cols>
  <sheetData>
    <row r="1" customFormat="false" ht="24" hidden="false" customHeight="true" outlineLevel="0" collapsed="false">
      <c r="A1" s="1" t="s">
        <v>67</v>
      </c>
      <c r="B1" s="1"/>
    </row>
    <row r="2" customFormat="false" ht="15" hidden="false" customHeight="false" outlineLevel="0" collapsed="false">
      <c r="A2" s="2" t="s">
        <v>68</v>
      </c>
      <c r="B2" s="2"/>
    </row>
    <row r="3" customFormat="false" ht="15" hidden="false" customHeight="false" outlineLevel="0" collapsed="false">
      <c r="A3" s="2"/>
      <c r="B3" s="2"/>
    </row>
    <row r="4" customFormat="false" ht="15" hidden="false" customHeight="false" outlineLevel="0" collapsed="false">
      <c r="A4" s="3" t="s">
        <v>69</v>
      </c>
      <c r="B4" s="5" t="s">
        <v>70</v>
      </c>
    </row>
    <row r="5" customFormat="false" ht="15" hidden="false" customHeight="false" outlineLevel="0" collapsed="false">
      <c r="A5" s="2" t="s">
        <v>16</v>
      </c>
      <c r="B5" s="10" t="n">
        <f aca="false">SUM('Cash Flow Calculation'!$B$4:$B$8)</f>
        <v>98000000</v>
      </c>
    </row>
    <row r="6" customFormat="false" ht="15" hidden="false" customHeight="false" outlineLevel="0" collapsed="false">
      <c r="A6" s="2" t="s">
        <v>71</v>
      </c>
      <c r="B6" s="9" t="n">
        <f aca="false">SUMIFS('Cash Flow Calculation'!$C$4:$C$9,'Cohort Data'!$F$4:$F$9,Assumptions!$B$8)</f>
        <v>12600000</v>
      </c>
    </row>
    <row r="7" customFormat="false" ht="15" hidden="false" customHeight="false" outlineLevel="0" collapsed="false">
      <c r="A7" s="2" t="s">
        <v>72</v>
      </c>
      <c r="B7" s="9" t="n">
        <f aca="false">SUM('Cash Flow Calculation'!$D$4:$D$9)</f>
        <v>-18400000</v>
      </c>
    </row>
    <row r="8" customFormat="false" ht="15" hidden="false" customHeight="false" outlineLevel="0" collapsed="false">
      <c r="A8" s="11" t="s">
        <v>18</v>
      </c>
      <c r="B8" s="12" t="n">
        <f aca="false">SUM(B5:B7)</f>
        <v>92200000</v>
      </c>
    </row>
    <row r="9" customFormat="false" ht="15" hidden="false" customHeight="false" outlineLevel="0" collapsed="false">
      <c r="A9" s="2" t="s">
        <v>45</v>
      </c>
      <c r="B9" s="9" t="n">
        <f aca="false">Assumptions!$B$4</f>
        <v>7800000</v>
      </c>
    </row>
    <row r="10" customFormat="false" ht="15" hidden="false" customHeight="false" outlineLevel="0" collapsed="false">
      <c r="A10" s="2" t="s">
        <v>47</v>
      </c>
      <c r="B10" s="9" t="n">
        <f aca="false">Assumptions!$B$5</f>
        <v>22200000</v>
      </c>
    </row>
    <row r="11" customFormat="false" ht="15" hidden="false" customHeight="false" outlineLevel="0" collapsed="false">
      <c r="A11" s="11" t="s">
        <v>20</v>
      </c>
      <c r="B11" s="12" t="n">
        <f aca="false">SUM(B8:B10)</f>
        <v>122200000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2"/>
    <col collapsed="false" customWidth="true" hidden="false" outlineLevel="0" max="3" min="3" style="0" width="42"/>
  </cols>
  <sheetData>
    <row r="1" customFormat="false" ht="24" hidden="false" customHeight="true" outlineLevel="0" collapsed="false">
      <c r="A1" s="1" t="s">
        <v>73</v>
      </c>
      <c r="B1" s="1"/>
      <c r="C1" s="1"/>
    </row>
    <row r="2" customFormat="false" ht="15" hidden="false" customHeight="false" outlineLevel="0" collapsed="false">
      <c r="A2" s="2" t="s">
        <v>74</v>
      </c>
      <c r="B2" s="2"/>
      <c r="C2" s="2"/>
    </row>
    <row r="3" customFormat="false" ht="15" hidden="false" customHeight="false" outlineLevel="0" collapsed="false">
      <c r="A3" s="3" t="s">
        <v>75</v>
      </c>
      <c r="B3" s="4" t="s">
        <v>76</v>
      </c>
      <c r="C3" s="5" t="s">
        <v>77</v>
      </c>
    </row>
    <row r="4" customFormat="false" ht="15" hidden="false" customHeight="false" outlineLevel="0" collapsed="false">
      <c r="A4" s="2" t="s">
        <v>20</v>
      </c>
      <c r="B4" s="9" t="n">
        <f aca="false">-'Reserve Summary'!B11</f>
        <v>-122200000</v>
      </c>
      <c r="C4" s="2" t="s">
        <v>78</v>
      </c>
    </row>
    <row r="5" customFormat="false" ht="15" hidden="false" customHeight="false" outlineLevel="0" collapsed="false">
      <c r="A5" s="2" t="s">
        <v>79</v>
      </c>
      <c r="B5" s="9" t="n">
        <f aca="false">'Reserve Summary'!B11</f>
        <v>122200000</v>
      </c>
      <c r="C5" s="2" t="s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
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 Guide" sheetId="1" state="visible" r:id="rId3"/>
    <sheet name="Context" sheetId="2" state="visible" r:id="rId4"/>
    <sheet name="Assumptions" sheetId="3" state="visible" r:id="rId5"/>
    <sheet name="Own Funds" sheetId="4" state="visible" r:id="rId6"/>
    <sheet name="SCR Modules" sheetId="5" state="visible" r:id="rId7"/>
    <sheet name="Diversification" sheetId="6" state="visible" r:id="rId8"/>
    <sheet name="Capital Summary" sheetId="7" state="visible" r:id="rId9"/>
    <sheet name="QRT Bridge" sheetId="8" state="visible" r:id="rId10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<sst xmlns="http://schemas.openxmlformats.org/spreadsheetml/2006/main" count="105" uniqueCount="86">
  <si>
    <t xml:space="preserve">Case 8: Solvency II capital and dividend decision</t>
  </si>
  <si>
    <t xml:space="preserve">Business problem</t>
  </si>
  <si>
    <t xml:space="preserve">Synthetic Solvency II capital summary used in a management dividend discussion.</t>
  </si>
  <si>
    <t xml:space="preserve">Management floor</t>
  </si>
  <si>
    <t xml:space="preserve">150% internal capital-management floor.</t>
  </si>
  <si>
    <t xml:space="preserve">Apparent decision</t>
  </si>
  <si>
    <t xml:space="preserve">The defective 162.2% ratio appears to support considering a EUR 10 million dividend.</t>
  </si>
  <si>
    <t xml:space="preserve">Correct comparison</t>
  </si>
  <si>
    <t xml:space="preserve">The approved-basis 146.3% ratio is below the management floor.</t>
  </si>
  <si>
    <t xml:space="preserve">Gate 2 output</t>
  </si>
  <si>
    <t xml:space="preserve">QRT Bridge!B4 (Final SCR only).</t>
  </si>
  <si>
    <t xml:space="preserve">Boundary</t>
  </si>
  <si>
    <t xml:space="preserve">Glass Box does not decide whether a dividend should be paid.</t>
  </si>
  <si>
    <t xml:space="preserve">Methodology boundary</t>
  </si>
  <si>
    <t xml:space="preserve">Glass Box does not validate Solvency II methodology.</t>
  </si>
  <si>
    <t xml:space="preserve">Manual check</t>
  </si>
  <si>
    <t xml:space="preserve">Expected value</t>
  </si>
  <si>
    <t xml:space="preserve">Location</t>
  </si>
  <si>
    <t xml:space="preserve">Approved Final SCR</t>
  </si>
  <si>
    <t xml:space="preserve">Capital Summary!B9</t>
  </si>
  <si>
    <t xml:space="preserve">Workbook Final SCR</t>
  </si>
  <si>
    <t xml:space="preserve">Capital Summary!C9</t>
  </si>
  <si>
    <t xml:space="preserve">Approved-basis ratio</t>
  </si>
  <si>
    <t xml:space="preserve">Capital Summary!B10</t>
  </si>
  <si>
    <t xml:space="preserve">Workbook ratio</t>
  </si>
  <si>
    <t xml:space="preserve">Capital Summary!C10</t>
  </si>
  <si>
    <t xml:space="preserve">External difference</t>
  </si>
  <si>
    <t xml:space="preserve">Approved reference minus workbook SCR</t>
  </si>
  <si>
    <t xml:space="preserve">Confirmed workbook context</t>
  </si>
  <si>
    <t xml:space="preserve">Field</t>
  </si>
  <si>
    <t xml:space="preserve">Workbook value</t>
  </si>
  <si>
    <t xml:space="preserve">Entity</t>
  </si>
  <si>
    <t xml:space="preserve">Glass Box Life Belgium SA</t>
  </si>
  <si>
    <t xml:space="preserve">Period</t>
  </si>
  <si>
    <t xml:space="preserve">31 December 2025</t>
  </si>
  <si>
    <t xml:space="preserve">Currency</t>
  </si>
  <si>
    <t xml:space="preserve">EUR</t>
  </si>
  <si>
    <t xml:space="preserve">Basis</t>
  </si>
  <si>
    <t xml:space="preserve">Synthetic Solvency II capital demonstration</t>
  </si>
  <si>
    <t xml:space="preserve">Data status</t>
  </si>
  <si>
    <t xml:space="preserve">Entirely synthetic</t>
  </si>
  <si>
    <t xml:space="preserve">Approved capital assumptions</t>
  </si>
  <si>
    <t xml:space="preserve">Assumption</t>
  </si>
  <si>
    <t xml:space="preserve">Approved value</t>
  </si>
  <si>
    <t xml:space="preserve">SCR module</t>
  </si>
  <si>
    <t xml:space="preserve">Approved factor</t>
  </si>
  <si>
    <t xml:space="preserve">Diversification benefit</t>
  </si>
  <si>
    <t xml:space="preserve">Market</t>
  </si>
  <si>
    <t xml:space="preserve">Operational risk</t>
  </si>
  <si>
    <t xml:space="preserve">Life underwriting</t>
  </si>
  <si>
    <t xml:space="preserve">Internal capital-management floor</t>
  </si>
  <si>
    <t xml:space="preserve">Counterparty</t>
  </si>
  <si>
    <t xml:space="preserve">Illustrative dividend</t>
  </si>
  <si>
    <t xml:space="preserve">Other</t>
  </si>
  <si>
    <t xml:space="preserve">Included status</t>
  </si>
  <si>
    <t xml:space="preserve">Included</t>
  </si>
  <si>
    <t xml:space="preserve">Eligible own funds</t>
  </si>
  <si>
    <t xml:space="preserve">Component</t>
  </si>
  <si>
    <t xml:space="preserve">Amount (EUR)</t>
  </si>
  <si>
    <t xml:space="preserve">Eligibility</t>
  </si>
  <si>
    <t xml:space="preserve">Share capital and reserves</t>
  </si>
  <si>
    <t xml:space="preserve">Retained earnings</t>
  </si>
  <si>
    <t xml:space="preserve">SCR modules before diversification</t>
  </si>
  <si>
    <t xml:space="preserve">Module</t>
  </si>
  <si>
    <t xml:space="preserve">Base SCR</t>
  </si>
  <si>
    <t xml:space="preserve">Adjusted SCR</t>
  </si>
  <si>
    <t xml:space="preserve">Status</t>
  </si>
  <si>
    <t xml:space="preserve">SCR before diversification</t>
  </si>
  <si>
    <t xml:space="preserve">Diversification comparison</t>
  </si>
  <si>
    <t xml:space="preserve">Measure</t>
  </si>
  <si>
    <t xml:space="preserve">Approved diversification benefit</t>
  </si>
  <si>
    <t xml:space="preserve">Amount embedded in workbook formula</t>
  </si>
  <si>
    <t xml:space="preserve">Solvency capital summary</t>
  </si>
  <si>
    <t xml:space="preserve">The two columns must remain distinct: approved basis versus workbook calculation.</t>
  </si>
  <si>
    <t xml:space="preserve">Metric</t>
  </si>
  <si>
    <t xml:space="preserve">Approved basis</t>
  </si>
  <si>
    <t xml:space="preserve">Workbook calculation</t>
  </si>
  <si>
    <t xml:space="preserve">Final SCR</t>
  </si>
  <si>
    <t xml:space="preserve">Solvency ratio</t>
  </si>
  <si>
    <t xml:space="preserve">Management indicator</t>
  </si>
  <si>
    <t xml:space="preserve">Approved-capital reconciliation bridge</t>
  </si>
  <si>
    <t xml:space="preserve">Only the monetary Final SCR is designated. The solvency ratio is a management metric.</t>
  </si>
  <si>
    <t xml:space="preserve">Authoritative output</t>
  </si>
  <si>
    <t xml:space="preserve">Workbook amount (EUR)</t>
  </si>
  <si>
    <t xml:space="preserve">Reference basis</t>
  </si>
  <si>
    <t xml:space="preserve">Approved capital result: EUR 123.0 million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</si>
</sst>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,,\m;[RED]&quot;(€&quot;#,##0.0,,&quot;m)&quot;;\-"/>
    <numFmt numFmtId="166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FFFFFF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8"/>
    <col collapsed="false" customWidth="true" hidden="false" outlineLevel="0" max="3" min="3" style="0" width="30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1</v>
      </c>
      <c r="B3" s="2" t="s">
        <v>2</v>
      </c>
      <c r="C3" s="2"/>
    </row>
    <row r="4" customFormat="false" ht="15" hidden="false" customHeight="false" outlineLevel="0" collapsed="false">
      <c r="A4" s="2" t="s">
        <v>3</v>
      </c>
      <c r="B4" s="2" t="s">
        <v>4</v>
      </c>
      <c r="C4" s="2"/>
    </row>
    <row r="5" customFormat="false" ht="15" hidden="false" customHeight="false" outlineLevel="0" collapsed="false">
      <c r="A5" s="2" t="s">
        <v>5</v>
      </c>
      <c r="B5" s="2" t="s">
        <v>6</v>
      </c>
      <c r="C5" s="2"/>
    </row>
    <row r="6" customFormat="false" ht="15" hidden="false" customHeight="false" outlineLevel="0" collapsed="false">
      <c r="A6" s="2" t="s">
        <v>7</v>
      </c>
      <c r="B6" s="2" t="s">
        <v>8</v>
      </c>
      <c r="C6" s="2"/>
    </row>
    <row r="7" customFormat="false" ht="15" hidden="false" customHeight="false" outlineLevel="0" collapsed="false">
      <c r="A7" s="2" t="s">
        <v>9</v>
      </c>
      <c r="B7" s="2" t="s">
        <v>10</v>
      </c>
      <c r="C7" s="2"/>
    </row>
    <row r="8" customFormat="false" ht="15" hidden="false" customHeight="false" outlineLevel="0" collapsed="false">
      <c r="A8" s="2" t="s">
        <v>11</v>
      </c>
      <c r="B8" s="2" t="s">
        <v>12</v>
      </c>
      <c r="C8" s="2"/>
    </row>
    <row r="9" customFormat="false" ht="15" hidden="false" customHeight="false" outlineLevel="0" collapsed="false">
      <c r="A9" s="2" t="s">
        <v>13</v>
      </c>
      <c r="B9" s="2" t="s">
        <v>14</v>
      </c>
      <c r="C9" s="2"/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3" t="s">
        <v>15</v>
      </c>
      <c r="B11" s="4" t="s">
        <v>16</v>
      </c>
      <c r="C11" s="5" t="s">
        <v>17</v>
      </c>
    </row>
    <row r="12" customFormat="false" ht="15" hidden="false" customHeight="false" outlineLevel="0" collapsed="false">
      <c r="A12" s="2" t="s">
        <v>18</v>
      </c>
      <c r="B12" s="6" t="n">
        <v>123000000</v>
      </c>
      <c r="C12" s="2" t="s">
        <v>19</v>
      </c>
    </row>
    <row r="13" customFormat="false" ht="15" hidden="false" customHeight="false" outlineLevel="0" collapsed="false">
      <c r="A13" s="2" t="s">
        <v>20</v>
      </c>
      <c r="B13" s="6" t="n">
        <v>111000000</v>
      </c>
      <c r="C13" s="2" t="s">
        <v>21</v>
      </c>
    </row>
    <row r="14" customFormat="false" ht="15" hidden="false" customHeight="false" outlineLevel="0" collapsed="false">
      <c r="A14" s="2" t="s">
        <v>22</v>
      </c>
      <c r="B14" s="7" t="n">
        <v>1.463</v>
      </c>
      <c r="C14" s="2" t="s">
        <v>23</v>
      </c>
    </row>
    <row r="15" customFormat="false" ht="15" hidden="false" customHeight="false" outlineLevel="0" collapsed="false">
      <c r="A15" s="2" t="s">
        <v>24</v>
      </c>
      <c r="B15" s="7" t="n">
        <v>1.622</v>
      </c>
      <c r="C15" s="2" t="s">
        <v>25</v>
      </c>
    </row>
    <row r="16" customFormat="false" ht="15" hidden="false" customHeight="false" outlineLevel="0" collapsed="false">
      <c r="A16" s="2" t="s">
        <v>26</v>
      </c>
      <c r="B16" s="6" t="n">
        <v>12000000</v>
      </c>
      <c r="C16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24" hidden="false" customHeight="true" outlineLevel="0" collapsed="false">
      <c r="A1" s="1" t="s">
        <v>28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29</v>
      </c>
      <c r="B3" s="5" t="s">
        <v>30</v>
      </c>
    </row>
    <row r="4" customFormat="false" ht="15" hidden="false" customHeight="false" outlineLevel="0" collapsed="false">
      <c r="A4" s="2" t="s">
        <v>31</v>
      </c>
      <c r="B4" s="2" t="s">
        <v>32</v>
      </c>
    </row>
    <row r="5" customFormat="false" ht="15" hidden="false" customHeight="false" outlineLevel="0" collapsed="false">
      <c r="A5" s="2" t="s">
        <v>33</v>
      </c>
      <c r="B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</row>
    <row r="8" customFormat="false" ht="15" hidden="false" customHeight="false" outlineLevel="0" collapsed="false">
      <c r="A8" s="2" t="s">
        <v>39</v>
      </c>
      <c r="B8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9"/>
    <col collapsed="false" customWidth="true" hidden="false" outlineLevel="0" max="5" min="5" style="0" width="22"/>
    <col collapsed="false" customWidth="true" hidden="false" outlineLevel="0" max="6" min="6" style="0" width="17"/>
  </cols>
  <sheetData>
    <row r="1" customFormat="false" ht="24" hidden="false" customHeight="true" outlineLevel="0" collapsed="false">
      <c r="A1" s="1" t="s">
        <v>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42</v>
      </c>
      <c r="B3" s="5" t="s">
        <v>43</v>
      </c>
      <c r="C3" s="2"/>
      <c r="D3" s="2"/>
      <c r="E3" s="3" t="s">
        <v>44</v>
      </c>
      <c r="F3" s="5" t="s">
        <v>45</v>
      </c>
    </row>
    <row r="4" customFormat="false" ht="15" hidden="false" customHeight="false" outlineLevel="0" collapsed="false">
      <c r="A4" s="2" t="s">
        <v>46</v>
      </c>
      <c r="B4" s="8" t="n">
        <v>35000000</v>
      </c>
      <c r="C4" s="2"/>
      <c r="D4" s="2"/>
      <c r="E4" s="2" t="s">
        <v>47</v>
      </c>
      <c r="F4" s="9" t="n">
        <v>1</v>
      </c>
    </row>
    <row r="5" customFormat="false" ht="15" hidden="false" customHeight="false" outlineLevel="0" collapsed="false">
      <c r="A5" s="2" t="s">
        <v>48</v>
      </c>
      <c r="B5" s="8" t="n">
        <v>8000000</v>
      </c>
      <c r="C5" s="2"/>
      <c r="D5" s="2"/>
      <c r="E5" s="2" t="s">
        <v>49</v>
      </c>
      <c r="F5" s="9" t="n">
        <v>1</v>
      </c>
    </row>
    <row r="6" customFormat="false" ht="15" hidden="false" customHeight="false" outlineLevel="0" collapsed="false">
      <c r="A6" s="2" t="s">
        <v>50</v>
      </c>
      <c r="B6" s="10" t="n">
        <v>1.5</v>
      </c>
      <c r="C6" s="2"/>
      <c r="D6" s="2"/>
      <c r="E6" s="2" t="s">
        <v>51</v>
      </c>
      <c r="F6" s="9" t="n">
        <v>1</v>
      </c>
    </row>
    <row r="7" customFormat="false" ht="15" hidden="false" customHeight="false" outlineLevel="0" collapsed="false">
      <c r="A7" s="2" t="s">
        <v>52</v>
      </c>
      <c r="B7" s="8" t="n">
        <v>10000000</v>
      </c>
      <c r="C7" s="2"/>
      <c r="D7" s="2"/>
      <c r="E7" s="2" t="s">
        <v>53</v>
      </c>
      <c r="F7" s="9" t="n">
        <v>1</v>
      </c>
    </row>
    <row r="8" customFormat="false" ht="15" hidden="false" customHeight="false" outlineLevel="0" collapsed="false">
      <c r="A8" s="2" t="s">
        <v>54</v>
      </c>
      <c r="B8" s="9" t="s">
        <v>55</v>
      </c>
      <c r="C8" s="2"/>
      <c r="D8" s="2"/>
      <c r="E8" s="2"/>
      <c r="F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4" hidden="false" customHeight="true" outlineLevel="0" collapsed="false">
      <c r="A1" s="1" t="s">
        <v>56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57</v>
      </c>
      <c r="B3" s="4" t="s">
        <v>58</v>
      </c>
      <c r="C3" s="5" t="s">
        <v>59</v>
      </c>
    </row>
    <row r="4" customFormat="false" ht="15" hidden="false" customHeight="false" outlineLevel="0" collapsed="false">
      <c r="A4" s="2" t="s">
        <v>60</v>
      </c>
      <c r="B4" s="8" t="n">
        <v>100000000</v>
      </c>
      <c r="C4" s="2" t="s">
        <v>55</v>
      </c>
    </row>
    <row r="5" customFormat="false" ht="15" hidden="false" customHeight="false" outlineLevel="0" collapsed="false">
      <c r="A5" s="2" t="s">
        <v>61</v>
      </c>
      <c r="B5" s="8" t="n">
        <v>80000000</v>
      </c>
      <c r="C5" s="2" t="s">
        <v>55</v>
      </c>
    </row>
    <row r="6" customFormat="false" ht="15" hidden="false" customHeight="false" outlineLevel="0" collapsed="false">
      <c r="A6" s="2"/>
      <c r="B6" s="6"/>
      <c r="C6" s="2"/>
    </row>
    <row r="7" customFormat="false" ht="15" hidden="false" customHeight="false" outlineLevel="0" collapsed="false">
      <c r="A7" s="11" t="s">
        <v>56</v>
      </c>
      <c r="B7" s="12" t="n">
        <f aca="false">SUM(B4:B5)</f>
        <v>180000000</v>
      </c>
      <c r="C7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9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62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63</v>
      </c>
      <c r="B3" s="4" t="s">
        <v>64</v>
      </c>
      <c r="C3" s="4" t="s">
        <v>45</v>
      </c>
      <c r="D3" s="4" t="s">
        <v>65</v>
      </c>
      <c r="E3" s="5" t="s">
        <v>66</v>
      </c>
    </row>
    <row r="4" customFormat="false" ht="15" hidden="false" customHeight="false" outlineLevel="0" collapsed="false">
      <c r="A4" s="2" t="s">
        <v>47</v>
      </c>
      <c r="B4" s="8" t="n">
        <v>60000000</v>
      </c>
      <c r="C4" s="14" t="n">
        <f aca="false">VLOOKUP(A4,Assumptions!$E$4:$F$7,2,FALSE())</f>
        <v>1</v>
      </c>
      <c r="D4" s="14" t="n">
        <f aca="false">ROUND(B4*C4,0)</f>
        <v>60000000</v>
      </c>
      <c r="E4" s="15" t="s">
        <v>55</v>
      </c>
    </row>
    <row r="5" customFormat="false" ht="15" hidden="false" customHeight="false" outlineLevel="0" collapsed="false">
      <c r="A5" s="2" t="s">
        <v>49</v>
      </c>
      <c r="B5" s="8" t="n">
        <v>50000000</v>
      </c>
      <c r="C5" s="14" t="n">
        <f aca="false">VLOOKUP(A5,Assumptions!$E$4:$F$7,2,FALSE())</f>
        <v>1</v>
      </c>
      <c r="D5" s="14" t="n">
        <f aca="false">ROUND(B5*C5,0)</f>
        <v>50000000</v>
      </c>
      <c r="E5" s="15" t="s">
        <v>55</v>
      </c>
    </row>
    <row r="6" customFormat="false" ht="15" hidden="false" customHeight="false" outlineLevel="0" collapsed="false">
      <c r="A6" s="2" t="s">
        <v>51</v>
      </c>
      <c r="B6" s="8" t="n">
        <v>25000000</v>
      </c>
      <c r="C6" s="14" t="n">
        <f aca="false">VLOOKUP(A6,Assumptions!$E$4:$F$7,2,FALSE())</f>
        <v>1</v>
      </c>
      <c r="D6" s="14" t="n">
        <f aca="false">ROUND(B6*C6,0)</f>
        <v>25000000</v>
      </c>
      <c r="E6" s="15" t="s">
        <v>55</v>
      </c>
    </row>
    <row r="7" customFormat="false" ht="15" hidden="false" customHeight="false" outlineLevel="0" collapsed="false">
      <c r="A7" s="2" t="s">
        <v>53</v>
      </c>
      <c r="B7" s="8" t="n">
        <v>15000000</v>
      </c>
      <c r="C7" s="14" t="n">
        <f aca="false">VLOOKUP(A7,Assumptions!$E$4:$F$7,2,FALSE())</f>
        <v>1</v>
      </c>
      <c r="D7" s="14" t="n">
        <f aca="false">ROUND(B7*C7,0)</f>
        <v>15000000</v>
      </c>
      <c r="E7" s="15" t="s">
        <v>55</v>
      </c>
    </row>
    <row r="8" customFormat="false" ht="15" hidden="false" customHeight="false" outlineLevel="0" collapsed="false">
      <c r="A8" s="2"/>
      <c r="B8" s="6"/>
      <c r="C8" s="6"/>
      <c r="D8" s="6"/>
      <c r="E8" s="2"/>
    </row>
    <row r="9" customFormat="false" ht="15" hidden="false" customHeight="false" outlineLevel="0" collapsed="false">
      <c r="A9" s="11" t="s">
        <v>67</v>
      </c>
      <c r="B9" s="12"/>
      <c r="C9" s="12"/>
      <c r="D9" s="12" t="n">
        <f aca="false">SUMIFS(D4:D7,E4:E7,Assumptions!$B$8)</f>
        <v>150000000</v>
      </c>
      <c r="E9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68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69</v>
      </c>
      <c r="B3" s="5" t="s">
        <v>58</v>
      </c>
    </row>
    <row r="4" customFormat="false" ht="15" hidden="false" customHeight="false" outlineLevel="0" collapsed="false">
      <c r="A4" s="2" t="s">
        <v>70</v>
      </c>
      <c r="B4" s="6" t="n">
        <v>35000000</v>
      </c>
    </row>
    <row r="5" customFormat="false" ht="15" hidden="false" customHeight="false" outlineLevel="0" collapsed="false">
      <c r="A5" s="2" t="s">
        <v>71</v>
      </c>
      <c r="B5" s="6" t="n">
        <v>47000000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3"/>
  </cols>
  <sheetData>
    <row r="1" customFormat="false" ht="24" hidden="false" customHeight="true" outlineLevel="0" collapsed="false">
      <c r="A1" s="1" t="s">
        <v>72</v>
      </c>
      <c r="B1" s="1"/>
      <c r="C1" s="1"/>
    </row>
    <row r="2" customFormat="false" ht="15" hidden="false" customHeight="false" outlineLevel="0" collapsed="false">
      <c r="A2" s="2" t="s">
        <v>73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74</v>
      </c>
      <c r="B4" s="4" t="s">
        <v>75</v>
      </c>
      <c r="C4" s="5" t="s">
        <v>76</v>
      </c>
    </row>
    <row r="5" customFormat="false" ht="15" hidden="false" customHeight="false" outlineLevel="0" collapsed="false">
      <c r="A5" s="2" t="s">
        <v>56</v>
      </c>
      <c r="B5" s="14" t="n">
        <f aca="false">'Own Funds'!B7</f>
        <v>180000000</v>
      </c>
      <c r="C5" s="14" t="n">
        <f aca="false">'Own Funds'!B7</f>
        <v>180000000</v>
      </c>
    </row>
    <row r="6" customFormat="false" ht="15" hidden="false" customHeight="false" outlineLevel="0" collapsed="false">
      <c r="A6" s="2" t="s">
        <v>67</v>
      </c>
      <c r="B6" s="14" t="n">
        <f aca="false">'SCR Modules'!D9</f>
        <v>150000000</v>
      </c>
      <c r="C6" s="14" t="n">
        <f aca="false">'SCR Modules'!D9</f>
        <v>150000000</v>
      </c>
    </row>
    <row r="7" customFormat="false" ht="15" hidden="false" customHeight="false" outlineLevel="0" collapsed="false">
      <c r="A7" s="2" t="s">
        <v>46</v>
      </c>
      <c r="B7" s="14" t="n">
        <f aca="false">-Assumptions!$B$4</f>
        <v>-35000000</v>
      </c>
      <c r="C7" s="14" t="n">
        <f aca="false">-Diversification!$B$5</f>
        <v>-47000000</v>
      </c>
    </row>
    <row r="8" customFormat="false" ht="15" hidden="false" customHeight="false" outlineLevel="0" collapsed="false">
      <c r="A8" s="2" t="s">
        <v>48</v>
      </c>
      <c r="B8" s="14" t="n">
        <f aca="false">Assumptions!$B$5</f>
        <v>8000000</v>
      </c>
      <c r="C8" s="14" t="n">
        <f aca="false">Assumptions!$B$5</f>
        <v>8000000</v>
      </c>
    </row>
    <row r="9" customFormat="false" ht="15" hidden="false" customHeight="false" outlineLevel="0" collapsed="false">
      <c r="A9" s="11" t="s">
        <v>77</v>
      </c>
      <c r="B9" s="16" t="n">
        <f aca="false">ROUND(B6-Assumptions!$B$4+B8,0)</f>
        <v>123000000</v>
      </c>
      <c r="C9" s="17" t="n">
        <f aca="false">ROUND(C6-47000000+C8,0)</f>
        <v>111000000</v>
      </c>
    </row>
    <row r="10" customFormat="false" ht="15" hidden="false" customHeight="false" outlineLevel="0" collapsed="false">
      <c r="A10" s="2" t="s">
        <v>78</v>
      </c>
      <c r="B10" s="18" t="n">
        <f aca="false">ROUND(B5/B9,3)</f>
        <v>1.463</v>
      </c>
      <c r="C10" s="18" t="n">
        <f aca="false">ROUND(C5/C9,3)</f>
        <v>1.622</v>
      </c>
    </row>
    <row r="11" customFormat="false" ht="15" hidden="false" customHeight="false" outlineLevel="0" collapsed="false">
      <c r="A11" s="2" t="s">
        <v>50</v>
      </c>
      <c r="B11" s="18" t="n">
        <f aca="false">Assumptions!$B$6</f>
        <v>1.5</v>
      </c>
      <c r="C11" s="18" t="n">
        <f aca="false">Assumptions!$B$6</f>
        <v>1.5</v>
      </c>
    </row>
    <row r="12" customFormat="false" ht="15" hidden="false" customHeight="false" outlineLevel="0" collapsed="false">
      <c r="A12" s="2" t="s">
        <v>79</v>
      </c>
      <c r="B12" s="15" t="str">
        <f aca="false">IF(B10&gt;=B11,"Dividend review may be considered","Below management floor")</f>
        <v>Below management floor</v>
      </c>
      <c r="C12" s="15" t="str">
        <f aca="false">IF(C10&gt;=C11,"Dividend review may be considered","Below management floor")</f>
        <v>Dividend review may be considered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4" hidden="false" customHeight="true" outlineLevel="0" collapsed="false">
      <c r="A1" s="1" t="s">
        <v>80</v>
      </c>
      <c r="B1" s="1"/>
      <c r="C1" s="1"/>
    </row>
    <row r="2" customFormat="false" ht="15" hidden="false" customHeight="false" outlineLevel="0" collapsed="false">
      <c r="A2" s="2" t="s">
        <v>81</v>
      </c>
      <c r="B2" s="2"/>
      <c r="C2" s="2"/>
    </row>
    <row r="3" customFormat="false" ht="15" hidden="false" customHeight="false" outlineLevel="0" collapsed="false">
      <c r="A3" s="3" t="s">
        <v>82</v>
      </c>
      <c r="B3" s="4" t="s">
        <v>83</v>
      </c>
      <c r="C3" s="5" t="s">
        <v>84</v>
      </c>
    </row>
    <row r="4" customFormat="false" ht="15" hidden="false" customHeight="false" outlineLevel="0" collapsed="false">
      <c r="A4" s="2" t="s">
        <v>77</v>
      </c>
      <c r="B4" s="14" t="n">
        <f aca="false">'Capital Summary'!C9</f>
        <v>111000000</v>
      </c>
      <c r="C4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
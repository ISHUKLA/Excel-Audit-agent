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utputs" sheetId="1" state="visible" r:id="rId3"/>
    <sheet name="Calculations" sheetId="2" state="visible" r:id="rId4"/>
    <sheet name="Inputs" sheetId="3" state="visible" r:id="rId5"/>
    <sheet name="Assumptions" sheetId="4" state="visible" r:id="rId6"/>
    <sheet name="Lookups" sheetId="5" state="visible" r:id="rId7"/>
    <sheet name="Scope Boundary" sheetId="6" state="visible" r:id="rId8"/>
    <sheet name="Demo Guide" sheetId="7" state="visible" r:id="rId9"/>
  </sheets>
  <calcPr calcId="191029" calcMode="auto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<sst xmlns="http://schemas.openxmlformats.org/spreadsheetml/2006/main" count="335" uniqueCount="207">
  <si>
    <t xml:space="preserve">Case 5: supported formula demonstration</t>
  </si>
  <si>
    <t xml:space="preserve">Select all cells in column C below at Gate 2. Each calculation should reconstruct completely.</t>
  </si>
  <si>
    <t xml:space="preserve">Control account</t>
  </si>
  <si>
    <t xml:space="preserve">Authoritative output</t>
  </si>
  <si>
    <t xml:space="preserve">Result</t>
  </si>
  <si>
    <t xml:space="preserve">Primary function</t>
  </si>
  <si>
    <t xml:space="preserve">Expected status</t>
  </si>
  <si>
    <t xml:space="preserve">Output cell</t>
  </si>
  <si>
    <t xml:space="preserve">FML-001</t>
  </si>
  <si>
    <t xml:space="preserve">Portfolio claim estimate total</t>
  </si>
  <si>
    <t xml:space="preserve">SUM</t>
  </si>
  <si>
    <t xml:space="preserve">complete / pass</t>
  </si>
  <si>
    <t xml:space="preserve">Outputs!C4</t>
  </si>
  <si>
    <t xml:space="preserve">FML-002</t>
  </si>
  <si>
    <t xml:space="preserve">Absolute net portfolio adjustment</t>
  </si>
  <si>
    <t xml:space="preserve">ABS</t>
  </si>
  <si>
    <t xml:space="preserve">Outputs!C5</t>
  </si>
  <si>
    <t xml:space="preserve">FML-003</t>
  </si>
  <si>
    <t xml:space="preserve">Whole premium exposure units</t>
  </si>
  <si>
    <t xml:space="preserve">INT</t>
  </si>
  <si>
    <t xml:space="preserve">Outputs!C6</t>
  </si>
  <si>
    <t xml:space="preserve">FML-004</t>
  </si>
  <si>
    <t xml:space="preserve">Rounded positive reserve adjustment</t>
  </si>
  <si>
    <t xml:space="preserve">ROUND</t>
  </si>
  <si>
    <t xml:space="preserve">Outputs!C7</t>
  </si>
  <si>
    <t xml:space="preserve">FML-005</t>
  </si>
  <si>
    <t xml:space="preserve">Conservative negative adjustment</t>
  </si>
  <si>
    <t xml:space="preserve">ROUNDUP</t>
  </si>
  <si>
    <t xml:space="preserve">Outputs!C8</t>
  </si>
  <si>
    <t xml:space="preserve">FML-006</t>
  </si>
  <si>
    <t xml:space="preserve">Truncated negative adjustment</t>
  </si>
  <si>
    <t xml:space="preserve">ROUNDDOWN</t>
  </si>
  <si>
    <t xml:space="preserve">Outputs!C9</t>
  </si>
  <si>
    <t xml:space="preserve">FML-007</t>
  </si>
  <si>
    <t xml:space="preserve">Upper reserve reporting band</t>
  </si>
  <si>
    <t xml:space="preserve">CEILING</t>
  </si>
  <si>
    <t xml:space="preserve">Outputs!C10</t>
  </si>
  <si>
    <t xml:space="preserve">FML-008</t>
  </si>
  <si>
    <t xml:space="preserve">Lower reserve reporting band</t>
  </si>
  <si>
    <t xml:space="preserve">FLOOR</t>
  </si>
  <si>
    <t xml:space="preserve">Outputs!C11</t>
  </si>
  <si>
    <t xml:space="preserve">FML-009</t>
  </si>
  <si>
    <t xml:space="preserve">SUMIF product reserve total</t>
  </si>
  <si>
    <t xml:space="preserve">SUMIF</t>
  </si>
  <si>
    <t xml:space="preserve">Outputs!C12</t>
  </si>
  <si>
    <t xml:space="preserve">FML-010</t>
  </si>
  <si>
    <t xml:space="preserve">SUMIFS product-region reserve total</t>
  </si>
  <si>
    <t xml:space="preserve">SUMIFS</t>
  </si>
  <si>
    <t xml:space="preserve">Outputs!C13</t>
  </si>
  <si>
    <t xml:space="preserve">FML-011</t>
  </si>
  <si>
    <t xml:space="preserve">COUNTIF selected product population</t>
  </si>
  <si>
    <t xml:space="preserve">COUNTIF</t>
  </si>
  <si>
    <t xml:space="preserve">Outputs!C14</t>
  </si>
  <si>
    <t xml:space="preserve">FML-012</t>
  </si>
  <si>
    <t xml:space="preserve">COUNTIFS active North population</t>
  </si>
  <si>
    <t xml:space="preserve">COUNTIFS</t>
  </si>
  <si>
    <t xml:space="preserve">Outputs!C15</t>
  </si>
  <si>
    <t xml:space="preserve">FML-013</t>
  </si>
  <si>
    <t xml:space="preserve">AVERAGEIF optional Property mean</t>
  </si>
  <si>
    <t xml:space="preserve">AVERAGEIF</t>
  </si>
  <si>
    <t xml:space="preserve">Outputs!C16</t>
  </si>
  <si>
    <t xml:space="preserve">FML-014</t>
  </si>
  <si>
    <t xml:space="preserve">AVERAGEIFS active North mean</t>
  </si>
  <si>
    <t xml:space="preserve">AVERAGEIFS</t>
  </si>
  <si>
    <t xml:space="preserve">Outputs!C17</t>
  </si>
  <si>
    <t xml:space="preserve">FML-015</t>
  </si>
  <si>
    <t xml:space="preserve">MINIFS active claims minimum</t>
  </si>
  <si>
    <t xml:space="preserve">MINIFS</t>
  </si>
  <si>
    <t xml:space="preserve">Outputs!C18</t>
  </si>
  <si>
    <t xml:space="preserve">FML-016</t>
  </si>
  <si>
    <t xml:space="preserve">MAXIFS active claims maximum</t>
  </si>
  <si>
    <t xml:space="preserve">MAXIFS</t>
  </si>
  <si>
    <t xml:space="preserve">Outputs!C19</t>
  </si>
  <si>
    <t xml:space="preserve">FML-017</t>
  </si>
  <si>
    <t xml:space="preserve">IF first active claim</t>
  </si>
  <si>
    <t xml:space="preserve">IF</t>
  </si>
  <si>
    <t xml:space="preserve">Outputs!C20</t>
  </si>
  <si>
    <t xml:space="preserve">FML-018</t>
  </si>
  <si>
    <t xml:space="preserve">Exact product risk factor</t>
  </si>
  <si>
    <t xml:space="preserve">VLOOKUP</t>
  </si>
  <si>
    <t xml:space="preserve">Outputs!C21</t>
  </si>
  <si>
    <t xml:space="preserve">FML-019</t>
  </si>
  <si>
    <t xml:space="preserve">Exact product table position</t>
  </si>
  <si>
    <t xml:space="preserve">MATCH</t>
  </si>
  <si>
    <t xml:space="preserve">Outputs!C22</t>
  </si>
  <si>
    <t xml:space="preserve">FML-020</t>
  </si>
  <si>
    <t xml:space="preserve">Nested product risk factor</t>
  </si>
  <si>
    <t xml:space="preserve">INDEX</t>
  </si>
  <si>
    <t xml:space="preserve">Outputs!C23</t>
  </si>
  <si>
    <t xml:space="preserve">Supported formula calculations</t>
  </si>
  <si>
    <t xml:space="preserve">Each row is a separate synthetic financial control. Formula inputs remain visible on the supporting tabs.</t>
  </si>
  <si>
    <t xml:space="preserve">Output label</t>
  </si>
  <si>
    <t xml:space="preserve">Calculated result</t>
  </si>
  <si>
    <t xml:space="preserve">Business meaning</t>
  </si>
  <si>
    <t xml:space="preserve">Adds the claim estimates across the synthetic portfolio.</t>
  </si>
  <si>
    <t xml:space="preserve">Shows the magnitude of the signed adjustment total.</t>
  </si>
  <si>
    <t xml:space="preserve">Converts total premium into complete EUR 100,000 exposure units.</t>
  </si>
  <si>
    <t xml:space="preserve">Exercises Excel half-away-from-zero rounding on a positive amount.</t>
  </si>
  <si>
    <t xml:space="preserve">Rounds a negative adjustment away from zero.</t>
  </si>
  <si>
    <t xml:space="preserve">Rounds a negative adjustment towards zero.</t>
  </si>
  <si>
    <t xml:space="preserve">Rounds an amount up to the next EUR 100 reporting band.</t>
  </si>
  <si>
    <t xml:space="preserve">Rounds an amount down to the previous EUR 100 reporting band.</t>
  </si>
  <si>
    <t xml:space="preserve">Adds claims for the selected product.</t>
  </si>
  <si>
    <t xml:space="preserve">Adds claims for one product and one region.</t>
  </si>
  <si>
    <t xml:space="preserve">Counts cohorts for the selected product.</t>
  </si>
  <si>
    <t xml:space="preserve">Counts active cohorts in the selected region.</t>
  </si>
  <si>
    <t xml:space="preserve">Excludes blanks but includes the genuine zero in the average.</t>
  </si>
  <si>
    <t xml:space="preserve">Averages claims meeting region and active-status conditions.</t>
  </si>
  <si>
    <t xml:space="preserve">Finds the minimum claim estimate in the active population.</t>
  </si>
  <si>
    <t xml:space="preserve">Finds the maximum claim estimate in the active population.</t>
  </si>
  <si>
    <t xml:space="preserve">Returns the claim estimate when the cohort flag is TRUE.</t>
  </si>
  <si>
    <t xml:space="preserve">Retrieves a product factor using an exact VLOOKUP.</t>
  </si>
  <si>
    <t xml:space="preserve">Finds the exact position of the selected product.</t>
  </si>
  <si>
    <t xml:space="preserve">Combines INDEX and MATCH to retrieve the same risk factor.</t>
  </si>
  <si>
    <t xml:space="preserve">Synthetic portfolio inputs</t>
  </si>
  <si>
    <t xml:space="preserve">All records and amounts are fictional. Blank optional reserves and explicit zeros are intentional.</t>
  </si>
  <si>
    <t xml:space="preserve">Cohort ID</t>
  </si>
  <si>
    <t xml:space="preserve">Product</t>
  </si>
  <si>
    <t xml:space="preserve">Region</t>
  </si>
  <si>
    <t xml:space="preserve">Active</t>
  </si>
  <si>
    <t xml:space="preserve">Premium (EUR)</t>
  </si>
  <si>
    <t xml:space="preserve">Claim estimate (EUR)</t>
  </si>
  <si>
    <t xml:space="preserve">Adjustment (EUR)</t>
  </si>
  <si>
    <t xml:space="preserve">Optional reserve (EUR)</t>
  </si>
  <si>
    <t xml:space="preserve">SYN-F001</t>
  </si>
  <si>
    <t xml:space="preserve">Motor</t>
  </si>
  <si>
    <t xml:space="preserve">North</t>
  </si>
  <si>
    <t xml:space="preserve">SYN-F002</t>
  </si>
  <si>
    <t xml:space="preserve">Property</t>
  </si>
  <si>
    <t xml:space="preserve">South</t>
  </si>
  <si>
    <t xml:space="preserve">SYN-F003</t>
  </si>
  <si>
    <t xml:space="preserve">Liability</t>
  </si>
  <si>
    <t xml:space="preserve">Inactive</t>
  </si>
  <si>
    <t xml:space="preserve">SYN-F004</t>
  </si>
  <si>
    <t xml:space="preserve">SYN-F005</t>
  </si>
  <si>
    <t xml:space="preserve">SYN-F006</t>
  </si>
  <si>
    <t xml:space="preserve">SYN-F007</t>
  </si>
  <si>
    <t xml:space="preserve">SYN-F008</t>
  </si>
  <si>
    <t xml:space="preserve">Formula demonstration assumptions</t>
  </si>
  <si>
    <t xml:space="preserve">Input</t>
  </si>
  <si>
    <t xml:space="preserve">Value</t>
  </si>
  <si>
    <t xml:space="preserve">Use</t>
  </si>
  <si>
    <t xml:space="preserve">Selected product</t>
  </si>
  <si>
    <t xml:space="preserve">Criteria and lookup tests</t>
  </si>
  <si>
    <t xml:space="preserve">Selected region</t>
  </si>
  <si>
    <t xml:space="preserve">Multiple-criteria tests</t>
  </si>
  <si>
    <t xml:space="preserve">Whole-number precision</t>
  </si>
  <si>
    <t xml:space="preserve">ROUND control</t>
  </si>
  <si>
    <t xml:space="preserve">Decimal precision</t>
  </si>
  <si>
    <t xml:space="preserve">ROUNDUP and ROUNDDOWN controls</t>
  </si>
  <si>
    <t xml:space="preserve">Rounding significance</t>
  </si>
  <si>
    <t xml:space="preserve">CEILING and FLOOR controls</t>
  </si>
  <si>
    <t xml:space="preserve">Positive half-unit boundary</t>
  </si>
  <si>
    <t xml:space="preserve">Positive Excel rounding boundary</t>
  </si>
  <si>
    <t xml:space="preserve">Negative rounding input</t>
  </si>
  <si>
    <t xml:space="preserve">Negative rounding behaviour</t>
  </si>
  <si>
    <t xml:space="preserve">Fallback zero</t>
  </si>
  <si>
    <t xml:space="preserve">Explicit zero branch</t>
  </si>
  <si>
    <t xml:space="preserve">Lookup product</t>
  </si>
  <si>
    <t xml:space="preserve">Exact lookup key</t>
  </si>
  <si>
    <t xml:space="preserve">Exposure unit</t>
  </si>
  <si>
    <t xml:space="preserve">Active status</t>
  </si>
  <si>
    <t xml:space="preserve">Text criterion used by population controls</t>
  </si>
  <si>
    <t xml:space="preserve">Boolean TRUE</t>
  </si>
  <si>
    <t xml:space="preserve">Boolean function used in the nested IF control</t>
  </si>
  <si>
    <t xml:space="preserve">Boolean FALSE</t>
  </si>
  <si>
    <t xml:space="preserve">Synthetic product lookup</t>
  </si>
  <si>
    <t xml:space="preserve">Risk factor</t>
  </si>
  <si>
    <t xml:space="preserve">Deliberately unsupported boundary examples</t>
  </si>
  <si>
    <t xml:space="preserve">These cells are not part of the successful Gate 2 output set. Selecting either must return partial and incomplete.</t>
  </si>
  <si>
    <t xml:space="preserve">Boundary</t>
  </si>
  <si>
    <t xml:space="preserve">Cached workbook result</t>
  </si>
  <si>
    <t xml:space="preserve">Expected reconstruction</t>
  </si>
  <si>
    <t xml:space="preserve">Approximate VLOOKUP</t>
  </si>
  <si>
    <t xml:space="preserve">partial / incomplete</t>
  </si>
  <si>
    <t xml:space="preserve">OFFSET reference</t>
  </si>
  <si>
    <t xml:space="preserve">Case 5 demonstration guide</t>
  </si>
  <si>
    <t xml:space="preserve">Scope</t>
  </si>
  <si>
    <t xml:space="preserve">All 20 functions declared supported by the production formula catalogue.</t>
  </si>
  <si>
    <t xml:space="preserve">Synthetic data</t>
  </si>
  <si>
    <t xml:space="preserve">All entities, accounts and amounts are fictional.</t>
  </si>
  <si>
    <t xml:space="preserve">Gate 1 context</t>
  </si>
  <si>
    <t xml:space="preserve">Aurora Formula Assurance SA; 2025-Q4; EUR; synthetic formula control demonstration.</t>
  </si>
  <si>
    <t xml:space="preserve">Gate 2 selection</t>
  </si>
  <si>
    <t xml:space="preserve">Select Outputs!C4:C23 as the authoritative outputs.</t>
  </si>
  <si>
    <t xml:space="preserve">Gate 3</t>
  </si>
  <si>
    <t xml:space="preserve">Approve every proposed one-to-one mapping and choose both materiality thresholds.</t>
  </si>
  <si>
    <t xml:space="preserve">Gate 4</t>
  </si>
  <si>
    <t xml:space="preserve">Create the named approval record before generating the PDF.</t>
  </si>
  <si>
    <t xml:space="preserve">Control</t>
  </si>
  <si>
    <t xml:space="preserve">Expected outcome</t>
  </si>
  <si>
    <t xml:space="preserve">Evidence</t>
  </si>
  <si>
    <t xml:space="preserve">Supported calculation population</t>
  </si>
  <si>
    <t xml:space="preserve">20 complete outputs</t>
  </si>
  <si>
    <t xml:space="preserve">Outputs!C4:C23</t>
  </si>
  <si>
    <t xml:space="preserve">Internal reconciliation</t>
  </si>
  <si>
    <t xml:space="preserve">pass with zero deltas</t>
  </si>
  <si>
    <t xml:space="preserve">Excel cached values compared with Python reconstruction</t>
  </si>
  <si>
    <t xml:space="preserve">External reconciliation</t>
  </si>
  <si>
    <t xml:space="preserve">pass only after human mapping approval</t>
  </si>
  <si>
    <t xml:space="preserve">Synthetic formula control extract</t>
  </si>
  <si>
    <t xml:space="preserve">Unsupported boundary</t>
  </si>
  <si>
    <t xml:space="preserve">partial and incomplete</t>
  </si>
  <si>
    <t xml:space="preserve">Scope Boundary!B4:B5</t>
  </si>
  <si>
    <t xml:space="preserve">Report</t>
  </si>
  <si>
    <t xml:space="preserve">available only after Gate 4</t>
  </si>
  <si>
    <t xml:space="preserve">Named approval record required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</si>
</sst>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[RED]\(#,##0.00\);\-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365D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365D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B7C9D6"/>
      </left>
      <right/>
      <top style="thin">
        <color rgb="FFB7C9D6"/>
      </top>
      <bottom style="thin">
        <color rgb="FFB7C9D6"/>
      </bottom>
      <diagonal/>
    </border>
    <border diagonalUp="false" diagonalDown="false">
      <left/>
      <right/>
      <top style="thin">
        <color rgb="FFB7C9D6"/>
      </top>
      <bottom style="thin">
        <color rgb="FFB7C9D6"/>
      </bottom>
      <diagonal/>
    </border>
    <border diagonalUp="false" diagonalDown="false">
      <left/>
      <right style="thin">
        <color rgb="FFB7C9D6"/>
      </right>
      <top style="thin">
        <color rgb="FFB7C9D6"/>
      </top>
      <bottom style="thin">
        <color rgb="FFB7C9D6"/>
      </bottom>
      <diagonal/>
    </border>
    <border diagonalUp="false" diagonalDown="false">
      <left/>
      <right style="thin">
        <color rgb="FFE5E7EB"/>
      </right>
      <top/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 diagonalUp="false" diagonalDown="false">
      <left style="thin">
        <color rgb="FFE5E7EB"/>
      </left>
      <right/>
      <top/>
      <bottom style="thin">
        <color rgb="FFE5E7EB"/>
      </bottom>
      <diagonal/>
    </border>
    <border diagonalUp="false" diagonalDown="false">
      <left/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  <border diagonalUp="false" diagonalDown="false">
      <left/>
      <right style="thin">
        <color rgb="FFE5E7EB"/>
      </right>
      <top style="thin">
        <color rgb="FFE5E7EB"/>
      </top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/>
      <diagonal/>
    </border>
    <border diagonalUp="false" diagonalDown="false">
      <left style="thin">
        <color rgb="FFE5E7EB"/>
      </left>
      <right/>
      <top style="thin">
        <color rgb="FFE5E7EB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8"/>
  </cols>
  <sheetData>
    <row r="1" customFormat="false" ht="24" hidden="false" customHeight="true" outlineLevel="0" collapsed="fals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customFormat="false" ht="15" hidden="false" customHeight="false" outlineLevel="0" collapsed="false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</row>
    <row r="4" customFormat="false" ht="15" hidden="false" customHeight="false" outlineLevel="0" collapsed="false">
      <c r="A4" s="2" t="s">
        <v>8</v>
      </c>
      <c r="B4" s="2" t="s">
        <v>9</v>
      </c>
      <c r="C4" s="6" t="n">
        <f aca="false">Calculations!B4</f>
        <v>740000</v>
      </c>
      <c r="D4" s="2" t="s">
        <v>10</v>
      </c>
      <c r="E4" s="2" t="s">
        <v>11</v>
      </c>
      <c r="F4" s="2" t="s">
        <v>12</v>
      </c>
    </row>
    <row r="5" customFormat="false" ht="15" hidden="false" customHeight="false" outlineLevel="0" collapsed="false">
      <c r="A5" s="2" t="s">
        <v>13</v>
      </c>
      <c r="B5" s="2" t="s">
        <v>14</v>
      </c>
      <c r="C5" s="6" t="n">
        <f aca="false">Calculations!B5</f>
        <v>2900</v>
      </c>
      <c r="D5" s="2" t="s">
        <v>15</v>
      </c>
      <c r="E5" s="2" t="s">
        <v>11</v>
      </c>
      <c r="F5" s="2" t="s">
        <v>16</v>
      </c>
    </row>
    <row r="6" customFormat="false" ht="15" hidden="false" customHeight="false" outlineLevel="0" collapsed="false">
      <c r="A6" s="2" t="s">
        <v>17</v>
      </c>
      <c r="B6" s="2" t="s">
        <v>18</v>
      </c>
      <c r="C6" s="6" t="n">
        <f aca="false">Calculations!B6</f>
        <v>12</v>
      </c>
      <c r="D6" s="2" t="s">
        <v>19</v>
      </c>
      <c r="E6" s="2" t="s">
        <v>11</v>
      </c>
      <c r="F6" s="2" t="s">
        <v>20</v>
      </c>
    </row>
    <row r="7" customFormat="false" ht="15" hidden="false" customHeight="false" outlineLevel="0" collapsed="false">
      <c r="A7" s="2" t="s">
        <v>21</v>
      </c>
      <c r="B7" s="2" t="s">
        <v>22</v>
      </c>
      <c r="C7" s="6" t="n">
        <f aca="false">Calculations!B7</f>
        <v>2501</v>
      </c>
      <c r="D7" s="2" t="s">
        <v>23</v>
      </c>
      <c r="E7" s="2" t="s">
        <v>11</v>
      </c>
      <c r="F7" s="2" t="s">
        <v>24</v>
      </c>
    </row>
    <row r="8" customFormat="false" ht="15" hidden="false" customHeight="false" outlineLevel="0" collapsed="false">
      <c r="A8" s="2" t="s">
        <v>25</v>
      </c>
      <c r="B8" s="2" t="s">
        <v>26</v>
      </c>
      <c r="C8" s="6" t="n">
        <f aca="false">Calculations!B8</f>
        <v>-2500.6</v>
      </c>
      <c r="D8" s="2" t="s">
        <v>27</v>
      </c>
      <c r="E8" s="2" t="s">
        <v>11</v>
      </c>
      <c r="F8" s="2" t="s">
        <v>28</v>
      </c>
    </row>
    <row r="9" customFormat="false" ht="15" hidden="false" customHeight="false" outlineLevel="0" collapsed="false">
      <c r="A9" s="2" t="s">
        <v>29</v>
      </c>
      <c r="B9" s="2" t="s">
        <v>30</v>
      </c>
      <c r="C9" s="6" t="n">
        <f aca="false">Calculations!B9</f>
        <v>-2500.5</v>
      </c>
      <c r="D9" s="2" t="s">
        <v>31</v>
      </c>
      <c r="E9" s="2" t="s">
        <v>11</v>
      </c>
      <c r="F9" s="2" t="s">
        <v>32</v>
      </c>
    </row>
    <row r="10" customFormat="false" ht="15" hidden="false" customHeight="false" outlineLevel="0" collapsed="false">
      <c r="A10" s="2" t="s">
        <v>33</v>
      </c>
      <c r="B10" s="2" t="s">
        <v>34</v>
      </c>
      <c r="C10" s="6" t="n">
        <f aca="false">Calculations!B10</f>
        <v>2600</v>
      </c>
      <c r="D10" s="2" t="s">
        <v>35</v>
      </c>
      <c r="E10" s="2" t="s">
        <v>11</v>
      </c>
      <c r="F10" s="2" t="s">
        <v>36</v>
      </c>
    </row>
    <row r="11" customFormat="false" ht="15" hidden="false" customHeight="false" outlineLevel="0" collapsed="false">
      <c r="A11" s="2" t="s">
        <v>37</v>
      </c>
      <c r="B11" s="2" t="s">
        <v>38</v>
      </c>
      <c r="C11" s="6" t="n">
        <f aca="false">Calculations!B11</f>
        <v>2500</v>
      </c>
      <c r="D11" s="2" t="s">
        <v>39</v>
      </c>
      <c r="E11" s="2" t="s">
        <v>11</v>
      </c>
      <c r="F11" s="2" t="s">
        <v>40</v>
      </c>
    </row>
    <row r="12" customFormat="false" ht="15" hidden="false" customHeight="false" outlineLevel="0" collapsed="false">
      <c r="A12" s="2" t="s">
        <v>41</v>
      </c>
      <c r="B12" s="2" t="s">
        <v>42</v>
      </c>
      <c r="C12" s="6" t="n">
        <f aca="false">Calculations!B12</f>
        <v>310000</v>
      </c>
      <c r="D12" s="2" t="s">
        <v>43</v>
      </c>
      <c r="E12" s="2" t="s">
        <v>11</v>
      </c>
      <c r="F12" s="2" t="s">
        <v>44</v>
      </c>
    </row>
    <row r="13" customFormat="false" ht="15" hidden="false" customHeight="false" outlineLevel="0" collapsed="false">
      <c r="A13" s="2" t="s">
        <v>45</v>
      </c>
      <c r="B13" s="2" t="s">
        <v>46</v>
      </c>
      <c r="C13" s="6" t="n">
        <f aca="false">Calculations!B13</f>
        <v>200000</v>
      </c>
      <c r="D13" s="2" t="s">
        <v>47</v>
      </c>
      <c r="E13" s="2" t="s">
        <v>11</v>
      </c>
      <c r="F13" s="2" t="s">
        <v>48</v>
      </c>
    </row>
    <row r="14" customFormat="false" ht="15" hidden="false" customHeight="false" outlineLevel="0" collapsed="false">
      <c r="A14" s="2" t="s">
        <v>49</v>
      </c>
      <c r="B14" s="2" t="s">
        <v>50</v>
      </c>
      <c r="C14" s="6" t="n">
        <f aca="false">Calculations!B14</f>
        <v>3</v>
      </c>
      <c r="D14" s="2" t="s">
        <v>51</v>
      </c>
      <c r="E14" s="2" t="s">
        <v>11</v>
      </c>
      <c r="F14" s="2" t="s">
        <v>52</v>
      </c>
    </row>
    <row r="15" customFormat="false" ht="15" hidden="false" customHeight="false" outlineLevel="0" collapsed="false">
      <c r="A15" s="2" t="s">
        <v>53</v>
      </c>
      <c r="B15" s="2" t="s">
        <v>54</v>
      </c>
      <c r="C15" s="6" t="n">
        <f aca="false">Calculations!B15</f>
        <v>4</v>
      </c>
      <c r="D15" s="2" t="s">
        <v>55</v>
      </c>
      <c r="E15" s="2" t="s">
        <v>11</v>
      </c>
      <c r="F15" s="2" t="s">
        <v>56</v>
      </c>
    </row>
    <row r="16" customFormat="false" ht="15" hidden="false" customHeight="false" outlineLevel="0" collapsed="false">
      <c r="A16" s="2" t="s">
        <v>57</v>
      </c>
      <c r="B16" s="2" t="s">
        <v>58</v>
      </c>
      <c r="C16" s="6" t="n">
        <f aca="false">Calculations!B16</f>
        <v>2500</v>
      </c>
      <c r="D16" s="2" t="s">
        <v>59</v>
      </c>
      <c r="E16" s="2" t="s">
        <v>11</v>
      </c>
      <c r="F16" s="2" t="s">
        <v>60</v>
      </c>
    </row>
    <row r="17" customFormat="false" ht="15" hidden="false" customHeight="false" outlineLevel="0" collapsed="false">
      <c r="A17" s="2" t="s">
        <v>61</v>
      </c>
      <c r="B17" s="2" t="s">
        <v>62</v>
      </c>
      <c r="C17" s="6" t="n">
        <f aca="false">Calculations!B17</f>
        <v>87500</v>
      </c>
      <c r="D17" s="2" t="s">
        <v>63</v>
      </c>
      <c r="E17" s="2" t="s">
        <v>11</v>
      </c>
      <c r="F17" s="2" t="s">
        <v>64</v>
      </c>
    </row>
    <row r="18" customFormat="false" ht="15" hidden="false" customHeight="false" outlineLevel="0" collapsed="false">
      <c r="A18" s="2" t="s">
        <v>65</v>
      </c>
      <c r="B18" s="2" t="s">
        <v>66</v>
      </c>
      <c r="C18" s="6" t="n">
        <f aca="false">Calculations!B18</f>
        <v>70000</v>
      </c>
      <c r="D18" s="2" t="s">
        <v>67</v>
      </c>
      <c r="E18" s="2" t="s">
        <v>11</v>
      </c>
      <c r="F18" s="2" t="s">
        <v>68</v>
      </c>
    </row>
    <row r="19" customFormat="false" ht="15" hidden="false" customHeight="false" outlineLevel="0" collapsed="false">
      <c r="A19" s="2" t="s">
        <v>69</v>
      </c>
      <c r="B19" s="2" t="s">
        <v>70</v>
      </c>
      <c r="C19" s="6" t="n">
        <f aca="false">Calculations!B19</f>
        <v>125000</v>
      </c>
      <c r="D19" s="2" t="s">
        <v>71</v>
      </c>
      <c r="E19" s="2" t="s">
        <v>11</v>
      </c>
      <c r="F19" s="2" t="s">
        <v>72</v>
      </c>
    </row>
    <row r="20" customFormat="false" ht="15" hidden="false" customHeight="false" outlineLevel="0" collapsed="false">
      <c r="A20" s="2" t="s">
        <v>73</v>
      </c>
      <c r="B20" s="2" t="s">
        <v>74</v>
      </c>
      <c r="C20" s="6" t="n">
        <f aca="false">Calculations!B20</f>
        <v>80000</v>
      </c>
      <c r="D20" s="2" t="s">
        <v>75</v>
      </c>
      <c r="E20" s="2" t="s">
        <v>11</v>
      </c>
      <c r="F20" s="2" t="s">
        <v>76</v>
      </c>
    </row>
    <row r="21" customFormat="false" ht="15" hidden="false" customHeight="false" outlineLevel="0" collapsed="false">
      <c r="A21" s="2" t="s">
        <v>77</v>
      </c>
      <c r="B21" s="2" t="s">
        <v>78</v>
      </c>
      <c r="C21" s="6" t="n">
        <f aca="false">Calculations!B21</f>
        <v>1.08</v>
      </c>
      <c r="D21" s="2" t="s">
        <v>79</v>
      </c>
      <c r="E21" s="2" t="s">
        <v>11</v>
      </c>
      <c r="F21" s="2" t="s">
        <v>80</v>
      </c>
    </row>
    <row r="22" customFormat="false" ht="15" hidden="false" customHeight="false" outlineLevel="0" collapsed="false">
      <c r="A22" s="2" t="s">
        <v>81</v>
      </c>
      <c r="B22" s="2" t="s">
        <v>82</v>
      </c>
      <c r="C22" s="6" t="n">
        <f aca="false">Calculations!B22</f>
        <v>2</v>
      </c>
      <c r="D22" s="2" t="s">
        <v>83</v>
      </c>
      <c r="E22" s="2" t="s">
        <v>11</v>
      </c>
      <c r="F22" s="2" t="s">
        <v>84</v>
      </c>
    </row>
    <row r="23" customFormat="false" ht="15" hidden="false" customHeight="false" outlineLevel="0" collapsed="false">
      <c r="A23" s="2" t="s">
        <v>85</v>
      </c>
      <c r="B23" s="2" t="s">
        <v>86</v>
      </c>
      <c r="C23" s="6" t="n">
        <f aca="false">Calculations!B23</f>
        <v>1.08</v>
      </c>
      <c r="D23" s="2" t="s">
        <v>87</v>
      </c>
      <c r="E23" s="2" t="s">
        <v>11</v>
      </c>
      <c r="F23" s="2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2"/>
  </cols>
  <sheetData>
    <row r="1" customFormat="false" ht="24" hidden="false" customHeight="true" outlineLevel="0" collapsed="false">
      <c r="A1" s="1" t="s">
        <v>89</v>
      </c>
      <c r="B1" s="1" t="s">
        <v>89</v>
      </c>
      <c r="C1" s="1" t="s">
        <v>89</v>
      </c>
      <c r="D1" s="1" t="s">
        <v>89</v>
      </c>
    </row>
    <row r="2" customFormat="false" ht="15" hidden="false" customHeight="false" outlineLevel="0" collapsed="false">
      <c r="A2" s="2" t="s">
        <v>90</v>
      </c>
      <c r="B2" s="2" t="s">
        <v>90</v>
      </c>
      <c r="C2" s="2" t="s">
        <v>90</v>
      </c>
      <c r="D2" s="2" t="s">
        <v>90</v>
      </c>
    </row>
    <row r="3" customFormat="false" ht="15" hidden="false" customHeight="false" outlineLevel="0" collapsed="false">
      <c r="A3" s="3" t="s">
        <v>91</v>
      </c>
      <c r="B3" s="4" t="s">
        <v>92</v>
      </c>
      <c r="C3" s="4" t="s">
        <v>5</v>
      </c>
      <c r="D3" s="5" t="s">
        <v>93</v>
      </c>
    </row>
    <row r="4" customFormat="false" ht="15" hidden="false" customHeight="false" outlineLevel="0" collapsed="false">
      <c r="A4" s="2" t="s">
        <v>9</v>
      </c>
      <c r="B4" s="7" t="n">
        <f aca="false">SUM(Inputs!$F$4:$F$11)</f>
        <v>740000</v>
      </c>
      <c r="C4" s="2" t="s">
        <v>10</v>
      </c>
      <c r="D4" s="2" t="s">
        <v>94</v>
      </c>
    </row>
    <row r="5" customFormat="false" ht="15" hidden="false" customHeight="false" outlineLevel="0" collapsed="false">
      <c r="A5" s="2" t="s">
        <v>14</v>
      </c>
      <c r="B5" s="7" t="n">
        <f aca="false">ABS(SUM(Inputs!$G$4:$G$11))</f>
        <v>2900</v>
      </c>
      <c r="C5" s="2" t="s">
        <v>15</v>
      </c>
      <c r="D5" s="2" t="s">
        <v>95</v>
      </c>
    </row>
    <row r="6" customFormat="false" ht="15" hidden="false" customHeight="false" outlineLevel="0" collapsed="false">
      <c r="A6" s="2" t="s">
        <v>18</v>
      </c>
      <c r="B6" s="7" t="n">
        <f aca="false">INT(SUM(Inputs!$E$4:$E$11)/Assumptions!$B$13)</f>
        <v>12</v>
      </c>
      <c r="C6" s="2" t="s">
        <v>19</v>
      </c>
      <c r="D6" s="2" t="s">
        <v>96</v>
      </c>
    </row>
    <row r="7" customFormat="false" ht="15" hidden="false" customHeight="false" outlineLevel="0" collapsed="false">
      <c r="A7" s="2" t="s">
        <v>22</v>
      </c>
      <c r="B7" s="7" t="n">
        <f aca="false">ROUND(Assumptions!$B$9,Assumptions!$B$6)</f>
        <v>2501</v>
      </c>
      <c r="C7" s="2" t="s">
        <v>23</v>
      </c>
      <c r="D7" s="2" t="s">
        <v>97</v>
      </c>
    </row>
    <row r="8" customFormat="false" ht="15" hidden="false" customHeight="false" outlineLevel="0" collapsed="false">
      <c r="A8" s="2" t="s">
        <v>26</v>
      </c>
      <c r="B8" s="7" t="n">
        <f aca="false">ROUNDUP(Assumptions!$B$10,Assumptions!$B$7)</f>
        <v>-2500.6</v>
      </c>
      <c r="C8" s="2" t="s">
        <v>27</v>
      </c>
      <c r="D8" s="2" t="s">
        <v>98</v>
      </c>
    </row>
    <row r="9" customFormat="false" ht="15" hidden="false" customHeight="false" outlineLevel="0" collapsed="false">
      <c r="A9" s="2" t="s">
        <v>30</v>
      </c>
      <c r="B9" s="7" t="n">
        <f aca="false">ROUNDDOWN(Assumptions!$B$10,Assumptions!$B$7)</f>
        <v>-2500.5</v>
      </c>
      <c r="C9" s="2" t="s">
        <v>31</v>
      </c>
      <c r="D9" s="2" t="s">
        <v>99</v>
      </c>
    </row>
    <row r="10" customFormat="false" ht="15" hidden="false" customHeight="false" outlineLevel="0" collapsed="false">
      <c r="A10" s="2" t="s">
        <v>34</v>
      </c>
      <c r="B10" s="7" t="n">
        <f aca="false">CEILING(Assumptions!$B$9,Assumptions!$B$8)</f>
        <v>2600</v>
      </c>
      <c r="C10" s="2" t="s">
        <v>35</v>
      </c>
      <c r="D10" s="2" t="s">
        <v>100</v>
      </c>
    </row>
    <row r="11" customFormat="false" ht="15" hidden="false" customHeight="false" outlineLevel="0" collapsed="false">
      <c r="A11" s="2" t="s">
        <v>38</v>
      </c>
      <c r="B11" s="7" t="n">
        <f aca="false">FLOOR(Assumptions!$B$9,Assumptions!$B$8)</f>
        <v>2500</v>
      </c>
      <c r="C11" s="2" t="s">
        <v>39</v>
      </c>
      <c r="D11" s="2" t="s">
        <v>101</v>
      </c>
    </row>
    <row r="12" customFormat="false" ht="15" hidden="false" customHeight="false" outlineLevel="0" collapsed="false">
      <c r="A12" s="2" t="s">
        <v>42</v>
      </c>
      <c r="B12" s="7" t="n">
        <f aca="false">SUMIF(Inputs!$B$4:$B$11,Assumptions!$B$4,Inputs!$F$4:$F$11)</f>
        <v>310000</v>
      </c>
      <c r="C12" s="2" t="s">
        <v>43</v>
      </c>
      <c r="D12" s="2" t="s">
        <v>102</v>
      </c>
    </row>
    <row r="13" customFormat="false" ht="15" hidden="false" customHeight="false" outlineLevel="0" collapsed="false">
      <c r="A13" s="2" t="s">
        <v>46</v>
      </c>
      <c r="B13" s="7" t="n">
        <f aca="false">SUMIFS(Inputs!$F$4:$F$11,Inputs!$B$4:$B$11,Assumptions!$B$4,Inputs!$C$4:$C$11,Assumptions!$B$5)</f>
        <v>200000</v>
      </c>
      <c r="C13" s="2" t="s">
        <v>47</v>
      </c>
      <c r="D13" s="2" t="s">
        <v>103</v>
      </c>
    </row>
    <row r="14" customFormat="false" ht="15" hidden="false" customHeight="false" outlineLevel="0" collapsed="false">
      <c r="A14" s="2" t="s">
        <v>50</v>
      </c>
      <c r="B14" s="7" t="n">
        <f aca="false">COUNTIF(Inputs!$B$4:$B$11,Assumptions!$B$4)</f>
        <v>3</v>
      </c>
      <c r="C14" s="2" t="s">
        <v>51</v>
      </c>
      <c r="D14" s="2" t="s">
        <v>104</v>
      </c>
    </row>
    <row r="15" customFormat="false" ht="15" hidden="false" customHeight="false" outlineLevel="0" collapsed="false">
      <c r="A15" s="2" t="s">
        <v>54</v>
      </c>
      <c r="B15" s="7" t="n">
        <f aca="false">COUNTIFS(Inputs!$C$4:$C$11,Assumptions!$B$5,Inputs!$D$4:$D$11,Assumptions!$B$14)</f>
        <v>4</v>
      </c>
      <c r="C15" s="2" t="s">
        <v>55</v>
      </c>
      <c r="D15" s="2" t="s">
        <v>105</v>
      </c>
    </row>
    <row r="16" customFormat="false" ht="15" hidden="false" customHeight="false" outlineLevel="0" collapsed="false">
      <c r="A16" s="2" t="s">
        <v>58</v>
      </c>
      <c r="B16" s="7" t="n">
        <f aca="false">AVERAGEIF(Inputs!$B$4:$B$11,Assumptions!$B$4,Inputs!$H$4:$H$11)</f>
        <v>2500</v>
      </c>
      <c r="C16" s="2" t="s">
        <v>59</v>
      </c>
      <c r="D16" s="2" t="s">
        <v>106</v>
      </c>
    </row>
    <row r="17" customFormat="false" ht="15" hidden="false" customHeight="false" outlineLevel="0" collapsed="false">
      <c r="A17" s="2" t="s">
        <v>62</v>
      </c>
      <c r="B17" s="7" t="n">
        <f aca="false">AVERAGEIFS(Inputs!$F$4:$F$11,Inputs!$C$4:$C$11,Assumptions!$B$5,Inputs!$D$4:$D$11,Assumptions!$B$14)</f>
        <v>87500</v>
      </c>
      <c r="C17" s="2" t="s">
        <v>63</v>
      </c>
      <c r="D17" s="2" t="s">
        <v>107</v>
      </c>
    </row>
    <row r="18" customFormat="false" ht="15" hidden="false" customHeight="false" outlineLevel="0" collapsed="false">
      <c r="A18" s="2" t="s">
        <v>66</v>
      </c>
      <c r="B18" s="7" t="n">
        <f aca="false">_xlfn.MINIFS(Inputs!$F$4:$F$11,Inputs!$D$4:$D$11,Assumptions!$B$14)</f>
        <v>70000</v>
      </c>
      <c r="C18" s="2" t="s">
        <v>67</v>
      </c>
      <c r="D18" s="2" t="s">
        <v>108</v>
      </c>
    </row>
    <row r="19" customFormat="false" ht="15" hidden="false" customHeight="false" outlineLevel="0" collapsed="false">
      <c r="A19" s="2" t="s">
        <v>70</v>
      </c>
      <c r="B19" s="7" t="n">
        <f aca="false">_xlfn.MAXIFS(Inputs!$F$4:$F$11,Inputs!$D$4:$D$11,Assumptions!$B$14)</f>
        <v>125000</v>
      </c>
      <c r="C19" s="2" t="s">
        <v>71</v>
      </c>
      <c r="D19" s="2" t="s">
        <v>109</v>
      </c>
    </row>
    <row r="20" customFormat="false" ht="15" hidden="false" customHeight="false" outlineLevel="0" collapsed="false">
      <c r="A20" s="2" t="s">
        <v>74</v>
      </c>
      <c r="B20" s="7" t="n">
        <f aca="false">IF(Assumptions!$B$15,Inputs!$F$4,IF(Assumptions!$B$16,Inputs!$F$5,Assumptions!$B$11))</f>
        <v>80000</v>
      </c>
      <c r="C20" s="2" t="s">
        <v>75</v>
      </c>
      <c r="D20" s="2" t="s">
        <v>110</v>
      </c>
    </row>
    <row r="21" customFormat="false" ht="15" hidden="false" customHeight="false" outlineLevel="0" collapsed="false">
      <c r="A21" s="2" t="s">
        <v>78</v>
      </c>
      <c r="B21" s="7" t="n">
        <f aca="false">VLOOKUP(Assumptions!$B$12,Lookups!$A$4:$B$6,2,FALSE())</f>
        <v>1.08</v>
      </c>
      <c r="C21" s="2" t="s">
        <v>79</v>
      </c>
      <c r="D21" s="2" t="s">
        <v>111</v>
      </c>
    </row>
    <row r="22" customFormat="false" ht="15" hidden="false" customHeight="false" outlineLevel="0" collapsed="false">
      <c r="A22" s="2" t="s">
        <v>82</v>
      </c>
      <c r="B22" s="7" t="n">
        <f aca="false">MATCH(Assumptions!$B$12,Lookups!$A$4:$A$6,0)</f>
        <v>2</v>
      </c>
      <c r="C22" s="2" t="s">
        <v>83</v>
      </c>
      <c r="D22" s="2" t="s">
        <v>112</v>
      </c>
    </row>
    <row r="23" customFormat="false" ht="15" hidden="false" customHeight="false" outlineLevel="0" collapsed="false">
      <c r="A23" s="2" t="s">
        <v>86</v>
      </c>
      <c r="B23" s="7" t="n">
        <f aca="false">INDEX(Lookups!$B$4:$B$6,MATCH(Assumptions!$B$12,Lookups!$A$4:$A$6,0))</f>
        <v>1.08</v>
      </c>
      <c r="C23" s="2" t="s">
        <v>87</v>
      </c>
      <c r="D23" s="2" t="s">
        <v>113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1"/>
    <col collapsed="false" customWidth="true" hidden="false" outlineLevel="0" max="8" min="5" style="0" width="20"/>
  </cols>
  <sheetData>
    <row r="1" customFormat="false" ht="24" hidden="false" customHeight="true" outlineLevel="0" collapsed="false">
      <c r="A1" s="1" t="s">
        <v>114</v>
      </c>
      <c r="B1" s="1" t="s">
        <v>114</v>
      </c>
      <c r="C1" s="1" t="s">
        <v>114</v>
      </c>
      <c r="D1" s="1" t="s">
        <v>114</v>
      </c>
      <c r="E1" s="1" t="s">
        <v>114</v>
      </c>
      <c r="F1" s="1" t="s">
        <v>114</v>
      </c>
      <c r="G1" s="1" t="s">
        <v>114</v>
      </c>
      <c r="H1" s="1" t="s">
        <v>114</v>
      </c>
    </row>
    <row r="2" customFormat="false" ht="15" hidden="false" customHeight="false" outlineLevel="0" collapsed="false">
      <c r="A2" s="2" t="s">
        <v>115</v>
      </c>
      <c r="B2" s="2" t="s">
        <v>115</v>
      </c>
      <c r="C2" s="2" t="s">
        <v>115</v>
      </c>
      <c r="D2" s="2" t="s">
        <v>115</v>
      </c>
      <c r="E2" s="2" t="s">
        <v>115</v>
      </c>
      <c r="F2" s="2" t="s">
        <v>115</v>
      </c>
      <c r="G2" s="2" t="s">
        <v>115</v>
      </c>
      <c r="H2" s="2" t="s">
        <v>115</v>
      </c>
    </row>
    <row r="3" customFormat="false" ht="15" hidden="false" customHeight="false" outlineLevel="0" collapsed="false">
      <c r="A3" s="3" t="s">
        <v>116</v>
      </c>
      <c r="B3" s="4" t="s">
        <v>117</v>
      </c>
      <c r="C3" s="4" t="s">
        <v>118</v>
      </c>
      <c r="D3" s="4" t="s">
        <v>119</v>
      </c>
      <c r="E3" s="4" t="s">
        <v>120</v>
      </c>
      <c r="F3" s="4" t="s">
        <v>121</v>
      </c>
      <c r="G3" s="4" t="s">
        <v>122</v>
      </c>
      <c r="H3" s="5" t="s">
        <v>123</v>
      </c>
    </row>
    <row r="4" customFormat="false" ht="15" hidden="false" customHeight="false" outlineLevel="0" collapsed="false">
      <c r="A4" s="8" t="s">
        <v>124</v>
      </c>
      <c r="B4" s="9" t="s">
        <v>125</v>
      </c>
      <c r="C4" s="9" t="s">
        <v>126</v>
      </c>
      <c r="D4" s="9" t="s">
        <v>119</v>
      </c>
      <c r="E4" s="10" t="n">
        <v>120000</v>
      </c>
      <c r="F4" s="10" t="n">
        <v>80000</v>
      </c>
      <c r="G4" s="10" t="n">
        <v>-2500</v>
      </c>
      <c r="H4" s="11"/>
    </row>
    <row r="5" customFormat="false" ht="15" hidden="false" customHeight="false" outlineLevel="0" collapsed="false">
      <c r="A5" s="12" t="s">
        <v>127</v>
      </c>
      <c r="B5" s="13" t="s">
        <v>128</v>
      </c>
      <c r="C5" s="13" t="s">
        <v>129</v>
      </c>
      <c r="D5" s="13" t="s">
        <v>119</v>
      </c>
      <c r="E5" s="14" t="n">
        <v>200000</v>
      </c>
      <c r="F5" s="14" t="n">
        <v>110000</v>
      </c>
      <c r="G5" s="14" t="n">
        <v>0</v>
      </c>
      <c r="H5" s="15" t="n">
        <v>5000</v>
      </c>
    </row>
    <row r="6" customFormat="false" ht="15" hidden="false" customHeight="false" outlineLevel="0" collapsed="false">
      <c r="A6" s="12" t="s">
        <v>130</v>
      </c>
      <c r="B6" s="13" t="s">
        <v>131</v>
      </c>
      <c r="C6" s="13" t="s">
        <v>126</v>
      </c>
      <c r="D6" s="13" t="s">
        <v>132</v>
      </c>
      <c r="E6" s="14" t="n">
        <v>150000</v>
      </c>
      <c r="F6" s="14" t="n">
        <v>90000</v>
      </c>
      <c r="G6" s="14" t="n">
        <v>1800</v>
      </c>
      <c r="H6" s="15"/>
    </row>
    <row r="7" customFormat="false" ht="15" hidden="false" customHeight="false" outlineLevel="0" collapsed="false">
      <c r="A7" s="12" t="s">
        <v>133</v>
      </c>
      <c r="B7" s="13" t="s">
        <v>125</v>
      </c>
      <c r="C7" s="13" t="s">
        <v>126</v>
      </c>
      <c r="D7" s="13" t="s">
        <v>119</v>
      </c>
      <c r="E7" s="14" t="n">
        <v>130000</v>
      </c>
      <c r="F7" s="14" t="n">
        <v>70000</v>
      </c>
      <c r="G7" s="14" t="n">
        <v>-1200</v>
      </c>
      <c r="H7" s="15" t="n">
        <v>0</v>
      </c>
    </row>
    <row r="8" customFormat="false" ht="15" hidden="false" customHeight="false" outlineLevel="0" collapsed="false">
      <c r="A8" s="12" t="s">
        <v>134</v>
      </c>
      <c r="B8" s="13" t="s">
        <v>128</v>
      </c>
      <c r="C8" s="13" t="s">
        <v>126</v>
      </c>
      <c r="D8" s="13" t="s">
        <v>119</v>
      </c>
      <c r="E8" s="14" t="n">
        <v>175000</v>
      </c>
      <c r="F8" s="14" t="n">
        <v>95000</v>
      </c>
      <c r="G8" s="14" t="n">
        <v>900</v>
      </c>
      <c r="H8" s="15" t="n">
        <v>0</v>
      </c>
    </row>
    <row r="9" customFormat="false" ht="15" hidden="false" customHeight="false" outlineLevel="0" collapsed="false">
      <c r="A9" s="12" t="s">
        <v>135</v>
      </c>
      <c r="B9" s="13" t="s">
        <v>131</v>
      </c>
      <c r="C9" s="13" t="s">
        <v>129</v>
      </c>
      <c r="D9" s="13" t="s">
        <v>119</v>
      </c>
      <c r="E9" s="14" t="n">
        <v>220000</v>
      </c>
      <c r="F9" s="14" t="n">
        <v>125000</v>
      </c>
      <c r="G9" s="14" t="n">
        <v>-3000</v>
      </c>
      <c r="H9" s="15"/>
    </row>
    <row r="10" customFormat="false" ht="15" hidden="false" customHeight="false" outlineLevel="0" collapsed="false">
      <c r="A10" s="12" t="s">
        <v>136</v>
      </c>
      <c r="B10" s="13" t="s">
        <v>125</v>
      </c>
      <c r="C10" s="13" t="s">
        <v>129</v>
      </c>
      <c r="D10" s="13" t="s">
        <v>132</v>
      </c>
      <c r="E10" s="14" t="n">
        <v>100000</v>
      </c>
      <c r="F10" s="14" t="n">
        <v>65000</v>
      </c>
      <c r="G10" s="14" t="n">
        <v>0</v>
      </c>
      <c r="H10" s="15" t="n">
        <v>2500</v>
      </c>
    </row>
    <row r="11" customFormat="false" ht="15" hidden="false" customHeight="false" outlineLevel="0" collapsed="false">
      <c r="A11" s="16" t="s">
        <v>137</v>
      </c>
      <c r="B11" s="17" t="s">
        <v>128</v>
      </c>
      <c r="C11" s="17" t="s">
        <v>126</v>
      </c>
      <c r="D11" s="17" t="s">
        <v>119</v>
      </c>
      <c r="E11" s="18" t="n">
        <v>190000</v>
      </c>
      <c r="F11" s="18" t="n">
        <v>105000</v>
      </c>
      <c r="G11" s="18" t="n">
        <v>1100</v>
      </c>
      <c r="H11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0"/>
    <col collapsed="false" customWidth="true" hidden="false" outlineLevel="0" max="3" min="3" style="0" width="48"/>
  </cols>
  <sheetData>
    <row r="1" customFormat="false" ht="24" hidden="false" customHeight="true" outlineLevel="0" collapsed="false">
      <c r="A1" s="1" t="s">
        <v>138</v>
      </c>
      <c r="B1" s="1" t="s">
        <v>138</v>
      </c>
      <c r="C1" s="1" t="s">
        <v>138</v>
      </c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3" t="s">
        <v>139</v>
      </c>
      <c r="B3" s="4" t="s">
        <v>140</v>
      </c>
      <c r="C3" s="5" t="s">
        <v>141</v>
      </c>
    </row>
    <row r="4" customFormat="false" ht="15" hidden="false" customHeight="false" outlineLevel="0" collapsed="false">
      <c r="A4" s="2" t="s">
        <v>142</v>
      </c>
      <c r="B4" s="20" t="s">
        <v>128</v>
      </c>
      <c r="C4" s="2" t="s">
        <v>143</v>
      </c>
    </row>
    <row r="5" customFormat="false" ht="15" hidden="false" customHeight="false" outlineLevel="0" collapsed="false">
      <c r="A5" s="2" t="s">
        <v>144</v>
      </c>
      <c r="B5" s="20" t="s">
        <v>126</v>
      </c>
      <c r="C5" s="2" t="s">
        <v>145</v>
      </c>
    </row>
    <row r="6" customFormat="false" ht="15" hidden="false" customHeight="false" outlineLevel="0" collapsed="false">
      <c r="A6" s="2" t="s">
        <v>146</v>
      </c>
      <c r="B6" s="20" t="n">
        <v>0</v>
      </c>
      <c r="C6" s="2" t="s">
        <v>147</v>
      </c>
    </row>
    <row r="7" customFormat="false" ht="15" hidden="false" customHeight="false" outlineLevel="0" collapsed="false">
      <c r="A7" s="2" t="s">
        <v>148</v>
      </c>
      <c r="B7" s="20" t="n">
        <v>1</v>
      </c>
      <c r="C7" s="2" t="s">
        <v>149</v>
      </c>
    </row>
    <row r="8" customFormat="false" ht="15" hidden="false" customHeight="false" outlineLevel="0" collapsed="false">
      <c r="A8" s="2" t="s">
        <v>150</v>
      </c>
      <c r="B8" s="20" t="n">
        <v>100</v>
      </c>
      <c r="C8" s="2" t="s">
        <v>151</v>
      </c>
    </row>
    <row r="9" customFormat="false" ht="15" hidden="false" customHeight="false" outlineLevel="0" collapsed="false">
      <c r="A9" s="2" t="s">
        <v>152</v>
      </c>
      <c r="B9" s="20" t="n">
        <v>2500.5</v>
      </c>
      <c r="C9" s="2" t="s">
        <v>153</v>
      </c>
    </row>
    <row r="10" customFormat="false" ht="15" hidden="false" customHeight="false" outlineLevel="0" collapsed="false">
      <c r="A10" s="2" t="s">
        <v>154</v>
      </c>
      <c r="B10" s="20" t="n">
        <v>-2500.51</v>
      </c>
      <c r="C10" s="2" t="s">
        <v>155</v>
      </c>
    </row>
    <row r="11" customFormat="false" ht="15" hidden="false" customHeight="false" outlineLevel="0" collapsed="false">
      <c r="A11" s="2" t="s">
        <v>156</v>
      </c>
      <c r="B11" s="20" t="n">
        <v>0</v>
      </c>
      <c r="C11" s="2" t="s">
        <v>157</v>
      </c>
    </row>
    <row r="12" customFormat="false" ht="15" hidden="false" customHeight="false" outlineLevel="0" collapsed="false">
      <c r="A12" s="2" t="s">
        <v>158</v>
      </c>
      <c r="B12" s="20" t="s">
        <v>128</v>
      </c>
      <c r="C12" s="2" t="s">
        <v>159</v>
      </c>
    </row>
    <row r="13" customFormat="false" ht="15" hidden="false" customHeight="false" outlineLevel="0" collapsed="false">
      <c r="A13" s="2" t="s">
        <v>160</v>
      </c>
      <c r="B13" s="20" t="n">
        <v>100000</v>
      </c>
      <c r="C13" s="2" t="s">
        <v>18</v>
      </c>
    </row>
    <row r="14" customFormat="false" ht="15" hidden="false" customHeight="false" outlineLevel="0" collapsed="false">
      <c r="A14" s="2" t="s">
        <v>161</v>
      </c>
      <c r="B14" s="20" t="s">
        <v>119</v>
      </c>
      <c r="C14" s="2" t="s">
        <v>162</v>
      </c>
    </row>
    <row r="15" customFormat="false" ht="15" hidden="false" customHeight="false" outlineLevel="0" collapsed="false">
      <c r="A15" s="2" t="s">
        <v>163</v>
      </c>
      <c r="B15" s="20" t="b">
        <f aca="false">TRUE()</f>
        <v>1</v>
      </c>
      <c r="C15" s="2" t="s">
        <v>164</v>
      </c>
    </row>
    <row r="16" customFormat="false" ht="15" hidden="false" customHeight="false" outlineLevel="0" collapsed="false">
      <c r="A16" s="2" t="s">
        <v>165</v>
      </c>
      <c r="B16" s="20" t="b">
        <f aca="false">FALSE()</f>
        <v>0</v>
      </c>
      <c r="C16" s="2" t="s">
        <v>164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</cols>
  <sheetData>
    <row r="1" customFormat="false" ht="24" hidden="false" customHeight="true" outlineLevel="0" collapsed="false">
      <c r="A1" s="1" t="s">
        <v>166</v>
      </c>
      <c r="B1" s="1" t="s">
        <v>166</v>
      </c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117</v>
      </c>
      <c r="B3" s="5" t="s">
        <v>167</v>
      </c>
    </row>
    <row r="4" customFormat="false" ht="15" hidden="false" customHeight="false" outlineLevel="0" collapsed="false">
      <c r="A4" s="2" t="s">
        <v>125</v>
      </c>
      <c r="B4" s="20" t="n">
        <v>1.12</v>
      </c>
    </row>
    <row r="5" customFormat="false" ht="15" hidden="false" customHeight="false" outlineLevel="0" collapsed="false">
      <c r="A5" s="2" t="s">
        <v>128</v>
      </c>
      <c r="B5" s="20" t="n">
        <v>1.08</v>
      </c>
    </row>
    <row r="6" customFormat="false" ht="15" hidden="false" customHeight="false" outlineLevel="0" collapsed="false">
      <c r="A6" s="2" t="s">
        <v>131</v>
      </c>
      <c r="B6" s="20" t="n">
        <v>1.18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28"/>
  </cols>
  <sheetData>
    <row r="1" customFormat="false" ht="24" hidden="false" customHeight="true" outlineLevel="0" collapsed="false">
      <c r="A1" s="1" t="s">
        <v>168</v>
      </c>
      <c r="B1" s="1" t="s">
        <v>168</v>
      </c>
      <c r="C1" s="1" t="s">
        <v>168</v>
      </c>
    </row>
    <row r="2" customFormat="false" ht="15" hidden="false" customHeight="false" outlineLevel="0" collapsed="false">
      <c r="A2" s="2" t="s">
        <v>169</v>
      </c>
      <c r="B2" s="2" t="s">
        <v>169</v>
      </c>
      <c r="C2" s="2" t="s">
        <v>169</v>
      </c>
    </row>
    <row r="3" customFormat="false" ht="15" hidden="false" customHeight="false" outlineLevel="0" collapsed="false">
      <c r="A3" s="3" t="s">
        <v>170</v>
      </c>
      <c r="B3" s="4" t="s">
        <v>171</v>
      </c>
      <c r="C3" s="5" t="s">
        <v>172</v>
      </c>
    </row>
    <row r="4" customFormat="false" ht="15" hidden="false" customHeight="false" outlineLevel="0" collapsed="false">
      <c r="A4" s="2" t="s">
        <v>173</v>
      </c>
      <c r="B4" s="21" t="n">
        <f aca="false">VLOOKUP(Assumptions!$B$12,Lookups!$A$4:$B$6,2,TRUE())</f>
        <v>1.08</v>
      </c>
      <c r="C4" s="2" t="s">
        <v>174</v>
      </c>
    </row>
    <row r="5" customFormat="false" ht="15" hidden="false" customHeight="false" outlineLevel="0" collapsed="false">
      <c r="A5" s="2" t="s">
        <v>175</v>
      </c>
      <c r="B5" s="22" t="n">
        <f aca="true">OFFSET(Inputs!$F$4,1,0)</f>
        <v>110000</v>
      </c>
      <c r="C5" s="2" t="s">
        <v>174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5"/>
    <col collapsed="false" customWidth="true" hidden="false" outlineLevel="0" max="3" min="3" style="0" width="48"/>
  </cols>
  <sheetData>
    <row r="1" customFormat="false" ht="24" hidden="false" customHeight="true" outlineLevel="0" collapsed="false">
      <c r="A1" s="1" t="s">
        <v>176</v>
      </c>
      <c r="B1" s="1" t="s">
        <v>176</v>
      </c>
      <c r="C1" s="1" t="s">
        <v>176</v>
      </c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23" t="s">
        <v>177</v>
      </c>
      <c r="B3" s="2" t="s">
        <v>178</v>
      </c>
      <c r="C3" s="2"/>
    </row>
    <row r="4" customFormat="false" ht="15" hidden="false" customHeight="false" outlineLevel="0" collapsed="false">
      <c r="A4" s="23" t="s">
        <v>179</v>
      </c>
      <c r="B4" s="2" t="s">
        <v>180</v>
      </c>
      <c r="C4" s="2"/>
    </row>
    <row r="5" customFormat="false" ht="15" hidden="false" customHeight="false" outlineLevel="0" collapsed="false">
      <c r="A5" s="23" t="s">
        <v>181</v>
      </c>
      <c r="B5" s="2" t="s">
        <v>182</v>
      </c>
      <c r="C5" s="2"/>
    </row>
    <row r="6" customFormat="false" ht="15" hidden="false" customHeight="false" outlineLevel="0" collapsed="false">
      <c r="A6" s="23" t="s">
        <v>183</v>
      </c>
      <c r="B6" s="2" t="s">
        <v>184</v>
      </c>
      <c r="C6" s="2"/>
    </row>
    <row r="7" customFormat="false" ht="15" hidden="false" customHeight="false" outlineLevel="0" collapsed="false">
      <c r="A7" s="23" t="s">
        <v>185</v>
      </c>
      <c r="B7" s="2" t="s">
        <v>186</v>
      </c>
      <c r="C7" s="2"/>
    </row>
    <row r="8" customFormat="false" ht="15" hidden="false" customHeight="false" outlineLevel="0" collapsed="false">
      <c r="A8" s="23" t="s">
        <v>187</v>
      </c>
      <c r="B8" s="2" t="s">
        <v>188</v>
      </c>
      <c r="C8" s="2"/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3" t="s">
        <v>189</v>
      </c>
      <c r="B10" s="4" t="s">
        <v>190</v>
      </c>
      <c r="C10" s="5" t="s">
        <v>191</v>
      </c>
    </row>
    <row r="11" customFormat="false" ht="15" hidden="false" customHeight="false" outlineLevel="0" collapsed="false">
      <c r="A11" s="2" t="s">
        <v>192</v>
      </c>
      <c r="B11" s="2" t="s">
        <v>193</v>
      </c>
      <c r="C11" s="2" t="s">
        <v>194</v>
      </c>
    </row>
    <row r="12" customFormat="false" ht="15" hidden="false" customHeight="false" outlineLevel="0" collapsed="false">
      <c r="A12" s="2" t="s">
        <v>195</v>
      </c>
      <c r="B12" s="2" t="s">
        <v>196</v>
      </c>
      <c r="C12" s="2" t="s">
        <v>197</v>
      </c>
    </row>
    <row r="13" customFormat="false" ht="15" hidden="false" customHeight="false" outlineLevel="0" collapsed="false">
      <c r="A13" s="2" t="s">
        <v>198</v>
      </c>
      <c r="B13" s="2" t="s">
        <v>199</v>
      </c>
      <c r="C13" s="2" t="s">
        <v>200</v>
      </c>
    </row>
    <row r="14" customFormat="false" ht="15" hidden="false" customHeight="false" outlineLevel="0" collapsed="false">
      <c r="A14" s="2" t="s">
        <v>201</v>
      </c>
      <c r="B14" s="2" t="s">
        <v>202</v>
      </c>
      <c r="C14" s="2" t="s">
        <v>203</v>
      </c>
    </row>
    <row r="15" customFormat="false" ht="15" hidden="false" customHeight="false" outlineLevel="0" collapsed="false">
      <c r="A15" s="2" t="s">
        <v>204</v>
      </c>
      <c r="B15" s="2" t="s">
        <v>205</v>
      </c>
      <c r="C15" s="2" t="s">
        <v>206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fr-BE</dc:language>
  <cp:lastModifiedBy/>
  <cp:revision>0</cp:revision>
  <dc:subject/>
  <dc:title/>
</cp:coreProperties>
</file>
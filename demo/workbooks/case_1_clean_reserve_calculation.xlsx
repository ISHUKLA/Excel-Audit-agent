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mo Guide" sheetId="1" state="visible" r:id="rId3"/>
    <sheet name="Assumptions" sheetId="2" state="visible" r:id="rId4"/>
    <sheet name="Reserve Calculation" sheetId="3" state="visible" r:id="rId5"/>
  </sheets>
  <calcPr calcId="191029" calcMode="auto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<sst xmlns="http://schemas.openxmlformats.org/spreadsheetml/2006/main" count="221" uniqueCount="107">
  <si>
    <t xml:space="preserve">Case 1 — Clean reserve calculation</t>
  </si>
  <si>
    <t xml:space="preserve">Successful end-to-end path with complete reconstruction and matching accounts input</t>
  </si>
  <si>
    <t xml:space="preserve">Workbook context</t>
  </si>
  <si>
    <t xml:space="preserve">Value</t>
  </si>
  <si>
    <t xml:space="preserve">Entity</t>
  </si>
  <si>
    <t xml:space="preserve">Aurora Life SA</t>
  </si>
  <si>
    <t xml:space="preserve">Period</t>
  </si>
  <si>
    <t xml:space="preserve">2025-Q4</t>
  </si>
  <si>
    <t xml:space="preserve">Currency</t>
  </si>
  <si>
    <t xml:space="preserve">EUR</t>
  </si>
  <si>
    <t xml:space="preserve">Basis</t>
  </si>
  <si>
    <t xml:space="preserve">IFRS 17 — synthetic demonstration</t>
  </si>
  <si>
    <t xml:space="preserve">Designated output(s)</t>
  </si>
  <si>
    <t xml:space="preserve">Reserve Calculation!B12</t>
  </si>
  <si>
    <t xml:space="preserve">Demonstration instructions</t>
  </si>
  <si>
    <t xml:space="preserve">1</t>
  </si>
  <si>
    <t xml:space="preserve">Upload this workbook</t>
  </si>
  <si>
    <t xml:space="preserve">Use the context above</t>
  </si>
  <si>
    <t xml:space="preserve">Include reference CSV</t>
  </si>
  <si>
    <t xml:space="preserve">case_1_reference_figures.csv</t>
  </si>
  <si>
    <t xml:space="preserve">Confirm Gate 1</t>
  </si>
  <si>
    <t xml:space="preserve">2</t>
  </si>
  <si>
    <t xml:space="preserve">Gate 2</t>
  </si>
  <si>
    <t xml:space="preserve">Expected findings: none</t>
  </si>
  <si>
    <t xml:space="preserve">Designate output</t>
  </si>
  <si>
    <t xml:space="preserve">Proceed</t>
  </si>
  <si>
    <t xml:space="preserve">3</t>
  </si>
  <si>
    <t xml:space="preserve">Gate 3</t>
  </si>
  <si>
    <t xml:space="preserve">Approve the proposed mapping</t>
  </si>
  <si>
    <t xml:space="preserve">Set human thresholds</t>
  </si>
  <si>
    <t xml:space="preserve">Internal and external should pass</t>
  </si>
  <si>
    <t xml:space="preserve">4</t>
  </si>
  <si>
    <t xml:space="preserve">Gate 4</t>
  </si>
  <si>
    <t xml:space="preserve">Enter an authorized name</t>
  </si>
  <si>
    <t xml:space="preserve">Create named approval record</t>
  </si>
  <si>
    <t xml:space="preserve">Generate PDF</t>
  </si>
  <si>
    <t xml:space="preserve">Verify audit chain</t>
  </si>
  <si>
    <t xml:space="preserve">Expected outcome</t>
  </si>
  <si>
    <t xml:space="preserve">Internal reconstruction</t>
  </si>
  <si>
    <t xml:space="preserve">Complete</t>
  </si>
  <si>
    <t xml:space="preserve">Expected value</t>
  </si>
  <si>
    <t xml:space="preserve">Expected verdict</t>
  </si>
  <si>
    <t xml:space="preserve">pass</t>
  </si>
  <si>
    <t xml:space="preserve">Accounts reconciliation</t>
  </si>
  <si>
    <t xml:space="preserve">Performed</t>
  </si>
  <si>
    <t xml:space="preserve">Reference value</t>
  </si>
  <si>
    <t xml:space="preserve">pass after mapping approval</t>
  </si>
  <si>
    <t xml:space="preserve">Blocking findings</t>
  </si>
  <si>
    <t xml:space="preserve">Unsupported output elements</t>
  </si>
  <si>
    <t xml:space="preserve">PDF</t>
  </si>
  <si>
    <t xml:space="preserve">available only after Gate 4</t>
  </si>
  <si>
    <t xml:space="preserve">Manual spot-check</t>
  </si>
  <si>
    <t xml:space="preserve">2,440,000 + 250,000 + 107,600</t>
  </si>
  <si>
    <t xml:space="preserve">Expected total</t>
  </si>
  <si>
    <t xml:space="preserve">Delta</t>
  </si>
  <si>
    <t xml:space="preserve">Synthetic demonstration data only. It is not derived from a policyholder, insurer, ledger, actuarial model, or production workbook.</t>
  </si>
  <si>
    <t xml:space="preserve">Case 1 — Assumptions</t>
  </si>
  <si>
    <t xml:space="preserve">All editable inputs are synthetic and clearly separated from calculations.</t>
  </si>
  <si>
    <t xml:space="preserve">Synthetic input assumptions</t>
  </si>
  <si>
    <t xml:space="preserve">Assumption</t>
  </si>
  <si>
    <t xml:space="preserve">Units</t>
  </si>
  <si>
    <t xml:space="preserve">Source / rationale</t>
  </si>
  <si>
    <t xml:space="preserve">Earned premium</t>
  </si>
  <si>
    <t xml:space="preserve">Synthetic premium base</t>
  </si>
  <si>
    <t xml:space="preserve">Expected loss ratio</t>
  </si>
  <si>
    <t xml:space="preserve">%</t>
  </si>
  <si>
    <t xml:space="preserve">Synthetic actuarial assumption</t>
  </si>
  <si>
    <t xml:space="preserve">Claims paid to date</t>
  </si>
  <si>
    <t xml:space="preserve">Synthetic claims ledger</t>
  </si>
  <si>
    <t xml:space="preserve">Expense reserve</t>
  </si>
  <si>
    <t xml:space="preserve">Synthetic expense estimate</t>
  </si>
  <si>
    <t xml:space="preserve">Risk margin rate</t>
  </si>
  <si>
    <t xml:space="preserve">Synthetic risk margin assumption</t>
  </si>
  <si>
    <t xml:space="preserve">Cell colour legend</t>
  </si>
  <si>
    <t xml:space="preserve">Input</t>
  </si>
  <si>
    <t xml:space="preserve">Blue text with pale yellow fill — editable synthetic assumption</t>
  </si>
  <si>
    <t xml:space="preserve">Cross-sheet formula</t>
  </si>
  <si>
    <t xml:space="preserve">Green text — formula linked to another worksheet</t>
  </si>
  <si>
    <t xml:space="preserve">Within-sheet formula</t>
  </si>
  <si>
    <t xml:space="preserve">Black text — formula calculated within the worksheet</t>
  </si>
  <si>
    <t xml:space="preserve">Designated output</t>
  </si>
  <si>
    <t xml:space="preserve">Pale green fill — cell selected for reconstruction and reconciliation</t>
  </si>
  <si>
    <t xml:space="preserve">Expected warning</t>
  </si>
  <si>
    <t xml:space="preserve">Amber fill — condition requiring a human review decision</t>
  </si>
  <si>
    <t xml:space="preserve">Expected blocker</t>
  </si>
  <si>
    <t xml:space="preserve">Pale red fill — intentional defect that prevents silent progress</t>
  </si>
  <si>
    <t xml:space="preserve">Model context</t>
  </si>
  <si>
    <t xml:space="preserve">Amounts are EUR unless the case guide says otherwise; period is 2025-Q4</t>
  </si>
  <si>
    <t xml:space="preserve">Case 1 — Reserve calculation</t>
  </si>
  <si>
    <t xml:space="preserve">Supported catalogue only: direct references, +, −, × and SUM</t>
  </si>
  <si>
    <t xml:space="preserve">Technical provisions calculation</t>
  </si>
  <si>
    <t xml:space="preserve">Calculation line</t>
  </si>
  <si>
    <t xml:space="preserve">Formula role</t>
  </si>
  <si>
    <t xml:space="preserve">Review note</t>
  </si>
  <si>
    <t xml:space="preserve">Gross ultimate claims</t>
  </si>
  <si>
    <t xml:space="preserve">Earned premium × expected loss ratio</t>
  </si>
  <si>
    <t xml:space="preserve">Outstanding claims</t>
  </si>
  <si>
    <t xml:space="preserve">Ultimate claims less claims paid</t>
  </si>
  <si>
    <t xml:space="preserve">Linked directly from assumptions</t>
  </si>
  <si>
    <t xml:space="preserve">Base technical provisions</t>
  </si>
  <si>
    <t xml:space="preserve">Within-sheet SUM</t>
  </si>
  <si>
    <t xml:space="preserve">Outstanding claims plus expense reserve</t>
  </si>
  <si>
    <t xml:space="preserve">Risk margin</t>
  </si>
  <si>
    <t xml:space="preserve">Mixed formula</t>
  </si>
  <si>
    <t xml:space="preserve">Base technical provisions × risk margin rate</t>
  </si>
  <si>
    <t xml:space="preserve">Total technical provisions</t>
  </si>
  <si>
    <t xml:space="preserve">Expected value: EUR 2,797,600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</si>
</sst>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€#,##0;[RED]&quot;(€&quot;#,##0\);\-"/>
    <numFmt numFmtId="167" formatCode="0.0%;[RED]\(0.0%\);\-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11"/>
      <color rgb="FF16324F"/>
      <name val="Calibri"/>
      <family val="0"/>
      <charset val="1"/>
    </font>
    <font>
      <sz val="11"/>
      <color rgb="FF1F2937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6324F"/>
        <bgColor rgb="FF1F2937"/>
      </patternFill>
    </fill>
    <fill>
      <patternFill patternType="solid">
        <fgColor rgb="FF1F7A8C"/>
        <bgColor rgb="FF008080"/>
      </patternFill>
    </fill>
    <fill>
      <patternFill patternType="solid">
        <fgColor rgb="FFE8F1F5"/>
        <bgColor rgb="FFF3F4F6"/>
      </patternFill>
    </fill>
    <fill>
      <patternFill patternType="solid">
        <fgColor rgb="FFE2F0D9"/>
        <bgColor rgb="FFE8F1F5"/>
      </patternFill>
    </fill>
    <fill>
      <patternFill patternType="solid">
        <fgColor rgb="FFF3F4F6"/>
        <bgColor rgb="FFE8F1F5"/>
      </patternFill>
    </fill>
    <fill>
      <patternFill patternType="solid">
        <fgColor rgb="FFFFF2CC"/>
        <bgColor rgb="FFFFF4CE"/>
      </patternFill>
    </fill>
    <fill>
      <patternFill patternType="solid">
        <fgColor rgb="FFFFFFFF"/>
        <bgColor rgb="FFF3F4F6"/>
      </patternFill>
    </fill>
    <fill>
      <patternFill patternType="solid">
        <fgColor rgb="FFFFF4CE"/>
        <bgColor rgb="FFFFF2CC"/>
      </patternFill>
    </fill>
    <fill>
      <patternFill patternType="solid">
        <fgColor rgb="FFFCE8E6"/>
        <bgColor rgb="FFFFF2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>
        <color rgb="FF16324F"/>
      </left>
      <right style="medium">
        <color rgb="FF16324F"/>
      </right>
      <top style="medium">
        <color rgb="FF16324F"/>
      </top>
      <bottom style="medium">
        <color rgb="FF16324F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/>
      <right/>
      <top/>
      <bottom style="thin">
        <color rgb="FFCBD5E1"/>
      </bottom>
      <diagonal/>
    </border>
    <border diagonalUp="false" diagonalDown="false">
      <left/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1F7A8C"/>
      </left>
      <right style="thin">
        <color rgb="FF1F7A8C"/>
      </right>
      <top style="thin">
        <color rgb="FF1F7A8C"/>
      </top>
      <bottom style="thin">
        <color rgb="FF1F7A8C"/>
      </bottom>
      <diagonal/>
    </border>
    <border diagonalUp="false" diagonalDown="false">
      <left style="medium">
        <color rgb="FF1F7A8C"/>
      </left>
      <right/>
      <top style="medium">
        <color rgb="FF1F7A8C"/>
      </top>
      <bottom style="medium">
        <color rgb="FF1F7A8C"/>
      </bottom>
      <diagonal/>
    </border>
    <border diagonalUp="false" diagonalDown="false">
      <left/>
      <right/>
      <top style="medium">
        <color rgb="FF1F7A8C"/>
      </top>
      <bottom style="medium">
        <color rgb="FF1F7A8C"/>
      </bottom>
      <diagonal/>
    </border>
    <border diagonalUp="false" diagonalDown="false">
      <left/>
      <right style="medium">
        <color rgb="FF1F7A8C"/>
      </right>
      <top style="medium">
        <color rgb="FF1F7A8C"/>
      </top>
      <bottom style="medium">
        <color rgb="FF1F7A8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7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7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7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5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8C"/>
      <rgbColor rgb="FFC0C0C0"/>
      <rgbColor rgb="FF808080"/>
      <rgbColor rgb="FF9999FF"/>
      <rgbColor rgb="FF993366"/>
      <rgbColor rgb="FFFFF4CE"/>
      <rgbColor rgb="FFE8F1F5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2F0D9"/>
      <rgbColor rgb="FFFFF2CC"/>
      <rgbColor rgb="FF99CCFF"/>
      <rgbColor rgb="FFFF99CC"/>
      <rgbColor rgb="FFCC99FF"/>
      <rgbColor rgb="FFFCE8E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8"/>
    <col collapsed="false" customWidth="true" hidden="false" outlineLevel="0" max="3" min="3" style="0" width="27"/>
    <col collapsed="false" customWidth="true" hidden="false" outlineLevel="0" max="4" min="4" style="0" width="28"/>
    <col collapsed="false" customWidth="true" hidden="false" outlineLevel="0" max="5" min="5" style="0" width="27"/>
    <col collapsed="false" customWidth="true" hidden="false" outlineLevel="0" max="6" min="6" style="0" width="25"/>
  </cols>
  <sheetData>
    <row r="1" customFormat="false" ht="28" hidden="false" customHeight="true" outlineLevel="0" collapsed="fals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customFormat="false" ht="28" hidden="false" customHeight="true" outlineLevel="0" collapsed="false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</row>
    <row r="3" customFormat="false" ht="24" hidden="false" customHeight="true" outlineLevel="0" collapsed="false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</row>
    <row r="5" customFormat="false" ht="15" hidden="false" customHeight="false" outlineLevel="0" collapsed="false">
      <c r="A5" s="3" t="s">
        <v>2</v>
      </c>
      <c r="B5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</row>
    <row r="7" customFormat="false" ht="15" hidden="false" customHeight="false" outlineLevel="0" collapsed="false">
      <c r="A7" s="5" t="s">
        <v>6</v>
      </c>
      <c r="B7" s="5" t="s">
        <v>7</v>
      </c>
    </row>
    <row r="8" customFormat="false" ht="15" hidden="false" customHeight="false" outlineLevel="0" collapsed="false">
      <c r="A8" s="5" t="s">
        <v>8</v>
      </c>
      <c r="B8" s="5" t="s">
        <v>9</v>
      </c>
    </row>
    <row r="9" customFormat="false" ht="15" hidden="false" customHeight="false" outlineLevel="0" collapsed="false">
      <c r="A9" s="5" t="s">
        <v>10</v>
      </c>
      <c r="B9" s="5" t="s">
        <v>11</v>
      </c>
    </row>
    <row r="10" customFormat="false" ht="28" hidden="false" customHeight="true" outlineLevel="0" collapsed="false">
      <c r="A10" s="5" t="s">
        <v>12</v>
      </c>
      <c r="B10" s="6" t="s">
        <v>13</v>
      </c>
      <c r="C10" s="6"/>
      <c r="D10" s="6"/>
      <c r="E10" s="6"/>
      <c r="F10" s="6"/>
    </row>
    <row r="12" customFormat="false" ht="15" hidden="false" customHeight="false" outlineLevel="0" collapsed="false">
      <c r="A12" s="7" t="s">
        <v>14</v>
      </c>
      <c r="B12" s="7" t="s">
        <v>14</v>
      </c>
      <c r="C12" s="7" t="s">
        <v>14</v>
      </c>
      <c r="D12" s="7" t="s">
        <v>14</v>
      </c>
      <c r="E12" s="7" t="s">
        <v>14</v>
      </c>
      <c r="F12" s="7" t="s">
        <v>14</v>
      </c>
    </row>
    <row r="13" customFormat="false" ht="32" hidden="false" customHeight="true" outlineLevel="0" collapsed="false">
      <c r="A13" s="8" t="s">
        <v>15</v>
      </c>
      <c r="B13" s="8" t="s">
        <v>16</v>
      </c>
      <c r="C13" s="8" t="s">
        <v>17</v>
      </c>
      <c r="D13" s="8" t="s">
        <v>18</v>
      </c>
      <c r="E13" s="8" t="s">
        <v>19</v>
      </c>
      <c r="F13" s="8" t="s">
        <v>20</v>
      </c>
    </row>
    <row r="14" customFormat="false" ht="32" hidden="false" customHeight="true" outlineLevel="0" collapsed="false">
      <c r="A14" s="9" t="s">
        <v>21</v>
      </c>
      <c r="B14" s="9" t="s">
        <v>22</v>
      </c>
      <c r="C14" s="9" t="s">
        <v>23</v>
      </c>
      <c r="D14" s="9" t="s">
        <v>24</v>
      </c>
      <c r="E14" s="9" t="s">
        <v>13</v>
      </c>
      <c r="F14" s="9" t="s">
        <v>25</v>
      </c>
    </row>
    <row r="15" customFormat="false" ht="32" hidden="false" customHeight="true" outlineLevel="0" collapsed="false">
      <c r="A15" s="9" t="s">
        <v>26</v>
      </c>
      <c r="B15" s="9" t="s">
        <v>27</v>
      </c>
      <c r="C15" s="9" t="s">
        <v>28</v>
      </c>
      <c r="D15" s="9" t="s">
        <v>29</v>
      </c>
      <c r="E15" s="9" t="s">
        <v>30</v>
      </c>
      <c r="F15" s="9" t="s">
        <v>25</v>
      </c>
    </row>
    <row r="16" customFormat="false" ht="32" hidden="false" customHeight="true" outlineLevel="0" collapsed="false">
      <c r="A16" s="9" t="s">
        <v>31</v>
      </c>
      <c r="B16" s="9" t="s">
        <v>32</v>
      </c>
      <c r="C16" s="9" t="s">
        <v>33</v>
      </c>
      <c r="D16" s="9" t="s">
        <v>34</v>
      </c>
      <c r="E16" s="9" t="s">
        <v>35</v>
      </c>
      <c r="F16" s="9" t="s">
        <v>36</v>
      </c>
    </row>
    <row r="18" customFormat="false" ht="15" hidden="false" customHeight="false" outlineLevel="0" collapsed="false">
      <c r="A18" s="7" t="s">
        <v>37</v>
      </c>
      <c r="B18" s="7" t="s">
        <v>37</v>
      </c>
      <c r="C18" s="7" t="s">
        <v>37</v>
      </c>
      <c r="D18" s="7" t="s">
        <v>37</v>
      </c>
      <c r="E18" s="7" t="s">
        <v>37</v>
      </c>
      <c r="F18" s="7" t="s">
        <v>37</v>
      </c>
    </row>
    <row r="19" customFormat="false" ht="34" hidden="false" customHeight="true" outlineLevel="0" collapsed="false">
      <c r="A19" s="10" t="s">
        <v>38</v>
      </c>
      <c r="B19" s="10" t="s">
        <v>39</v>
      </c>
      <c r="C19" s="10" t="s">
        <v>40</v>
      </c>
      <c r="D19" s="10" t="n">
        <v>2797600</v>
      </c>
      <c r="E19" s="10" t="s">
        <v>41</v>
      </c>
      <c r="F19" s="10" t="s">
        <v>42</v>
      </c>
    </row>
    <row r="20" customFormat="false" ht="34" hidden="false" customHeight="true" outlineLevel="0" collapsed="false">
      <c r="A20" s="11" t="s">
        <v>43</v>
      </c>
      <c r="B20" s="11" t="s">
        <v>44</v>
      </c>
      <c r="C20" s="11" t="s">
        <v>45</v>
      </c>
      <c r="D20" s="11" t="n">
        <v>2797600</v>
      </c>
      <c r="E20" s="11" t="s">
        <v>41</v>
      </c>
      <c r="F20" s="11" t="s">
        <v>46</v>
      </c>
    </row>
    <row r="21" customFormat="false" ht="34" hidden="false" customHeight="true" outlineLevel="0" collapsed="false">
      <c r="A21" s="11" t="s">
        <v>47</v>
      </c>
      <c r="B21" s="11" t="n">
        <v>0</v>
      </c>
      <c r="C21" s="11" t="s">
        <v>48</v>
      </c>
      <c r="D21" s="11" t="n">
        <v>0</v>
      </c>
      <c r="E21" s="11" t="s">
        <v>49</v>
      </c>
      <c r="F21" s="11" t="s">
        <v>50</v>
      </c>
    </row>
    <row r="22" customFormat="false" ht="34" hidden="false" customHeight="true" outlineLevel="0" collapsed="false">
      <c r="A22" s="11" t="s">
        <v>51</v>
      </c>
      <c r="B22" s="11" t="s">
        <v>52</v>
      </c>
      <c r="C22" s="11" t="s">
        <v>53</v>
      </c>
      <c r="D22" s="11" t="n">
        <v>2797600</v>
      </c>
      <c r="E22" s="11" t="s">
        <v>54</v>
      </c>
      <c r="F22" s="11" t="n">
        <v>0</v>
      </c>
    </row>
    <row r="24" customFormat="false" ht="15" hidden="false" customHeight="true" outlineLevel="0" collapsed="false">
      <c r="A24" s="12" t="s">
        <v>55</v>
      </c>
      <c r="B24" s="12" t="s">
        <v>55</v>
      </c>
      <c r="C24" s="12" t="s">
        <v>55</v>
      </c>
      <c r="D24" s="12" t="s">
        <v>55</v>
      </c>
      <c r="E24" s="12" t="s">
        <v>55</v>
      </c>
      <c r="F24" s="12" t="s">
        <v>55</v>
      </c>
    </row>
    <row r="25" customFormat="false" ht="15" hidden="false" customHeight="false" outlineLevel="0" collapsed="false">
      <c r="A25" s="12" t="s">
        <v>55</v>
      </c>
      <c r="B25" s="12" t="s">
        <v>55</v>
      </c>
      <c r="C25" s="12" t="s">
        <v>55</v>
      </c>
      <c r="D25" s="12" t="s">
        <v>55</v>
      </c>
      <c r="E25" s="12" t="s">
        <v>55</v>
      </c>
      <c r="F25" s="12" t="s">
        <v>55</v>
      </c>
    </row>
  </sheetData>
  <mergeCells count="6">
    <mergeCell ref="A1:F2"/>
    <mergeCell ref="A3:F3"/>
    <mergeCell ref="B10:F10"/>
    <mergeCell ref="A12:F12"/>
    <mergeCell ref="A18:F18"/>
    <mergeCell ref="A24:F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4" min="4" style="0" width="46"/>
    <col collapsed="false" customWidth="true" hidden="false" outlineLevel="0" max="6" min="5" style="0" width="14"/>
  </cols>
  <sheetData>
    <row r="1" customFormat="false" ht="28" hidden="false" customHeight="true" outlineLevel="0" collapsed="false">
      <c r="A1" s="1" t="s">
        <v>56</v>
      </c>
      <c r="B1" s="1" t="s">
        <v>56</v>
      </c>
      <c r="C1" s="1" t="s">
        <v>56</v>
      </c>
      <c r="D1" s="1" t="s">
        <v>56</v>
      </c>
      <c r="E1" s="1" t="s">
        <v>56</v>
      </c>
      <c r="F1" s="1" t="s">
        <v>56</v>
      </c>
    </row>
    <row r="2" customFormat="false" ht="28" hidden="false" customHeight="true" outlineLevel="0" collapsed="false">
      <c r="A2" s="1" t="s">
        <v>56</v>
      </c>
      <c r="B2" s="1" t="s">
        <v>56</v>
      </c>
      <c r="C2" s="1" t="s">
        <v>56</v>
      </c>
      <c r="D2" s="1" t="s">
        <v>56</v>
      </c>
      <c r="E2" s="1" t="s">
        <v>56</v>
      </c>
      <c r="F2" s="1" t="s">
        <v>56</v>
      </c>
    </row>
    <row r="3" customFormat="false" ht="24" hidden="false" customHeight="true" outlineLevel="0" collapsed="false">
      <c r="A3" s="2" t="s">
        <v>57</v>
      </c>
      <c r="B3" s="2" t="s">
        <v>57</v>
      </c>
      <c r="C3" s="2" t="s">
        <v>57</v>
      </c>
      <c r="D3" s="2" t="s">
        <v>57</v>
      </c>
      <c r="E3" s="2" t="s">
        <v>57</v>
      </c>
      <c r="F3" s="2" t="s">
        <v>57</v>
      </c>
    </row>
    <row r="5" customFormat="false" ht="15" hidden="false" customHeight="false" outlineLevel="0" collapsed="false">
      <c r="A5" s="7" t="s">
        <v>58</v>
      </c>
      <c r="B5" s="7" t="s">
        <v>58</v>
      </c>
      <c r="C5" s="7" t="s">
        <v>58</v>
      </c>
      <c r="D5" s="7" t="s">
        <v>58</v>
      </c>
    </row>
    <row r="6" customFormat="false" ht="15" hidden="false" customHeight="false" outlineLevel="0" collapsed="false">
      <c r="A6" s="3" t="s">
        <v>59</v>
      </c>
      <c r="B6" s="3" t="s">
        <v>3</v>
      </c>
      <c r="C6" s="3" t="s">
        <v>60</v>
      </c>
      <c r="D6" s="3" t="s">
        <v>61</v>
      </c>
    </row>
    <row r="7" customFormat="false" ht="15" hidden="false" customHeight="false" outlineLevel="0" collapsed="false">
      <c r="A7" s="4" t="s">
        <v>62</v>
      </c>
      <c r="B7" s="13" t="n">
        <v>12000000</v>
      </c>
      <c r="C7" s="4" t="s">
        <v>9</v>
      </c>
      <c r="D7" s="4" t="s">
        <v>63</v>
      </c>
    </row>
    <row r="8" customFormat="false" ht="15" hidden="false" customHeight="false" outlineLevel="0" collapsed="false">
      <c r="A8" s="5" t="s">
        <v>64</v>
      </c>
      <c r="B8" s="14" t="n">
        <v>0.62</v>
      </c>
      <c r="C8" s="5" t="s">
        <v>65</v>
      </c>
      <c r="D8" s="5" t="s">
        <v>66</v>
      </c>
    </row>
    <row r="9" customFormat="false" ht="15" hidden="false" customHeight="false" outlineLevel="0" collapsed="false">
      <c r="A9" s="5" t="s">
        <v>67</v>
      </c>
      <c r="B9" s="15" t="n">
        <v>5000000</v>
      </c>
      <c r="C9" s="5" t="s">
        <v>9</v>
      </c>
      <c r="D9" s="5" t="s">
        <v>68</v>
      </c>
    </row>
    <row r="10" customFormat="false" ht="15" hidden="false" customHeight="false" outlineLevel="0" collapsed="false">
      <c r="A10" s="5" t="s">
        <v>69</v>
      </c>
      <c r="B10" s="15" t="n">
        <v>250000</v>
      </c>
      <c r="C10" s="5" t="s">
        <v>9</v>
      </c>
      <c r="D10" s="5" t="s">
        <v>70</v>
      </c>
    </row>
    <row r="11" customFormat="false" ht="15" hidden="false" customHeight="false" outlineLevel="0" collapsed="false">
      <c r="A11" s="5" t="s">
        <v>71</v>
      </c>
      <c r="B11" s="14" t="n">
        <v>0.04</v>
      </c>
      <c r="C11" s="5" t="s">
        <v>65</v>
      </c>
      <c r="D11" s="5" t="s">
        <v>72</v>
      </c>
    </row>
    <row r="18" customFormat="false" ht="15" hidden="false" customHeight="false" outlineLevel="0" collapsed="false">
      <c r="A18" s="7" t="s">
        <v>73</v>
      </c>
      <c r="B18" s="7" t="s">
        <v>73</v>
      </c>
      <c r="C18" s="7" t="s">
        <v>73</v>
      </c>
      <c r="D18" s="7" t="s">
        <v>73</v>
      </c>
      <c r="E18" s="7" t="s">
        <v>73</v>
      </c>
      <c r="F18" s="7" t="s">
        <v>73</v>
      </c>
    </row>
    <row r="19" customFormat="false" ht="24" hidden="false" customHeight="true" outlineLevel="0" collapsed="false">
      <c r="A19" s="16" t="s">
        <v>74</v>
      </c>
      <c r="B19" s="17" t="s">
        <v>75</v>
      </c>
      <c r="C19" s="17"/>
      <c r="D19" s="17"/>
      <c r="E19" s="17"/>
      <c r="F19" s="17"/>
    </row>
    <row r="20" customFormat="false" ht="24" hidden="false" customHeight="true" outlineLevel="0" collapsed="false">
      <c r="A20" s="18" t="s">
        <v>76</v>
      </c>
      <c r="B20" s="19" t="s">
        <v>77</v>
      </c>
      <c r="C20" s="19"/>
      <c r="D20" s="19"/>
      <c r="E20" s="19"/>
      <c r="F20" s="19"/>
    </row>
    <row r="21" customFormat="false" ht="24" hidden="false" customHeight="true" outlineLevel="0" collapsed="false">
      <c r="A21" s="20" t="s">
        <v>78</v>
      </c>
      <c r="B21" s="21" t="s">
        <v>79</v>
      </c>
      <c r="C21" s="21"/>
      <c r="D21" s="21"/>
      <c r="E21" s="21"/>
      <c r="F21" s="21"/>
    </row>
    <row r="22" customFormat="false" ht="24" hidden="false" customHeight="true" outlineLevel="0" collapsed="false">
      <c r="A22" s="18" t="s">
        <v>80</v>
      </c>
      <c r="B22" s="19" t="s">
        <v>81</v>
      </c>
      <c r="C22" s="19"/>
      <c r="D22" s="19"/>
      <c r="E22" s="19"/>
      <c r="F22" s="19"/>
    </row>
    <row r="23" customFormat="false" ht="24" hidden="false" customHeight="true" outlineLevel="0" collapsed="false">
      <c r="A23" s="22" t="s">
        <v>82</v>
      </c>
      <c r="B23" s="23" t="s">
        <v>83</v>
      </c>
      <c r="C23" s="23"/>
      <c r="D23" s="23"/>
      <c r="E23" s="23"/>
      <c r="F23" s="23"/>
    </row>
    <row r="24" customFormat="false" ht="24" hidden="false" customHeight="true" outlineLevel="0" collapsed="false">
      <c r="A24" s="24" t="s">
        <v>84</v>
      </c>
      <c r="B24" s="25" t="s">
        <v>85</v>
      </c>
      <c r="C24" s="25"/>
      <c r="D24" s="25"/>
      <c r="E24" s="25"/>
      <c r="F24" s="25"/>
    </row>
    <row r="25" customFormat="false" ht="24" hidden="false" customHeight="true" outlineLevel="0" collapsed="false">
      <c r="A25" s="26" t="s">
        <v>86</v>
      </c>
      <c r="B25" s="27" t="s">
        <v>87</v>
      </c>
      <c r="C25" s="27"/>
      <c r="D25" s="27"/>
      <c r="E25" s="27"/>
      <c r="F25" s="27"/>
    </row>
  </sheetData>
  <mergeCells count="11">
    <mergeCell ref="A1:F2"/>
    <mergeCell ref="A3:F3"/>
    <mergeCell ref="A5:D5"/>
    <mergeCell ref="A18:F18"/>
    <mergeCell ref="B19:F19"/>
    <mergeCell ref="B20:F20"/>
    <mergeCell ref="B21:F21"/>
    <mergeCell ref="B22:F22"/>
    <mergeCell ref="B23:F23"/>
    <mergeCell ref="B24:F24"/>
    <mergeCell ref="B25:F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48"/>
    <col collapsed="false" customWidth="true" hidden="false" outlineLevel="0" max="6" min="5" style="0" width="14"/>
  </cols>
  <sheetData>
    <row r="1" customFormat="false" ht="28" hidden="false" customHeight="true" outlineLevel="0" collapsed="false">
      <c r="A1" s="1" t="s">
        <v>88</v>
      </c>
      <c r="B1" s="1" t="s">
        <v>88</v>
      </c>
      <c r="C1" s="1" t="s">
        <v>88</v>
      </c>
      <c r="D1" s="1" t="s">
        <v>88</v>
      </c>
      <c r="E1" s="1" t="s">
        <v>88</v>
      </c>
      <c r="F1" s="1" t="s">
        <v>88</v>
      </c>
    </row>
    <row r="2" customFormat="false" ht="28" hidden="false" customHeight="true" outlineLevel="0" collapsed="false">
      <c r="A2" s="1" t="s">
        <v>88</v>
      </c>
      <c r="B2" s="1" t="s">
        <v>88</v>
      </c>
      <c r="C2" s="1" t="s">
        <v>88</v>
      </c>
      <c r="D2" s="1" t="s">
        <v>88</v>
      </c>
      <c r="E2" s="1" t="s">
        <v>88</v>
      </c>
      <c r="F2" s="1" t="s">
        <v>88</v>
      </c>
    </row>
    <row r="3" customFormat="false" ht="24" hidden="false" customHeight="true" outlineLevel="0" collapsed="false">
      <c r="A3" s="2" t="s">
        <v>89</v>
      </c>
      <c r="B3" s="2" t="s">
        <v>89</v>
      </c>
      <c r="C3" s="2" t="s">
        <v>89</v>
      </c>
      <c r="D3" s="2" t="s">
        <v>89</v>
      </c>
      <c r="E3" s="2" t="s">
        <v>89</v>
      </c>
      <c r="F3" s="2" t="s">
        <v>89</v>
      </c>
    </row>
    <row r="5" customFormat="false" ht="15" hidden="false" customHeight="false" outlineLevel="0" collapsed="false">
      <c r="A5" s="7" t="s">
        <v>90</v>
      </c>
      <c r="B5" s="7" t="s">
        <v>90</v>
      </c>
      <c r="C5" s="7" t="s">
        <v>90</v>
      </c>
      <c r="D5" s="7" t="s">
        <v>90</v>
      </c>
    </row>
    <row r="6" customFormat="false" ht="15" hidden="false" customHeight="false" outlineLevel="0" collapsed="false">
      <c r="A6" s="3" t="s">
        <v>91</v>
      </c>
      <c r="B6" s="3" t="s">
        <v>9</v>
      </c>
      <c r="C6" s="3" t="s">
        <v>92</v>
      </c>
      <c r="D6" s="3" t="s">
        <v>93</v>
      </c>
    </row>
    <row r="7" customFormat="false" ht="15" hidden="false" customHeight="false" outlineLevel="0" collapsed="false">
      <c r="A7" s="4" t="s">
        <v>94</v>
      </c>
      <c r="B7" s="28" t="n">
        <f aca="false">Assumptions!B7*Assumptions!B8</f>
        <v>7440000</v>
      </c>
      <c r="C7" s="4" t="s">
        <v>76</v>
      </c>
      <c r="D7" s="4" t="s">
        <v>95</v>
      </c>
    </row>
    <row r="8" customFormat="false" ht="15" hidden="false" customHeight="false" outlineLevel="0" collapsed="false">
      <c r="A8" s="5" t="s">
        <v>96</v>
      </c>
      <c r="B8" s="29" t="n">
        <f aca="false">B7-Assumptions!B9</f>
        <v>2440000</v>
      </c>
      <c r="C8" s="5" t="s">
        <v>78</v>
      </c>
      <c r="D8" s="5" t="s">
        <v>97</v>
      </c>
    </row>
    <row r="9" customFormat="false" ht="15" hidden="false" customHeight="false" outlineLevel="0" collapsed="false">
      <c r="A9" s="5" t="s">
        <v>69</v>
      </c>
      <c r="B9" s="30" t="n">
        <f aca="false">Assumptions!B10</f>
        <v>250000</v>
      </c>
      <c r="C9" s="5" t="s">
        <v>76</v>
      </c>
      <c r="D9" s="5" t="s">
        <v>98</v>
      </c>
    </row>
    <row r="10" customFormat="false" ht="15" hidden="false" customHeight="false" outlineLevel="0" collapsed="false">
      <c r="A10" s="5" t="s">
        <v>99</v>
      </c>
      <c r="B10" s="29" t="n">
        <f aca="false">SUM(B8:B9)</f>
        <v>2690000</v>
      </c>
      <c r="C10" s="5" t="s">
        <v>100</v>
      </c>
      <c r="D10" s="5" t="s">
        <v>101</v>
      </c>
    </row>
    <row r="11" customFormat="false" ht="15" hidden="false" customHeight="false" outlineLevel="0" collapsed="false">
      <c r="A11" s="5" t="s">
        <v>102</v>
      </c>
      <c r="B11" s="30" t="n">
        <f aca="false">B10*Assumptions!B11</f>
        <v>107600</v>
      </c>
      <c r="C11" s="5" t="s">
        <v>103</v>
      </c>
      <c r="D11" s="5" t="s">
        <v>104</v>
      </c>
    </row>
    <row r="12" customFormat="false" ht="15" hidden="false" customHeight="false" outlineLevel="0" collapsed="false">
      <c r="A12" s="31" t="s">
        <v>105</v>
      </c>
      <c r="B12" s="32" t="n">
        <f aca="false">SUM(B10:B11)</f>
        <v>2797600</v>
      </c>
      <c r="C12" s="33" t="s">
        <v>80</v>
      </c>
      <c r="D12" s="34" t="s">
        <v>106</v>
      </c>
    </row>
    <row r="16" customFormat="false" ht="15" hidden="false" customHeight="false" outlineLevel="0" collapsed="false">
      <c r="A16" s="7" t="s">
        <v>73</v>
      </c>
      <c r="B16" s="7" t="s">
        <v>73</v>
      </c>
      <c r="C16" s="7" t="s">
        <v>73</v>
      </c>
      <c r="D16" s="7" t="s">
        <v>73</v>
      </c>
      <c r="E16" s="7" t="s">
        <v>73</v>
      </c>
      <c r="F16" s="7" t="s">
        <v>73</v>
      </c>
    </row>
    <row r="17" customFormat="false" ht="24" hidden="false" customHeight="true" outlineLevel="0" collapsed="false">
      <c r="A17" s="16" t="s">
        <v>74</v>
      </c>
      <c r="B17" s="17" t="s">
        <v>75</v>
      </c>
      <c r="C17" s="17"/>
      <c r="D17" s="17"/>
      <c r="E17" s="17"/>
      <c r="F17" s="17"/>
    </row>
    <row r="18" customFormat="false" ht="24" hidden="false" customHeight="true" outlineLevel="0" collapsed="false">
      <c r="A18" s="18" t="s">
        <v>76</v>
      </c>
      <c r="B18" s="19" t="s">
        <v>77</v>
      </c>
      <c r="C18" s="19"/>
      <c r="D18" s="19"/>
      <c r="E18" s="19"/>
      <c r="F18" s="19"/>
    </row>
    <row r="19" customFormat="false" ht="24" hidden="false" customHeight="true" outlineLevel="0" collapsed="false">
      <c r="A19" s="20" t="s">
        <v>78</v>
      </c>
      <c r="B19" s="21" t="s">
        <v>79</v>
      </c>
      <c r="C19" s="21"/>
      <c r="D19" s="21"/>
      <c r="E19" s="21"/>
      <c r="F19" s="21"/>
    </row>
    <row r="20" customFormat="false" ht="24" hidden="false" customHeight="true" outlineLevel="0" collapsed="false">
      <c r="A20" s="18" t="s">
        <v>80</v>
      </c>
      <c r="B20" s="19" t="s">
        <v>81</v>
      </c>
      <c r="C20" s="19"/>
      <c r="D20" s="19"/>
      <c r="E20" s="19"/>
      <c r="F20" s="19"/>
    </row>
    <row r="21" customFormat="false" ht="24" hidden="false" customHeight="true" outlineLevel="0" collapsed="false">
      <c r="A21" s="22" t="s">
        <v>82</v>
      </c>
      <c r="B21" s="23" t="s">
        <v>83</v>
      </c>
      <c r="C21" s="23"/>
      <c r="D21" s="23"/>
      <c r="E21" s="23"/>
      <c r="F21" s="23"/>
    </row>
    <row r="22" customFormat="false" ht="24" hidden="false" customHeight="true" outlineLevel="0" collapsed="false">
      <c r="A22" s="24" t="s">
        <v>84</v>
      </c>
      <c r="B22" s="25" t="s">
        <v>85</v>
      </c>
      <c r="C22" s="25"/>
      <c r="D22" s="25"/>
      <c r="E22" s="25"/>
      <c r="F22" s="25"/>
    </row>
    <row r="23" customFormat="false" ht="24" hidden="false" customHeight="true" outlineLevel="0" collapsed="false">
      <c r="A23" s="26" t="s">
        <v>86</v>
      </c>
      <c r="B23" s="27" t="s">
        <v>87</v>
      </c>
      <c r="C23" s="27"/>
      <c r="D23" s="27"/>
      <c r="E23" s="27"/>
      <c r="F23" s="27"/>
    </row>
  </sheetData>
  <mergeCells count="11">
    <mergeCell ref="A1:F2"/>
    <mergeCell ref="A3:F3"/>
    <mergeCell ref="A5:D5"/>
    <mergeCell ref="A16:F16"/>
    <mergeCell ref="B17:F17"/>
    <mergeCell ref="B18:F18"/>
    <mergeCell ref="B19:F19"/>
    <mergeCell ref="B20:F20"/>
    <mergeCell ref="B21:F21"/>
    <mergeCell ref="B22:F22"/>
    <mergeCell ref="B23:F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fr-BE</dc:language>
  <cp:lastModifiedBy/>
  <cp:revision>0</cp:revision>
  <dc:subject/>
  <dc:title/>
</cp:coreProperties>
</file>
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mo Guide" sheetId="1" state="visible" r:id="rId3"/>
    <sheet name="Assumptions" sheetId="2" state="visible" r:id="rId4"/>
    <sheet name="Reserve Summary" sheetId="3" state="visible" r:id="rId5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<sst xmlns="http://schemas.openxmlformats.org/spreadsheetml/2006/main" count="218" uniqueCount="106">
  <si>
    <t xml:space="preserve">Case 3 — Accounting reconciliation failure</t>
  </si>
  <si>
    <t xml:space="preserve">Internally complete calculations with external mapping, population and context blockers</t>
  </si>
  <si>
    <t xml:space="preserve">Workbook context</t>
  </si>
  <si>
    <t xml:space="preserve">Value</t>
  </si>
  <si>
    <t xml:space="preserve">Entity</t>
  </si>
  <si>
    <t xml:space="preserve">Aurora Life SA</t>
  </si>
  <si>
    <t xml:space="preserve">Period</t>
  </si>
  <si>
    <t xml:space="preserve">2025-Q4</t>
  </si>
  <si>
    <t xml:space="preserve">Currency</t>
  </si>
  <si>
    <t xml:space="preserve">EUR</t>
  </si>
  <si>
    <t xml:space="preserve">Basis</t>
  </si>
  <si>
    <t xml:space="preserve">IFRS 17 — synthetic demonstration</t>
  </si>
  <si>
    <t xml:space="preserve">Designated output(s)</t>
  </si>
  <si>
    <t xml:space="preserve">Reserve Summary!B7, Reserve Summary!B8, Reserve Summary!B9</t>
  </si>
  <si>
    <t xml:space="preserve">Demonstration instructions</t>
  </si>
  <si>
    <t xml:space="preserve">1</t>
  </si>
  <si>
    <t xml:space="preserve">Upload this workbook</t>
  </si>
  <si>
    <t xml:space="preserve">Workbook context: EUR</t>
  </si>
  <si>
    <t xml:space="preserve">Include reference CSV</t>
  </si>
  <si>
    <t xml:space="preserve">case_3_reference_figures.csv</t>
  </si>
  <si>
    <t xml:space="preserve">Confirm Gate 1</t>
  </si>
  <si>
    <t xml:space="preserve">2</t>
  </si>
  <si>
    <t xml:space="preserve">Reference context</t>
  </si>
  <si>
    <t xml:space="preserve">Enter currency GBP</t>
  </si>
  <si>
    <t xml:space="preserve">Entity / period</t>
  </si>
  <si>
    <t xml:space="preserve">Aurora Life SA / 2025-Q4</t>
  </si>
  <si>
    <t xml:space="preserve">This creates a deliberate mismatch</t>
  </si>
  <si>
    <t xml:space="preserve">3</t>
  </si>
  <si>
    <t xml:space="preserve">Gate 2</t>
  </si>
  <si>
    <t xml:space="preserve">Expected findings: none</t>
  </si>
  <si>
    <t xml:space="preserve">Designate all three outputs</t>
  </si>
  <si>
    <t xml:space="preserve">Reserve Summary!B7:B9</t>
  </si>
  <si>
    <t xml:space="preserve">Proceed</t>
  </si>
  <si>
    <t xml:space="preserve">4</t>
  </si>
  <si>
    <t xml:space="preserve">Gate 3</t>
  </si>
  <si>
    <t xml:space="preserve">Review mapping proposals</t>
  </si>
  <si>
    <t xml:space="preserve">Expected result</t>
  </si>
  <si>
    <t xml:space="preserve">External block; internal pass</t>
  </si>
  <si>
    <t xml:space="preserve">Do not collapse the verdicts</t>
  </si>
  <si>
    <t xml:space="preserve">Expected outcome</t>
  </si>
  <si>
    <t xml:space="preserve">Internal reconstruction</t>
  </si>
  <si>
    <t xml:space="preserve">Complete for all outputs</t>
  </si>
  <si>
    <t xml:space="preserve">Expected verdict</t>
  </si>
  <si>
    <t xml:space="preserve">pass</t>
  </si>
  <si>
    <t xml:space="preserve">External verdict</t>
  </si>
  <si>
    <t xml:space="preserve">block</t>
  </si>
  <si>
    <t xml:space="preserve">Fuzzy proposal</t>
  </si>
  <si>
    <t xml:space="preserve">Net claim reserves → Net claims reserve</t>
  </si>
  <si>
    <t xml:space="preserve">Human approval</t>
  </si>
  <si>
    <t xml:space="preserve">required</t>
  </si>
  <si>
    <t xml:space="preserve">Algorithmic approval</t>
  </si>
  <si>
    <t xml:space="preserve">never</t>
  </si>
  <si>
    <t xml:space="preserve">Unmatched reference lines</t>
  </si>
  <si>
    <t xml:space="preserve">Duplicate net-claims line + legacy adjustment</t>
  </si>
  <si>
    <t xml:space="preserve">Expected</t>
  </si>
  <si>
    <t xml:space="preserve">visible</t>
  </si>
  <si>
    <t xml:space="preserve">Unmapped Python output</t>
  </si>
  <si>
    <t xml:space="preserve">Expense provision</t>
  </si>
  <si>
    <t xml:space="preserve">Context match</t>
  </si>
  <si>
    <t xml:space="preserve">Workbook EUR vs reference GBP</t>
  </si>
  <si>
    <t xml:space="preserve">mismatch</t>
  </si>
  <si>
    <t xml:space="preserve">External pass</t>
  </si>
  <si>
    <t xml:space="preserve">prohibited</t>
  </si>
  <si>
    <t xml:space="preserve">Synthetic demonstration data only. It is not derived from a policyholder, insurer, ledger, actuarial model, or production workbook.</t>
  </si>
  <si>
    <t xml:space="preserve">Case 3 — Assumptions</t>
  </si>
  <si>
    <t xml:space="preserve">All internal calculations are supported and should reconstruct completely.</t>
  </si>
  <si>
    <t xml:space="preserve">Synthetic input assumptions</t>
  </si>
  <si>
    <t xml:space="preserve">Assumption</t>
  </si>
  <si>
    <t xml:space="preserve">Units</t>
  </si>
  <si>
    <t xml:space="preserve">Source / rationale</t>
  </si>
  <si>
    <t xml:space="preserve">Gross reported claims</t>
  </si>
  <si>
    <t xml:space="preserve">Synthetic claims source</t>
  </si>
  <si>
    <t xml:space="preserve">Reinsurance recoveries</t>
  </si>
  <si>
    <t xml:space="preserve">Synthetic reinsurance source</t>
  </si>
  <si>
    <t xml:space="preserve">Unearned premiums</t>
  </si>
  <si>
    <t xml:space="preserve">Synthetic premium source</t>
  </si>
  <si>
    <t xml:space="preserve">Acquisition cost offset</t>
  </si>
  <si>
    <t xml:space="preserve">Synthetic cost source</t>
  </si>
  <si>
    <t xml:space="preserve">Synthetic expense estimate</t>
  </si>
  <si>
    <t xml:space="preserve">Cell colour legend</t>
  </si>
  <si>
    <t xml:space="preserve">Input</t>
  </si>
  <si>
    <t xml:space="preserve">Blue text with pale yellow fill — editable synthetic assumption</t>
  </si>
  <si>
    <t xml:space="preserve">Cross-sheet formula</t>
  </si>
  <si>
    <t xml:space="preserve">Green text — formula linked to another worksheet</t>
  </si>
  <si>
    <t xml:space="preserve">Within-sheet formula</t>
  </si>
  <si>
    <t xml:space="preserve">Black text — formula calculated within the worksheet</t>
  </si>
  <si>
    <t xml:space="preserve">Designated output</t>
  </si>
  <si>
    <t xml:space="preserve">Pale green fill — cell selected for reconstruction and reconciliation</t>
  </si>
  <si>
    <t xml:space="preserve">Expected warning</t>
  </si>
  <si>
    <t xml:space="preserve">Amber fill — condition requiring a human review decision</t>
  </si>
  <si>
    <t xml:space="preserve">Expected blocker</t>
  </si>
  <si>
    <t xml:space="preserve">Pale red fill — intentional defect that prevents silent progress</t>
  </si>
  <si>
    <t xml:space="preserve">Model context</t>
  </si>
  <si>
    <t xml:space="preserve">Amounts are EUR unless the case guide says otherwise; period is 2025-Q4</t>
  </si>
  <si>
    <t xml:space="preserve">Case 3 — Reserve summary</t>
  </si>
  <si>
    <t xml:space="preserve">Three designated outputs; only two have plausible accounting counterparts</t>
  </si>
  <si>
    <t xml:space="preserve">Authoritative outputs</t>
  </si>
  <si>
    <t xml:space="preserve">Output label</t>
  </si>
  <si>
    <t xml:space="preserve">Reconstruction</t>
  </si>
  <si>
    <t xml:space="preserve">Expected accounting treatment</t>
  </si>
  <si>
    <t xml:space="preserve">Net claims reserve</t>
  </si>
  <si>
    <t xml:space="preserve">complete</t>
  </si>
  <si>
    <t xml:space="preserve">Plausible fuzzy match to Net claim reserves</t>
  </si>
  <si>
    <t xml:space="preserve">Unearned premium liability</t>
  </si>
  <si>
    <t xml:space="preserve">Exact label match in reference CSV</t>
  </si>
  <si>
    <t xml:space="preserve">Deliberately left without an accounting counterpart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</si>
</sst>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€#,##0;[RED]&quot;(€&quot;#,##0\);\-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16324F"/>
      <name val="Calibri"/>
      <family val="0"/>
      <charset val="1"/>
    </font>
    <font>
      <sz val="11"/>
      <color rgb="FF1F2937"/>
      <name val="Calibri"/>
      <family val="0"/>
      <charset val="1"/>
    </font>
    <font>
      <sz val="11"/>
      <color rgb="FF0000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6324F"/>
        <bgColor rgb="FF1F2937"/>
      </patternFill>
    </fill>
    <fill>
      <patternFill patternType="solid">
        <fgColor rgb="FF9F1239"/>
        <bgColor rgb="FF800000"/>
      </patternFill>
    </fill>
    <fill>
      <patternFill patternType="solid">
        <fgColor rgb="FFE8F1F5"/>
        <bgColor rgb="FFF3F4F6"/>
      </patternFill>
    </fill>
    <fill>
      <patternFill patternType="solid">
        <fgColor rgb="FFE2F0D9"/>
        <bgColor rgb="FFE8F1F5"/>
      </patternFill>
    </fill>
    <fill>
      <patternFill patternType="solid">
        <fgColor rgb="FF1F7A8C"/>
        <bgColor rgb="FF008080"/>
      </patternFill>
    </fill>
    <fill>
      <patternFill patternType="solid">
        <fgColor rgb="FFF3F4F6"/>
        <bgColor rgb="FFE8F1F5"/>
      </patternFill>
    </fill>
    <fill>
      <patternFill patternType="solid">
        <fgColor rgb="FFFFF2CC"/>
        <bgColor rgb="FFFFF4CE"/>
      </patternFill>
    </fill>
    <fill>
      <patternFill patternType="solid">
        <fgColor rgb="FFFFFFFF"/>
        <bgColor rgb="FFF3F4F6"/>
      </patternFill>
    </fill>
    <fill>
      <patternFill patternType="solid">
        <fgColor rgb="FFFFF4CE"/>
        <bgColor rgb="FFFFF2CC"/>
      </patternFill>
    </fill>
    <fill>
      <patternFill patternType="solid">
        <fgColor rgb="FFFCE8E6"/>
        <bgColor rgb="FFFFF2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>
        <color rgb="FF16324F"/>
      </left>
      <right style="medium">
        <color rgb="FF16324F"/>
      </right>
      <top style="medium">
        <color rgb="FF16324F"/>
      </top>
      <bottom style="medium">
        <color rgb="FF16324F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F7A8C"/>
      </left>
      <right style="thin">
        <color rgb="FF1F7A8C"/>
      </right>
      <top style="thin">
        <color rgb="FF1F7A8C"/>
      </top>
      <bottom style="thin">
        <color rgb="FF1F7A8C"/>
      </bottom>
      <diagonal/>
    </border>
    <border diagonalUp="false" diagonalDown="false">
      <left style="thin">
        <color rgb="FF9F1239"/>
      </left>
      <right style="thin">
        <color rgb="FF9F1239"/>
      </right>
      <top style="thin">
        <color rgb="FF9F1239"/>
      </top>
      <bottom style="thin">
        <color rgb="FF9F1239"/>
      </bottom>
      <diagonal/>
    </border>
    <border diagonalUp="false" diagonalDown="false">
      <left style="medium">
        <color rgb="FF1F7A8C"/>
      </left>
      <right/>
      <top style="medium">
        <color rgb="FF1F7A8C"/>
      </top>
      <bottom style="thin">
        <color rgb="FFCBD5E1"/>
      </bottom>
      <diagonal/>
    </border>
    <border diagonalUp="false" diagonalDown="false">
      <left/>
      <right/>
      <top style="medium">
        <color rgb="FF1F7A8C"/>
      </top>
      <bottom style="thin">
        <color rgb="FFCBD5E1"/>
      </bottom>
      <diagonal/>
    </border>
    <border diagonalUp="false" diagonalDown="false">
      <left/>
      <right style="medium">
        <color rgb="FF1F7A8C"/>
      </right>
      <top style="medium">
        <color rgb="FF1F7A8C"/>
      </top>
      <bottom style="thin">
        <color rgb="FFCBD5E1"/>
      </bottom>
      <diagonal/>
    </border>
    <border diagonalUp="false" diagonalDown="false">
      <left style="medium">
        <color rgb="FF1F7A8C"/>
      </left>
      <right/>
      <top style="thin">
        <color rgb="FFCBD5E1"/>
      </top>
      <bottom style="thin">
        <color rgb="FFCBD5E1"/>
      </bottom>
      <diagonal/>
    </border>
    <border diagonalUp="false" diagonalDown="false">
      <left/>
      <right style="medium">
        <color rgb="FF1F7A8C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1F7A8C"/>
      </left>
      <right/>
      <top style="thin">
        <color rgb="FFCBD5E1"/>
      </top>
      <bottom style="medium">
        <color rgb="FF1F7A8C"/>
      </bottom>
      <diagonal/>
    </border>
    <border diagonalUp="false" diagonalDown="false">
      <left/>
      <right/>
      <top style="thin">
        <color rgb="FFCBD5E1"/>
      </top>
      <bottom style="medium">
        <color rgb="FF1F7A8C"/>
      </bottom>
      <diagonal/>
    </border>
    <border diagonalUp="false" diagonalDown="false">
      <left/>
      <right style="medium">
        <color rgb="FF1F7A8C"/>
      </right>
      <top style="thin">
        <color rgb="FFCBD5E1"/>
      </top>
      <bottom style="medium">
        <color rgb="FF1F7A8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8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FFF4CE"/>
      <rgbColor rgb="FFE8F1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2F0D9"/>
      <rgbColor rgb="FFFFF2CC"/>
      <rgbColor rgb="FF99CCFF"/>
      <rgbColor rgb="FFFF99CC"/>
      <rgbColor rgb="FFCC99FF"/>
      <rgbColor rgb="FFFCE8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5" min="5" style="0" width="27"/>
    <col collapsed="false" customWidth="true" hidden="false" outlineLevel="0" max="6" min="6" style="0" width="25"/>
  </cols>
  <sheetData>
    <row r="1" customFormat="false" ht="28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customFormat="false" ht="28" hidden="false" customHeight="true" outlineLevel="0" collapsed="fals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</row>
    <row r="3" customFormat="false" ht="24" hidden="false" customHeight="true" outlineLevel="0" collapsed="false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</row>
    <row r="7" customFormat="false" ht="15" hidden="false" customHeight="false" outlineLevel="0" collapsed="false">
      <c r="A7" s="5" t="s">
        <v>6</v>
      </c>
      <c r="B7" s="5" t="s">
        <v>7</v>
      </c>
    </row>
    <row r="8" customFormat="false" ht="15" hidden="false" customHeight="false" outlineLevel="0" collapsed="false">
      <c r="A8" s="5" t="s">
        <v>8</v>
      </c>
      <c r="B8" s="5" t="s">
        <v>9</v>
      </c>
    </row>
    <row r="9" customFormat="false" ht="15" hidden="false" customHeight="false" outlineLevel="0" collapsed="false">
      <c r="A9" s="5" t="s">
        <v>10</v>
      </c>
      <c r="B9" s="5" t="s">
        <v>11</v>
      </c>
    </row>
    <row r="10" customFormat="false" ht="28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</row>
    <row r="12" customFormat="false" ht="15" hidden="false" customHeight="false" outlineLevel="0" collapsed="false">
      <c r="A12" s="7" t="s">
        <v>14</v>
      </c>
      <c r="B12" s="7" t="s">
        <v>14</v>
      </c>
      <c r="C12" s="7" t="s">
        <v>14</v>
      </c>
      <c r="D12" s="7" t="s">
        <v>14</v>
      </c>
      <c r="E12" s="7" t="s">
        <v>14</v>
      </c>
      <c r="F12" s="7" t="s">
        <v>14</v>
      </c>
    </row>
    <row r="13" customFormat="false" ht="32" hidden="false" customHeight="true" outlineLevel="0" collapsed="false">
      <c r="A13" s="8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20</v>
      </c>
    </row>
    <row r="14" customFormat="false" ht="32" hidden="false" customHeight="true" outlineLevel="0" collapsed="false">
      <c r="A14" s="9" t="s">
        <v>21</v>
      </c>
      <c r="B14" s="9" t="s">
        <v>22</v>
      </c>
      <c r="C14" s="9" t="s">
        <v>23</v>
      </c>
      <c r="D14" s="9" t="s">
        <v>24</v>
      </c>
      <c r="E14" s="9" t="s">
        <v>25</v>
      </c>
      <c r="F14" s="9" t="s">
        <v>26</v>
      </c>
    </row>
    <row r="15" customFormat="false" ht="32" hidden="false" customHeight="true" outlineLevel="0" collapsed="false">
      <c r="A15" s="9" t="s">
        <v>27</v>
      </c>
      <c r="B15" s="9" t="s">
        <v>28</v>
      </c>
      <c r="C15" s="9" t="s">
        <v>29</v>
      </c>
      <c r="D15" s="9" t="s">
        <v>30</v>
      </c>
      <c r="E15" s="9" t="s">
        <v>31</v>
      </c>
      <c r="F15" s="9" t="s">
        <v>32</v>
      </c>
    </row>
    <row r="16" customFormat="false" ht="32" hidden="false" customHeight="true" outlineLevel="0" collapsed="false">
      <c r="A16" s="9" t="s">
        <v>33</v>
      </c>
      <c r="B16" s="9" t="s">
        <v>34</v>
      </c>
      <c r="C16" s="9" t="s">
        <v>35</v>
      </c>
      <c r="D16" s="9" t="s">
        <v>36</v>
      </c>
      <c r="E16" s="9" t="s">
        <v>37</v>
      </c>
      <c r="F16" s="9" t="s">
        <v>38</v>
      </c>
    </row>
    <row r="18" customFormat="false" ht="15" hidden="false" customHeight="false" outlineLevel="0" collapsed="false">
      <c r="A18" s="10" t="s">
        <v>39</v>
      </c>
      <c r="B18" s="10" t="s">
        <v>39</v>
      </c>
      <c r="C18" s="10" t="s">
        <v>39</v>
      </c>
      <c r="D18" s="10" t="s">
        <v>39</v>
      </c>
      <c r="E18" s="10" t="s">
        <v>39</v>
      </c>
      <c r="F18" s="10" t="s">
        <v>39</v>
      </c>
    </row>
    <row r="19" customFormat="false" ht="34" hidden="false" customHeight="true" outlineLevel="0" collapsed="false">
      <c r="A19" s="11" t="s">
        <v>40</v>
      </c>
      <c r="B19" s="11" t="s">
        <v>41</v>
      </c>
      <c r="C19" s="11" t="s">
        <v>42</v>
      </c>
      <c r="D19" s="11" t="s">
        <v>43</v>
      </c>
      <c r="E19" s="11" t="s">
        <v>44</v>
      </c>
      <c r="F19" s="11" t="s">
        <v>45</v>
      </c>
    </row>
    <row r="20" customFormat="false" ht="34" hidden="false" customHeight="true" outlineLevel="0" collapsed="false">
      <c r="A20" s="12" t="s">
        <v>46</v>
      </c>
      <c r="B20" s="12" t="s">
        <v>47</v>
      </c>
      <c r="C20" s="12" t="s">
        <v>48</v>
      </c>
      <c r="D20" s="12" t="s">
        <v>49</v>
      </c>
      <c r="E20" s="12" t="s">
        <v>50</v>
      </c>
      <c r="F20" s="12" t="s">
        <v>51</v>
      </c>
    </row>
    <row r="21" customFormat="false" ht="34" hidden="false" customHeight="true" outlineLevel="0" collapsed="false">
      <c r="A21" s="12" t="s">
        <v>52</v>
      </c>
      <c r="B21" s="12" t="s">
        <v>53</v>
      </c>
      <c r="C21" s="12" t="s">
        <v>54</v>
      </c>
      <c r="D21" s="12" t="s">
        <v>55</v>
      </c>
      <c r="E21" s="12" t="s">
        <v>56</v>
      </c>
      <c r="F21" s="12" t="s">
        <v>57</v>
      </c>
    </row>
    <row r="22" customFormat="false" ht="34" hidden="false" customHeight="true" outlineLevel="0" collapsed="false">
      <c r="A22" s="12" t="s">
        <v>58</v>
      </c>
      <c r="B22" s="12" t="s">
        <v>59</v>
      </c>
      <c r="C22" s="12" t="s">
        <v>54</v>
      </c>
      <c r="D22" s="12" t="s">
        <v>60</v>
      </c>
      <c r="E22" s="12" t="s">
        <v>61</v>
      </c>
      <c r="F22" s="12" t="s">
        <v>62</v>
      </c>
    </row>
    <row r="24" customFormat="false" ht="15" hidden="false" customHeight="true" outlineLevel="0" collapsed="false">
      <c r="A24" s="13" t="s">
        <v>63</v>
      </c>
      <c r="B24" s="13" t="s">
        <v>63</v>
      </c>
      <c r="C24" s="13" t="s">
        <v>63</v>
      </c>
      <c r="D24" s="13" t="s">
        <v>63</v>
      </c>
      <c r="E24" s="13" t="s">
        <v>63</v>
      </c>
      <c r="F24" s="13" t="s">
        <v>63</v>
      </c>
    </row>
    <row r="25" customFormat="false" ht="15" hidden="false" customHeight="false" outlineLevel="0" collapsed="false">
      <c r="A25" s="13" t="s">
        <v>63</v>
      </c>
      <c r="B25" s="13" t="s">
        <v>63</v>
      </c>
      <c r="C25" s="13" t="s">
        <v>63</v>
      </c>
      <c r="D25" s="13" t="s">
        <v>63</v>
      </c>
      <c r="E25" s="13" t="s">
        <v>63</v>
      </c>
      <c r="F25" s="13" t="s">
        <v>63</v>
      </c>
    </row>
  </sheetData>
  <mergeCells count="6">
    <mergeCell ref="A1:F2"/>
    <mergeCell ref="A3:F3"/>
    <mergeCell ref="B10:F10"/>
    <mergeCell ref="A12:F12"/>
    <mergeCell ref="A18:F18"/>
    <mergeCell ref="A24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46"/>
    <col collapsed="false" customWidth="true" hidden="false" outlineLevel="0" max="6" min="5" style="0" width="14"/>
  </cols>
  <sheetData>
    <row r="1" customFormat="false" ht="28" hidden="false" customHeight="true" outlineLevel="0" collapsed="false">
      <c r="A1" s="1" t="s">
        <v>64</v>
      </c>
      <c r="B1" s="1" t="s">
        <v>64</v>
      </c>
      <c r="C1" s="1" t="s">
        <v>64</v>
      </c>
      <c r="D1" s="1" t="s">
        <v>64</v>
      </c>
      <c r="E1" s="1" t="s">
        <v>64</v>
      </c>
      <c r="F1" s="1" t="s">
        <v>64</v>
      </c>
    </row>
    <row r="2" customFormat="false" ht="28" hidden="false" customHeight="true" outlineLevel="0" collapsed="false">
      <c r="A2" s="1" t="s">
        <v>64</v>
      </c>
      <c r="B2" s="1" t="s">
        <v>64</v>
      </c>
      <c r="C2" s="1" t="s">
        <v>64</v>
      </c>
      <c r="D2" s="1" t="s">
        <v>64</v>
      </c>
      <c r="E2" s="1" t="s">
        <v>64</v>
      </c>
      <c r="F2" s="1" t="s">
        <v>64</v>
      </c>
    </row>
    <row r="3" customFormat="false" ht="24" hidden="false" customHeight="true" outlineLevel="0" collapsed="false">
      <c r="A3" s="14" t="s">
        <v>65</v>
      </c>
      <c r="B3" s="14" t="s">
        <v>65</v>
      </c>
      <c r="C3" s="14" t="s">
        <v>65</v>
      </c>
      <c r="D3" s="14" t="s">
        <v>65</v>
      </c>
      <c r="E3" s="14" t="s">
        <v>65</v>
      </c>
      <c r="F3" s="14" t="s">
        <v>65</v>
      </c>
    </row>
    <row r="5" customFormat="false" ht="15" hidden="false" customHeight="false" outlineLevel="0" collapsed="false">
      <c r="A5" s="7" t="s">
        <v>66</v>
      </c>
      <c r="B5" s="7" t="s">
        <v>66</v>
      </c>
      <c r="C5" s="7" t="s">
        <v>66</v>
      </c>
      <c r="D5" s="7" t="s">
        <v>66</v>
      </c>
    </row>
    <row r="6" customFormat="false" ht="15" hidden="false" customHeight="false" outlineLevel="0" collapsed="false">
      <c r="A6" s="3" t="s">
        <v>67</v>
      </c>
      <c r="B6" s="3" t="s">
        <v>3</v>
      </c>
      <c r="C6" s="3" t="s">
        <v>68</v>
      </c>
      <c r="D6" s="3" t="s">
        <v>69</v>
      </c>
    </row>
    <row r="7" customFormat="false" ht="15" hidden="false" customHeight="false" outlineLevel="0" collapsed="false">
      <c r="A7" s="4" t="s">
        <v>70</v>
      </c>
      <c r="B7" s="15" t="n">
        <v>2100000</v>
      </c>
      <c r="C7" s="4" t="s">
        <v>9</v>
      </c>
      <c r="D7" s="4" t="s">
        <v>71</v>
      </c>
    </row>
    <row r="8" customFormat="false" ht="15" hidden="false" customHeight="false" outlineLevel="0" collapsed="false">
      <c r="A8" s="5" t="s">
        <v>72</v>
      </c>
      <c r="B8" s="16" t="n">
        <v>250000</v>
      </c>
      <c r="C8" s="5" t="s">
        <v>9</v>
      </c>
      <c r="D8" s="5" t="s">
        <v>73</v>
      </c>
    </row>
    <row r="9" customFormat="false" ht="15" hidden="false" customHeight="false" outlineLevel="0" collapsed="false">
      <c r="A9" s="5" t="s">
        <v>74</v>
      </c>
      <c r="B9" s="16" t="n">
        <v>500000</v>
      </c>
      <c r="C9" s="5" t="s">
        <v>9</v>
      </c>
      <c r="D9" s="5" t="s">
        <v>75</v>
      </c>
    </row>
    <row r="10" customFormat="false" ht="15" hidden="false" customHeight="false" outlineLevel="0" collapsed="false">
      <c r="A10" s="5" t="s">
        <v>76</v>
      </c>
      <c r="B10" s="16" t="n">
        <v>75000</v>
      </c>
      <c r="C10" s="5" t="s">
        <v>9</v>
      </c>
      <c r="D10" s="5" t="s">
        <v>77</v>
      </c>
    </row>
    <row r="11" customFormat="false" ht="15" hidden="false" customHeight="false" outlineLevel="0" collapsed="false">
      <c r="A11" s="5" t="s">
        <v>57</v>
      </c>
      <c r="B11" s="16" t="n">
        <v>300000</v>
      </c>
      <c r="C11" s="5" t="s">
        <v>9</v>
      </c>
      <c r="D11" s="5" t="s">
        <v>78</v>
      </c>
    </row>
    <row r="18" customFormat="false" ht="15" hidden="false" customHeight="false" outlineLevel="0" collapsed="false">
      <c r="A18" s="7" t="s">
        <v>79</v>
      </c>
      <c r="B18" s="7" t="s">
        <v>79</v>
      </c>
      <c r="C18" s="7" t="s">
        <v>79</v>
      </c>
      <c r="D18" s="7" t="s">
        <v>79</v>
      </c>
      <c r="E18" s="7" t="s">
        <v>79</v>
      </c>
      <c r="F18" s="7" t="s">
        <v>79</v>
      </c>
    </row>
    <row r="19" customFormat="false" ht="24" hidden="false" customHeight="true" outlineLevel="0" collapsed="false">
      <c r="A19" s="17" t="s">
        <v>80</v>
      </c>
      <c r="B19" s="18" t="s">
        <v>81</v>
      </c>
      <c r="C19" s="18"/>
      <c r="D19" s="18"/>
      <c r="E19" s="18"/>
      <c r="F19" s="18"/>
    </row>
    <row r="20" customFormat="false" ht="24" hidden="false" customHeight="true" outlineLevel="0" collapsed="false">
      <c r="A20" s="19" t="s">
        <v>82</v>
      </c>
      <c r="B20" s="20" t="s">
        <v>83</v>
      </c>
      <c r="C20" s="20"/>
      <c r="D20" s="20"/>
      <c r="E20" s="20"/>
      <c r="F20" s="20"/>
    </row>
    <row r="21" customFormat="false" ht="24" hidden="false" customHeight="true" outlineLevel="0" collapsed="false">
      <c r="A21" s="21" t="s">
        <v>84</v>
      </c>
      <c r="B21" s="22" t="s">
        <v>85</v>
      </c>
      <c r="C21" s="22"/>
      <c r="D21" s="22"/>
      <c r="E21" s="22"/>
      <c r="F21" s="22"/>
    </row>
    <row r="22" customFormat="false" ht="24" hidden="false" customHeight="true" outlineLevel="0" collapsed="false">
      <c r="A22" s="19" t="s">
        <v>86</v>
      </c>
      <c r="B22" s="20" t="s">
        <v>87</v>
      </c>
      <c r="C22" s="20"/>
      <c r="D22" s="20"/>
      <c r="E22" s="20"/>
      <c r="F22" s="20"/>
    </row>
    <row r="23" customFormat="false" ht="24" hidden="false" customHeight="true" outlineLevel="0" collapsed="false">
      <c r="A23" s="23" t="s">
        <v>88</v>
      </c>
      <c r="B23" s="24" t="s">
        <v>89</v>
      </c>
      <c r="C23" s="24"/>
      <c r="D23" s="24"/>
      <c r="E23" s="24"/>
      <c r="F23" s="24"/>
    </row>
    <row r="24" customFormat="false" ht="24" hidden="false" customHeight="true" outlineLevel="0" collapsed="false">
      <c r="A24" s="25" t="s">
        <v>90</v>
      </c>
      <c r="B24" s="26" t="s">
        <v>91</v>
      </c>
      <c r="C24" s="26"/>
      <c r="D24" s="26"/>
      <c r="E24" s="26"/>
      <c r="F24" s="26"/>
    </row>
    <row r="25" customFormat="false" ht="24" hidden="false" customHeight="true" outlineLevel="0" collapsed="false">
      <c r="A25" s="27" t="s">
        <v>92</v>
      </c>
      <c r="B25" s="28" t="s">
        <v>93</v>
      </c>
      <c r="C25" s="28"/>
      <c r="D25" s="28"/>
      <c r="E25" s="28"/>
      <c r="F25" s="28"/>
    </row>
  </sheetData>
  <mergeCells count="11">
    <mergeCell ref="A1:F2"/>
    <mergeCell ref="A3:F3"/>
    <mergeCell ref="A5:D5"/>
    <mergeCell ref="A18:F18"/>
    <mergeCell ref="B19:F19"/>
    <mergeCell ref="B20:F20"/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6" min="5" style="0" width="14"/>
  </cols>
  <sheetData>
    <row r="1" customFormat="false" ht="28" hidden="false" customHeight="true" outlineLevel="0" collapsed="false">
      <c r="A1" s="1" t="s">
        <v>94</v>
      </c>
      <c r="B1" s="1" t="s">
        <v>94</v>
      </c>
      <c r="C1" s="1" t="s">
        <v>94</v>
      </c>
      <c r="D1" s="1" t="s">
        <v>94</v>
      </c>
      <c r="E1" s="1" t="s">
        <v>94</v>
      </c>
      <c r="F1" s="1" t="s">
        <v>94</v>
      </c>
    </row>
    <row r="2" customFormat="false" ht="28" hidden="false" customHeight="true" outlineLevel="0" collapsed="false">
      <c r="A2" s="1" t="s">
        <v>94</v>
      </c>
      <c r="B2" s="1" t="s">
        <v>94</v>
      </c>
      <c r="C2" s="1" t="s">
        <v>94</v>
      </c>
      <c r="D2" s="1" t="s">
        <v>94</v>
      </c>
      <c r="E2" s="1" t="s">
        <v>94</v>
      </c>
      <c r="F2" s="1" t="s">
        <v>94</v>
      </c>
    </row>
    <row r="3" customFormat="false" ht="24" hidden="false" customHeight="true" outlineLevel="0" collapsed="false">
      <c r="A3" s="14" t="s">
        <v>95</v>
      </c>
      <c r="B3" s="14" t="s">
        <v>95</v>
      </c>
      <c r="C3" s="14" t="s">
        <v>95</v>
      </c>
      <c r="D3" s="14" t="s">
        <v>95</v>
      </c>
      <c r="E3" s="14" t="s">
        <v>95</v>
      </c>
      <c r="F3" s="14" t="s">
        <v>95</v>
      </c>
    </row>
    <row r="5" customFormat="false" ht="15" hidden="false" customHeight="false" outlineLevel="0" collapsed="false">
      <c r="A5" s="7" t="s">
        <v>96</v>
      </c>
      <c r="B5" s="7" t="s">
        <v>96</v>
      </c>
      <c r="C5" s="7" t="s">
        <v>96</v>
      </c>
      <c r="D5" s="7" t="s">
        <v>96</v>
      </c>
    </row>
    <row r="6" customFormat="false" ht="15" hidden="false" customHeight="false" outlineLevel="0" collapsed="false">
      <c r="A6" s="3" t="s">
        <v>97</v>
      </c>
      <c r="B6" s="3" t="s">
        <v>9</v>
      </c>
      <c r="C6" s="3" t="s">
        <v>98</v>
      </c>
      <c r="D6" s="3" t="s">
        <v>99</v>
      </c>
    </row>
    <row r="7" customFormat="false" ht="15" hidden="false" customHeight="false" outlineLevel="0" collapsed="false">
      <c r="A7" s="29" t="s">
        <v>100</v>
      </c>
      <c r="B7" s="30" t="n">
        <f aca="false">Assumptions!B7-Assumptions!B8</f>
        <v>1850000</v>
      </c>
      <c r="C7" s="31" t="s">
        <v>101</v>
      </c>
      <c r="D7" s="32" t="s">
        <v>102</v>
      </c>
    </row>
    <row r="8" customFormat="false" ht="15" hidden="false" customHeight="false" outlineLevel="0" collapsed="false">
      <c r="A8" s="33" t="s">
        <v>103</v>
      </c>
      <c r="B8" s="34" t="n">
        <f aca="false">Assumptions!B9-Assumptions!B10</f>
        <v>425000</v>
      </c>
      <c r="C8" s="35" t="s">
        <v>101</v>
      </c>
      <c r="D8" s="36" t="s">
        <v>104</v>
      </c>
    </row>
    <row r="9" customFormat="false" ht="15" hidden="false" customHeight="false" outlineLevel="0" collapsed="false">
      <c r="A9" s="37" t="s">
        <v>57</v>
      </c>
      <c r="B9" s="38" t="n">
        <f aca="false">Assumptions!B11</f>
        <v>300000</v>
      </c>
      <c r="C9" s="39" t="s">
        <v>101</v>
      </c>
      <c r="D9" s="40" t="s">
        <v>105</v>
      </c>
    </row>
    <row r="13" customFormat="false" ht="15" hidden="false" customHeight="false" outlineLevel="0" collapsed="false">
      <c r="A13" s="7" t="s">
        <v>79</v>
      </c>
      <c r="B13" s="7" t="s">
        <v>79</v>
      </c>
      <c r="C13" s="7" t="s">
        <v>79</v>
      </c>
      <c r="D13" s="7" t="s">
        <v>79</v>
      </c>
      <c r="E13" s="7" t="s">
        <v>79</v>
      </c>
      <c r="F13" s="7" t="s">
        <v>79</v>
      </c>
    </row>
    <row r="14" customFormat="false" ht="24" hidden="false" customHeight="true" outlineLevel="0" collapsed="false">
      <c r="A14" s="17" t="s">
        <v>80</v>
      </c>
      <c r="B14" s="18" t="s">
        <v>81</v>
      </c>
      <c r="C14" s="18"/>
      <c r="D14" s="18"/>
      <c r="E14" s="18"/>
      <c r="F14" s="18"/>
    </row>
    <row r="15" customFormat="false" ht="24" hidden="false" customHeight="true" outlineLevel="0" collapsed="false">
      <c r="A15" s="19" t="s">
        <v>82</v>
      </c>
      <c r="B15" s="20" t="s">
        <v>83</v>
      </c>
      <c r="C15" s="20"/>
      <c r="D15" s="20"/>
      <c r="E15" s="20"/>
      <c r="F15" s="20"/>
    </row>
    <row r="16" customFormat="false" ht="24" hidden="false" customHeight="true" outlineLevel="0" collapsed="false">
      <c r="A16" s="21" t="s">
        <v>84</v>
      </c>
      <c r="B16" s="22" t="s">
        <v>85</v>
      </c>
      <c r="C16" s="22"/>
      <c r="D16" s="22"/>
      <c r="E16" s="22"/>
      <c r="F16" s="22"/>
    </row>
    <row r="17" customFormat="false" ht="24" hidden="false" customHeight="true" outlineLevel="0" collapsed="false">
      <c r="A17" s="19" t="s">
        <v>86</v>
      </c>
      <c r="B17" s="20" t="s">
        <v>87</v>
      </c>
      <c r="C17" s="20"/>
      <c r="D17" s="20"/>
      <c r="E17" s="20"/>
      <c r="F17" s="20"/>
    </row>
    <row r="18" customFormat="false" ht="24" hidden="false" customHeight="true" outlineLevel="0" collapsed="false">
      <c r="A18" s="23" t="s">
        <v>88</v>
      </c>
      <c r="B18" s="24" t="s">
        <v>89</v>
      </c>
      <c r="C18" s="24"/>
      <c r="D18" s="24"/>
      <c r="E18" s="24"/>
      <c r="F18" s="24"/>
    </row>
    <row r="19" customFormat="false" ht="24" hidden="false" customHeight="true" outlineLevel="0" collapsed="false">
      <c r="A19" s="25" t="s">
        <v>90</v>
      </c>
      <c r="B19" s="26" t="s">
        <v>91</v>
      </c>
      <c r="C19" s="26"/>
      <c r="D19" s="26"/>
      <c r="E19" s="26"/>
      <c r="F19" s="26"/>
    </row>
    <row r="20" customFormat="false" ht="24" hidden="false" customHeight="true" outlineLevel="0" collapsed="false">
      <c r="A20" s="27" t="s">
        <v>92</v>
      </c>
      <c r="B20" s="28" t="s">
        <v>93</v>
      </c>
      <c r="C20" s="28"/>
      <c r="D20" s="28"/>
      <c r="E20" s="28"/>
      <c r="F20" s="28"/>
    </row>
  </sheetData>
  <mergeCells count="11">
    <mergeCell ref="A1:F2"/>
    <mergeCell ref="A3:F3"/>
    <mergeCell ref="A5:D5"/>
    <mergeCell ref="A13:F13"/>
    <mergeCell ref="B14:F14"/>
    <mergeCell ref="B15:F15"/>
    <mergeCell ref="B16:F16"/>
    <mergeCell ref="B17:F17"/>
    <mergeCell ref="B18:F18"/>
    <mergeCell ref="B19:F19"/>
    <mergeCell ref="B20:F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
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act Summary" sheetId="1" state="visible" r:id="rId3"/>
    <sheet name="Accounting Bridge" sheetId="2" state="visible" r:id="rId4"/>
    <sheet name="Assumptions" sheetId="3" state="visible" r:id="rId5"/>
    <sheet name="Base Scenario" sheetId="4" state="visible" r:id="rId6"/>
    <sheet name="Adverse Scenario" sheetId="5" state="visible" r:id="rId7"/>
    <sheet name="Aggregation" sheetId="6" state="visible" r:id="rId8"/>
    <sheet name="Cohort Data" sheetId="7" state="visible" r:id="rId9"/>
    <sheet name="Controls" sheetId="8" state="visible" r:id="rId10"/>
    <sheet name="Demo Guide" sheetId="9" state="visible" r:id="rId11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<sst xmlns="http://schemas.openxmlformats.org/spreadsheetml/2006/main" count="2110" uniqueCount="462">
  <si>
    <t xml:space="preserve">Case 6: synthetic reserve stress and solvency impact</t>
  </si>
  <si>
    <t xml:space="preserve">A baseline-versus-adverse calculation across 300 fictional cohorts. This is a workflow demonstration, not certified actuarial methodology.</t>
  </si>
  <si>
    <t xml:space="preserve">Business result</t>
  </si>
  <si>
    <t xml:space="preserve">Value</t>
  </si>
  <si>
    <t xml:space="preserve">Unit</t>
  </si>
  <si>
    <t xml:space="preserve">Interpretation</t>
  </si>
  <si>
    <t xml:space="preserve">Baseline technical provisions</t>
  </si>
  <si>
    <t xml:space="preserve">EUR</t>
  </si>
  <si>
    <t xml:space="preserve">Calculated using baseline claims, inflation and discount assumptions.</t>
  </si>
  <si>
    <t xml:space="preserve">Adverse technical provisions</t>
  </si>
  <si>
    <t xml:space="preserve">Calculated using adverse claims, inflation and discount assumptions.</t>
  </si>
  <si>
    <t xml:space="preserve">Increase in technical provisions</t>
  </si>
  <si>
    <t xml:space="preserve">Additional reserve requirement under the adverse scenario.</t>
  </si>
  <si>
    <t xml:space="preserve">Baseline available own funds</t>
  </si>
  <si>
    <t xml:space="preserve">Synthetic resources less baseline technical provisions.</t>
  </si>
  <si>
    <t xml:space="preserve">Adverse available own funds</t>
  </si>
  <si>
    <t xml:space="preserve">Synthetic resources less adverse technical provisions.</t>
  </si>
  <si>
    <t xml:space="preserve">Reduction in available own funds</t>
  </si>
  <si>
    <t xml:space="preserve">Direct effect of the additional technical provisions.</t>
  </si>
  <si>
    <t xml:space="preserve">Solvency Capital Requirement</t>
  </si>
  <si>
    <t xml:space="preserve">Fixed synthetic SCR used for the comparison.</t>
  </si>
  <si>
    <t xml:space="preserve">Baseline solvency ratio</t>
  </si>
  <si>
    <t xml:space="preserve">%</t>
  </si>
  <si>
    <t xml:space="preserve">Baseline available own funds divided by SCR.</t>
  </si>
  <si>
    <t xml:space="preserve">Adverse solvency ratio</t>
  </si>
  <si>
    <t xml:space="preserve">Adverse available own funds divided by SCR.</t>
  </si>
  <si>
    <t xml:space="preserve">Solvency ratio deterioration</t>
  </si>
  <si>
    <t xml:space="preserve">percentage points</t>
  </si>
  <si>
    <t xml:space="preserve">Difference between baseline and adverse ratios.</t>
  </si>
  <si>
    <t xml:space="preserve">Gate 2 accounting outputs</t>
  </si>
  <si>
    <t xml:space="preserve">Cell</t>
  </si>
  <si>
    <t xml:space="preserve">Expected signed value</t>
  </si>
  <si>
    <t xml:space="preserve">Reference</t>
  </si>
  <si>
    <t xml:space="preserve">Base technical provisions</t>
  </si>
  <si>
    <t xml:space="preserve">Accounting Bridge!C4</t>
  </si>
  <si>
    <t xml:space="preserve">Synthetic Q4 trial balance account 2200</t>
  </si>
  <si>
    <t xml:space="preserve">Base available own funds</t>
  </si>
  <si>
    <t xml:space="preserve">Accounting Bridge!C5</t>
  </si>
  <si>
    <t xml:space="preserve">Synthetic Q4 trial balance account 1100</t>
  </si>
  <si>
    <t xml:space="preserve">Accounting outputs for external reconciliation</t>
  </si>
  <si>
    <t xml:space="preserve">Credits are negative and debits are positive. All figures are synthetic.</t>
  </si>
  <si>
    <t xml:space="preserve">Account</t>
  </si>
  <si>
    <t xml:space="preserve">Authoritative output</t>
  </si>
  <si>
    <t xml:space="preserve">Signed balance (EUR)</t>
  </si>
  <si>
    <t xml:space="preserve">2200</t>
  </si>
  <si>
    <t xml:space="preserve">1100</t>
  </si>
  <si>
    <t xml:space="preserve">CTRL</t>
  </si>
  <si>
    <t xml:space="preserve">Signed reference control total</t>
  </si>
  <si>
    <t xml:space="preserve">Synthetic baseline and adverse assumptions</t>
  </si>
  <si>
    <t xml:space="preserve">Assumption</t>
  </si>
  <si>
    <t xml:space="preserve">Baseline</t>
  </si>
  <si>
    <t xml:space="preserve">Adverse</t>
  </si>
  <si>
    <t xml:space="preserve">Use</t>
  </si>
  <si>
    <t xml:space="preserve">Formula helper</t>
  </si>
  <si>
    <t xml:space="preserve">Calculated value</t>
  </si>
  <si>
    <t xml:space="preserve">Product</t>
  </si>
  <si>
    <t xml:space="preserve">Baseline factor</t>
  </si>
  <si>
    <t xml:space="preserve">Adverse factor</t>
  </si>
  <si>
    <t xml:space="preserve">Claims inflation</t>
  </si>
  <si>
    <t xml:space="preserve">Projected outstanding claims</t>
  </si>
  <si>
    <t xml:space="preserve">Baseline inflation multiplier</t>
  </si>
  <si>
    <t xml:space="preserve">Motor</t>
  </si>
  <si>
    <t xml:space="preserve">Discount rate</t>
  </si>
  <si>
    <t xml:space="preserve">Present-value calculation</t>
  </si>
  <si>
    <t xml:space="preserve">Adverse inflation multiplier</t>
  </si>
  <si>
    <t xml:space="preserve">Property</t>
  </si>
  <si>
    <t xml:space="preserve">Expense loading</t>
  </si>
  <si>
    <t xml:space="preserve">Claims handling expense</t>
  </si>
  <si>
    <t xml:space="preserve">Baseline discount divisor</t>
  </si>
  <si>
    <t xml:space="preserve">Liability</t>
  </si>
  <si>
    <t xml:space="preserve">Risk margin rate</t>
  </si>
  <si>
    <t xml:space="preserve">Synthetic risk margin</t>
  </si>
  <si>
    <t xml:space="preserve">Adverse discount divisor</t>
  </si>
  <si>
    <t xml:space="preserve">Resources before technical provisions</t>
  </si>
  <si>
    <t xml:space="preserve">Own-funds comparison</t>
  </si>
  <si>
    <t xml:space="preserve">Solvency ratio denominator</t>
  </si>
  <si>
    <t xml:space="preserve">Currency precision</t>
  </si>
  <si>
    <t xml:space="preserve">ROUND precision</t>
  </si>
  <si>
    <t xml:space="preserve">Exposure unit</t>
  </si>
  <si>
    <t xml:space="preserve">INT calculation</t>
  </si>
  <si>
    <t xml:space="preserve">Reporting significance</t>
  </si>
  <si>
    <t xml:space="preserve">CEILING and FLOOR controls</t>
  </si>
  <si>
    <t xml:space="preserve">Fallback zero</t>
  </si>
  <si>
    <t xml:space="preserve">Inactive cohorts</t>
  </si>
  <si>
    <t xml:space="preserve">Ratio precision</t>
  </si>
  <si>
    <t xml:space="preserve">Displayed ratio calculation</t>
  </si>
  <si>
    <t xml:space="preserve">Active status</t>
  </si>
  <si>
    <t xml:space="preserve">Active</t>
  </si>
  <si>
    <t xml:space="preserve">Cohort inclusion criterion</t>
  </si>
  <si>
    <t xml:space="preserve">Baseline cohort calculation</t>
  </si>
  <si>
    <t xml:space="preserve">Amounts in EUR for 2025-Q4</t>
  </si>
  <si>
    <t xml:space="preserve">Cohort ID</t>
  </si>
  <si>
    <t xml:space="preserve">Projected outstanding</t>
  </si>
  <si>
    <t xml:space="preserve">Expense</t>
  </si>
  <si>
    <t xml:space="preserve">Undiscounted requirement</t>
  </si>
  <si>
    <t xml:space="preserve">Best estimate liability</t>
  </si>
  <si>
    <t xml:space="preserve">Risk margin</t>
  </si>
  <si>
    <t xml:space="preserve">Technical provisions</t>
  </si>
  <si>
    <t xml:space="preserve">Change from opening</t>
  </si>
  <si>
    <t xml:space="preserve">Ceiling control</t>
  </si>
  <si>
    <t xml:space="preserve">Floor control</t>
  </si>
  <si>
    <t xml:space="preserve">Rounded up</t>
  </si>
  <si>
    <t xml:space="preserve">Rounded down</t>
  </si>
  <si>
    <t xml:space="preserve">Whole exposure units</t>
  </si>
  <si>
    <t xml:space="preserve">SYN-0001</t>
  </si>
  <si>
    <t xml:space="preserve">SYN-0002</t>
  </si>
  <si>
    <t xml:space="preserve">SYN-0003</t>
  </si>
  <si>
    <t xml:space="preserve">SYN-0004</t>
  </si>
  <si>
    <t xml:space="preserve">SYN-0005</t>
  </si>
  <si>
    <t xml:space="preserve">SYN-0006</t>
  </si>
  <si>
    <t xml:space="preserve">SYN-0007</t>
  </si>
  <si>
    <t xml:space="preserve">SYN-0008</t>
  </si>
  <si>
    <t xml:space="preserve">SYN-0009</t>
  </si>
  <si>
    <t xml:space="preserve">SYN-0010</t>
  </si>
  <si>
    <t xml:space="preserve">SYN-0011</t>
  </si>
  <si>
    <t xml:space="preserve">SYN-0012</t>
  </si>
  <si>
    <t xml:space="preserve">SYN-0013</t>
  </si>
  <si>
    <t xml:space="preserve">SYN-0014</t>
  </si>
  <si>
    <t xml:space="preserve">SYN-0015</t>
  </si>
  <si>
    <t xml:space="preserve">SYN-0016</t>
  </si>
  <si>
    <t xml:space="preserve">SYN-0017</t>
  </si>
  <si>
    <t xml:space="preserve">SYN-0018</t>
  </si>
  <si>
    <t xml:space="preserve">SYN-0019</t>
  </si>
  <si>
    <t xml:space="preserve">SYN-0020</t>
  </si>
  <si>
    <t xml:space="preserve">SYN-0021</t>
  </si>
  <si>
    <t xml:space="preserve">SYN-0022</t>
  </si>
  <si>
    <t xml:space="preserve">SYN-0023</t>
  </si>
  <si>
    <t xml:space="preserve">SYN-0024</t>
  </si>
  <si>
    <t xml:space="preserve">SYN-0025</t>
  </si>
  <si>
    <t xml:space="preserve">SYN-0026</t>
  </si>
  <si>
    <t xml:space="preserve">SYN-0027</t>
  </si>
  <si>
    <t xml:space="preserve">SYN-0028</t>
  </si>
  <si>
    <t xml:space="preserve">SYN-0029</t>
  </si>
  <si>
    <t xml:space="preserve">SYN-0030</t>
  </si>
  <si>
    <t xml:space="preserve">SYN-0031</t>
  </si>
  <si>
    <t xml:space="preserve">SYN-0032</t>
  </si>
  <si>
    <t xml:space="preserve">SYN-0033</t>
  </si>
  <si>
    <t xml:space="preserve">SYN-0034</t>
  </si>
  <si>
    <t xml:space="preserve">SYN-0035</t>
  </si>
  <si>
    <t xml:space="preserve">SYN-0036</t>
  </si>
  <si>
    <t xml:space="preserve">SYN-0037</t>
  </si>
  <si>
    <t xml:space="preserve">SYN-0038</t>
  </si>
  <si>
    <t xml:space="preserve">SYN-0039</t>
  </si>
  <si>
    <t xml:space="preserve">SYN-0040</t>
  </si>
  <si>
    <t xml:space="preserve">SYN-0041</t>
  </si>
  <si>
    <t xml:space="preserve">SYN-0042</t>
  </si>
  <si>
    <t xml:space="preserve">SYN-0043</t>
  </si>
  <si>
    <t xml:space="preserve">SYN-0044</t>
  </si>
  <si>
    <t xml:space="preserve">SYN-0045</t>
  </si>
  <si>
    <t xml:space="preserve">SYN-0046</t>
  </si>
  <si>
    <t xml:space="preserve">SYN-0047</t>
  </si>
  <si>
    <t xml:space="preserve">SYN-0048</t>
  </si>
  <si>
    <t xml:space="preserve">SYN-0049</t>
  </si>
  <si>
    <t xml:space="preserve">SYN-0050</t>
  </si>
  <si>
    <t xml:space="preserve">SYN-0051</t>
  </si>
  <si>
    <t xml:space="preserve">SYN-0052</t>
  </si>
  <si>
    <t xml:space="preserve">SYN-0053</t>
  </si>
  <si>
    <t xml:space="preserve">SYN-0054</t>
  </si>
  <si>
    <t xml:space="preserve">SYN-0055</t>
  </si>
  <si>
    <t xml:space="preserve">SYN-0056</t>
  </si>
  <si>
    <t xml:space="preserve">SYN-0057</t>
  </si>
  <si>
    <t xml:space="preserve">SYN-0058</t>
  </si>
  <si>
    <t xml:space="preserve">SYN-0059</t>
  </si>
  <si>
    <t xml:space="preserve">SYN-0060</t>
  </si>
  <si>
    <t xml:space="preserve">SYN-0061</t>
  </si>
  <si>
    <t xml:space="preserve">SYN-0062</t>
  </si>
  <si>
    <t xml:space="preserve">SYN-0063</t>
  </si>
  <si>
    <t xml:space="preserve">SYN-0064</t>
  </si>
  <si>
    <t xml:space="preserve">SYN-0065</t>
  </si>
  <si>
    <t xml:space="preserve">SYN-0066</t>
  </si>
  <si>
    <t xml:space="preserve">SYN-0067</t>
  </si>
  <si>
    <t xml:space="preserve">SYN-0068</t>
  </si>
  <si>
    <t xml:space="preserve">SYN-0069</t>
  </si>
  <si>
    <t xml:space="preserve">SYN-0070</t>
  </si>
  <si>
    <t xml:space="preserve">SYN-0071</t>
  </si>
  <si>
    <t xml:space="preserve">SYN-0072</t>
  </si>
  <si>
    <t xml:space="preserve">SYN-0073</t>
  </si>
  <si>
    <t xml:space="preserve">SYN-0074</t>
  </si>
  <si>
    <t xml:space="preserve">SYN-0075</t>
  </si>
  <si>
    <t xml:space="preserve">SYN-0076</t>
  </si>
  <si>
    <t xml:space="preserve">SYN-0077</t>
  </si>
  <si>
    <t xml:space="preserve">SYN-0078</t>
  </si>
  <si>
    <t xml:space="preserve">SYN-0079</t>
  </si>
  <si>
    <t xml:space="preserve">SYN-0080</t>
  </si>
  <si>
    <t xml:space="preserve">SYN-0081</t>
  </si>
  <si>
    <t xml:space="preserve">SYN-0082</t>
  </si>
  <si>
    <t xml:space="preserve">SYN-0083</t>
  </si>
  <si>
    <t xml:space="preserve">SYN-0084</t>
  </si>
  <si>
    <t xml:space="preserve">SYN-0085</t>
  </si>
  <si>
    <t xml:space="preserve">SYN-0086</t>
  </si>
  <si>
    <t xml:space="preserve">SYN-0087</t>
  </si>
  <si>
    <t xml:space="preserve">SYN-0088</t>
  </si>
  <si>
    <t xml:space="preserve">SYN-0089</t>
  </si>
  <si>
    <t xml:space="preserve">SYN-0090</t>
  </si>
  <si>
    <t xml:space="preserve">SYN-0091</t>
  </si>
  <si>
    <t xml:space="preserve">SYN-0092</t>
  </si>
  <si>
    <t xml:space="preserve">SYN-0093</t>
  </si>
  <si>
    <t xml:space="preserve">SYN-0094</t>
  </si>
  <si>
    <t xml:space="preserve">SYN-0095</t>
  </si>
  <si>
    <t xml:space="preserve">SYN-0096</t>
  </si>
  <si>
    <t xml:space="preserve">SYN-0097</t>
  </si>
  <si>
    <t xml:space="preserve">SYN-0098</t>
  </si>
  <si>
    <t xml:space="preserve">SYN-0099</t>
  </si>
  <si>
    <t xml:space="preserve">SYN-0100</t>
  </si>
  <si>
    <t xml:space="preserve">SYN-0101</t>
  </si>
  <si>
    <t xml:space="preserve">SYN-0102</t>
  </si>
  <si>
    <t xml:space="preserve">SYN-0103</t>
  </si>
  <si>
    <t xml:space="preserve">SYN-0104</t>
  </si>
  <si>
    <t xml:space="preserve">SYN-0105</t>
  </si>
  <si>
    <t xml:space="preserve">SYN-0106</t>
  </si>
  <si>
    <t xml:space="preserve">SYN-0107</t>
  </si>
  <si>
    <t xml:space="preserve">SYN-0108</t>
  </si>
  <si>
    <t xml:space="preserve">SYN-0109</t>
  </si>
  <si>
    <t xml:space="preserve">SYN-0110</t>
  </si>
  <si>
    <t xml:space="preserve">SYN-0111</t>
  </si>
  <si>
    <t xml:space="preserve">SYN-0112</t>
  </si>
  <si>
    <t xml:space="preserve">SYN-0113</t>
  </si>
  <si>
    <t xml:space="preserve">SYN-0114</t>
  </si>
  <si>
    <t xml:space="preserve">SYN-0115</t>
  </si>
  <si>
    <t xml:space="preserve">SYN-0116</t>
  </si>
  <si>
    <t xml:space="preserve">SYN-0117</t>
  </si>
  <si>
    <t xml:space="preserve">SYN-0118</t>
  </si>
  <si>
    <t xml:space="preserve">SYN-0119</t>
  </si>
  <si>
    <t xml:space="preserve">SYN-0120</t>
  </si>
  <si>
    <t xml:space="preserve">SYN-0121</t>
  </si>
  <si>
    <t xml:space="preserve">SYN-0122</t>
  </si>
  <si>
    <t xml:space="preserve">SYN-0123</t>
  </si>
  <si>
    <t xml:space="preserve">SYN-0124</t>
  </si>
  <si>
    <t xml:space="preserve">SYN-0125</t>
  </si>
  <si>
    <t xml:space="preserve">SYN-0126</t>
  </si>
  <si>
    <t xml:space="preserve">SYN-0127</t>
  </si>
  <si>
    <t xml:space="preserve">SYN-0128</t>
  </si>
  <si>
    <t xml:space="preserve">SYN-0129</t>
  </si>
  <si>
    <t xml:space="preserve">SYN-0130</t>
  </si>
  <si>
    <t xml:space="preserve">SYN-0131</t>
  </si>
  <si>
    <t xml:space="preserve">SYN-0132</t>
  </si>
  <si>
    <t xml:space="preserve">SYN-0133</t>
  </si>
  <si>
    <t xml:space="preserve">SYN-0134</t>
  </si>
  <si>
    <t xml:space="preserve">SYN-0135</t>
  </si>
  <si>
    <t xml:space="preserve">SYN-0136</t>
  </si>
  <si>
    <t xml:space="preserve">SYN-0137</t>
  </si>
  <si>
    <t xml:space="preserve">SYN-0138</t>
  </si>
  <si>
    <t xml:space="preserve">SYN-0139</t>
  </si>
  <si>
    <t xml:space="preserve">SYN-0140</t>
  </si>
  <si>
    <t xml:space="preserve">SYN-0141</t>
  </si>
  <si>
    <t xml:space="preserve">SYN-0142</t>
  </si>
  <si>
    <t xml:space="preserve">SYN-0143</t>
  </si>
  <si>
    <t xml:space="preserve">SYN-0144</t>
  </si>
  <si>
    <t xml:space="preserve">SYN-0145</t>
  </si>
  <si>
    <t xml:space="preserve">SYN-0146</t>
  </si>
  <si>
    <t xml:space="preserve">SYN-0147</t>
  </si>
  <si>
    <t xml:space="preserve">SYN-0148</t>
  </si>
  <si>
    <t xml:space="preserve">SYN-0149</t>
  </si>
  <si>
    <t xml:space="preserve">SYN-0150</t>
  </si>
  <si>
    <t xml:space="preserve">SYN-0151</t>
  </si>
  <si>
    <t xml:space="preserve">SYN-0152</t>
  </si>
  <si>
    <t xml:space="preserve">SYN-0153</t>
  </si>
  <si>
    <t xml:space="preserve">SYN-0154</t>
  </si>
  <si>
    <t xml:space="preserve">SYN-0155</t>
  </si>
  <si>
    <t xml:space="preserve">SYN-0156</t>
  </si>
  <si>
    <t xml:space="preserve">SYN-0157</t>
  </si>
  <si>
    <t xml:space="preserve">SYN-0158</t>
  </si>
  <si>
    <t xml:space="preserve">SYN-0159</t>
  </si>
  <si>
    <t xml:space="preserve">SYN-0160</t>
  </si>
  <si>
    <t xml:space="preserve">SYN-0161</t>
  </si>
  <si>
    <t xml:space="preserve">SYN-0162</t>
  </si>
  <si>
    <t xml:space="preserve">SYN-0163</t>
  </si>
  <si>
    <t xml:space="preserve">SYN-0164</t>
  </si>
  <si>
    <t xml:space="preserve">SYN-0165</t>
  </si>
  <si>
    <t xml:space="preserve">SYN-0166</t>
  </si>
  <si>
    <t xml:space="preserve">SYN-0167</t>
  </si>
  <si>
    <t xml:space="preserve">SYN-0168</t>
  </si>
  <si>
    <t xml:space="preserve">SYN-0169</t>
  </si>
  <si>
    <t xml:space="preserve">SYN-0170</t>
  </si>
  <si>
    <t xml:space="preserve">SYN-0171</t>
  </si>
  <si>
    <t xml:space="preserve">SYN-0172</t>
  </si>
  <si>
    <t xml:space="preserve">SYN-0173</t>
  </si>
  <si>
    <t xml:space="preserve">SYN-0174</t>
  </si>
  <si>
    <t xml:space="preserve">SYN-0175</t>
  </si>
  <si>
    <t xml:space="preserve">SYN-0176</t>
  </si>
  <si>
    <t xml:space="preserve">SYN-0177</t>
  </si>
  <si>
    <t xml:space="preserve">SYN-0178</t>
  </si>
  <si>
    <t xml:space="preserve">SYN-0179</t>
  </si>
  <si>
    <t xml:space="preserve">SYN-0180</t>
  </si>
  <si>
    <t xml:space="preserve">SYN-0181</t>
  </si>
  <si>
    <t xml:space="preserve">SYN-0182</t>
  </si>
  <si>
    <t xml:space="preserve">SYN-0183</t>
  </si>
  <si>
    <t xml:space="preserve">SYN-0184</t>
  </si>
  <si>
    <t xml:space="preserve">SYN-0185</t>
  </si>
  <si>
    <t xml:space="preserve">SYN-0186</t>
  </si>
  <si>
    <t xml:space="preserve">SYN-0187</t>
  </si>
  <si>
    <t xml:space="preserve">SYN-0188</t>
  </si>
  <si>
    <t xml:space="preserve">SYN-0189</t>
  </si>
  <si>
    <t xml:space="preserve">SYN-0190</t>
  </si>
  <si>
    <t xml:space="preserve">SYN-0191</t>
  </si>
  <si>
    <t xml:space="preserve">SYN-0192</t>
  </si>
  <si>
    <t xml:space="preserve">SYN-0193</t>
  </si>
  <si>
    <t xml:space="preserve">SYN-0194</t>
  </si>
  <si>
    <t xml:space="preserve">SYN-0195</t>
  </si>
  <si>
    <t xml:space="preserve">SYN-0196</t>
  </si>
  <si>
    <t xml:space="preserve">SYN-0197</t>
  </si>
  <si>
    <t xml:space="preserve">SYN-0198</t>
  </si>
  <si>
    <t xml:space="preserve">SYN-0199</t>
  </si>
  <si>
    <t xml:space="preserve">SYN-0200</t>
  </si>
  <si>
    <t xml:space="preserve">SYN-0201</t>
  </si>
  <si>
    <t xml:space="preserve">SYN-0202</t>
  </si>
  <si>
    <t xml:space="preserve">SYN-0203</t>
  </si>
  <si>
    <t xml:space="preserve">SYN-0204</t>
  </si>
  <si>
    <t xml:space="preserve">SYN-0205</t>
  </si>
  <si>
    <t xml:space="preserve">SYN-0206</t>
  </si>
  <si>
    <t xml:space="preserve">SYN-0207</t>
  </si>
  <si>
    <t xml:space="preserve">SYN-0208</t>
  </si>
  <si>
    <t xml:space="preserve">SYN-0209</t>
  </si>
  <si>
    <t xml:space="preserve">SYN-0210</t>
  </si>
  <si>
    <t xml:space="preserve">SYN-0211</t>
  </si>
  <si>
    <t xml:space="preserve">SYN-0212</t>
  </si>
  <si>
    <t xml:space="preserve">SYN-0213</t>
  </si>
  <si>
    <t xml:space="preserve">SYN-0214</t>
  </si>
  <si>
    <t xml:space="preserve">SYN-0215</t>
  </si>
  <si>
    <t xml:space="preserve">SYN-0216</t>
  </si>
  <si>
    <t xml:space="preserve">SYN-0217</t>
  </si>
  <si>
    <t xml:space="preserve">SYN-0218</t>
  </si>
  <si>
    <t xml:space="preserve">SYN-0219</t>
  </si>
  <si>
    <t xml:space="preserve">SYN-0220</t>
  </si>
  <si>
    <t xml:space="preserve">SYN-0221</t>
  </si>
  <si>
    <t xml:space="preserve">SYN-0222</t>
  </si>
  <si>
    <t xml:space="preserve">SYN-0223</t>
  </si>
  <si>
    <t xml:space="preserve">SYN-0224</t>
  </si>
  <si>
    <t xml:space="preserve">SYN-0225</t>
  </si>
  <si>
    <t xml:space="preserve">SYN-0226</t>
  </si>
  <si>
    <t xml:space="preserve">SYN-0227</t>
  </si>
  <si>
    <t xml:space="preserve">SYN-0228</t>
  </si>
  <si>
    <t xml:space="preserve">SYN-0229</t>
  </si>
  <si>
    <t xml:space="preserve">SYN-0230</t>
  </si>
  <si>
    <t xml:space="preserve">SYN-0231</t>
  </si>
  <si>
    <t xml:space="preserve">SYN-0232</t>
  </si>
  <si>
    <t xml:space="preserve">SYN-0233</t>
  </si>
  <si>
    <t xml:space="preserve">SYN-0234</t>
  </si>
  <si>
    <t xml:space="preserve">SYN-0235</t>
  </si>
  <si>
    <t xml:space="preserve">SYN-0236</t>
  </si>
  <si>
    <t xml:space="preserve">SYN-0237</t>
  </si>
  <si>
    <t xml:space="preserve">SYN-0238</t>
  </si>
  <si>
    <t xml:space="preserve">SYN-0239</t>
  </si>
  <si>
    <t xml:space="preserve">SYN-0240</t>
  </si>
  <si>
    <t xml:space="preserve">SYN-0241</t>
  </si>
  <si>
    <t xml:space="preserve">SYN-0242</t>
  </si>
  <si>
    <t xml:space="preserve">SYN-0243</t>
  </si>
  <si>
    <t xml:space="preserve">SYN-0244</t>
  </si>
  <si>
    <t xml:space="preserve">SYN-0245</t>
  </si>
  <si>
    <t xml:space="preserve">SYN-0246</t>
  </si>
  <si>
    <t xml:space="preserve">SYN-0247</t>
  </si>
  <si>
    <t xml:space="preserve">SYN-0248</t>
  </si>
  <si>
    <t xml:space="preserve">SYN-0249</t>
  </si>
  <si>
    <t xml:space="preserve">SYN-0250</t>
  </si>
  <si>
    <t xml:space="preserve">SYN-0251</t>
  </si>
  <si>
    <t xml:space="preserve">SYN-0252</t>
  </si>
  <si>
    <t xml:space="preserve">SYN-0253</t>
  </si>
  <si>
    <t xml:space="preserve">SYN-0254</t>
  </si>
  <si>
    <t xml:space="preserve">SYN-0255</t>
  </si>
  <si>
    <t xml:space="preserve">SYN-0256</t>
  </si>
  <si>
    <t xml:space="preserve">SYN-0257</t>
  </si>
  <si>
    <t xml:space="preserve">SYN-0258</t>
  </si>
  <si>
    <t xml:space="preserve">SYN-0259</t>
  </si>
  <si>
    <t xml:space="preserve">SYN-0260</t>
  </si>
  <si>
    <t xml:space="preserve">SYN-0261</t>
  </si>
  <si>
    <t xml:space="preserve">SYN-0262</t>
  </si>
  <si>
    <t xml:space="preserve">SYN-0263</t>
  </si>
  <si>
    <t xml:space="preserve">SYN-0264</t>
  </si>
  <si>
    <t xml:space="preserve">SYN-0265</t>
  </si>
  <si>
    <t xml:space="preserve">SYN-0266</t>
  </si>
  <si>
    <t xml:space="preserve">SYN-0267</t>
  </si>
  <si>
    <t xml:space="preserve">SYN-0268</t>
  </si>
  <si>
    <t xml:space="preserve">SYN-0269</t>
  </si>
  <si>
    <t xml:space="preserve">SYN-0270</t>
  </si>
  <si>
    <t xml:space="preserve">SYN-0271</t>
  </si>
  <si>
    <t xml:space="preserve">SYN-0272</t>
  </si>
  <si>
    <t xml:space="preserve">SYN-0273</t>
  </si>
  <si>
    <t xml:space="preserve">SYN-0274</t>
  </si>
  <si>
    <t xml:space="preserve">SYN-0275</t>
  </si>
  <si>
    <t xml:space="preserve">SYN-0276</t>
  </si>
  <si>
    <t xml:space="preserve">SYN-0277</t>
  </si>
  <si>
    <t xml:space="preserve">SYN-0278</t>
  </si>
  <si>
    <t xml:space="preserve">SYN-0279</t>
  </si>
  <si>
    <t xml:space="preserve">SYN-0280</t>
  </si>
  <si>
    <t xml:space="preserve">SYN-0281</t>
  </si>
  <si>
    <t xml:space="preserve">SYN-0282</t>
  </si>
  <si>
    <t xml:space="preserve">SYN-0283</t>
  </si>
  <si>
    <t xml:space="preserve">SYN-0284</t>
  </si>
  <si>
    <t xml:space="preserve">SYN-0285</t>
  </si>
  <si>
    <t xml:space="preserve">SYN-0286</t>
  </si>
  <si>
    <t xml:space="preserve">SYN-0287</t>
  </si>
  <si>
    <t xml:space="preserve">SYN-0288</t>
  </si>
  <si>
    <t xml:space="preserve">SYN-0289</t>
  </si>
  <si>
    <t xml:space="preserve">SYN-0290</t>
  </si>
  <si>
    <t xml:space="preserve">SYN-0291</t>
  </si>
  <si>
    <t xml:space="preserve">SYN-0292</t>
  </si>
  <si>
    <t xml:space="preserve">SYN-0293</t>
  </si>
  <si>
    <t xml:space="preserve">SYN-0294</t>
  </si>
  <si>
    <t xml:space="preserve">SYN-0295</t>
  </si>
  <si>
    <t xml:space="preserve">SYN-0296</t>
  </si>
  <si>
    <t xml:space="preserve">SYN-0297</t>
  </si>
  <si>
    <t xml:space="preserve">SYN-0298</t>
  </si>
  <si>
    <t xml:space="preserve">SYN-0299</t>
  </si>
  <si>
    <t xml:space="preserve">SYN-0300</t>
  </si>
  <si>
    <t xml:space="preserve">Adverse cohort calculation</t>
  </si>
  <si>
    <t xml:space="preserve">Product-level scenario comparison</t>
  </si>
  <si>
    <t xml:space="preserve">The portfolio total reconciles to the Impact Summary.</t>
  </si>
  <si>
    <t xml:space="preserve">Cohort count</t>
  </si>
  <si>
    <t xml:space="preserve">Active count</t>
  </si>
  <si>
    <t xml:space="preserve">Baseline provisions</t>
  </si>
  <si>
    <t xml:space="preserve">Adverse provisions</t>
  </si>
  <si>
    <t xml:space="preserve">Average baseline</t>
  </si>
  <si>
    <t xml:space="preserve">Average adverse active</t>
  </si>
  <si>
    <t xml:space="preserve">Minimum adverse</t>
  </si>
  <si>
    <t xml:space="preserve">Maximum adverse</t>
  </si>
  <si>
    <t xml:space="preserve">Increase</t>
  </si>
  <si>
    <t xml:space="preserve">Portfolio total</t>
  </si>
  <si>
    <t xml:space="preserve">Synthetic cohort data and derived lookup fields</t>
  </si>
  <si>
    <t xml:space="preserve">Aurora General Insurance SA; 2025-Q4; EUR. All 300 cohorts are fictional.</t>
  </si>
  <si>
    <t xml:space="preserve">Region</t>
  </si>
  <si>
    <t xml:space="preserve">Premium</t>
  </si>
  <si>
    <t xml:space="preserve">Incurred claims</t>
  </si>
  <si>
    <t xml:space="preserve">Paid claims</t>
  </si>
  <si>
    <t xml:space="preserve">Opening reserve</t>
  </si>
  <si>
    <t xml:space="preserve">Product position</t>
  </si>
  <si>
    <t xml:space="preserve">Outstanding claims</t>
  </si>
  <si>
    <t xml:space="preserve">Belgium</t>
  </si>
  <si>
    <t xml:space="preserve">France</t>
  </si>
  <si>
    <t xml:space="preserve">United Kingdom</t>
  </si>
  <si>
    <t xml:space="preserve">Inactive</t>
  </si>
  <si>
    <t xml:space="preserve">Independent workbook controls</t>
  </si>
  <si>
    <t xml:space="preserve">Every difference below should equal zero.</t>
  </si>
  <si>
    <t xml:space="preserve">Control</t>
  </si>
  <si>
    <t xml:space="preserve">Difference</t>
  </si>
  <si>
    <t xml:space="preserve">Base provision bridge</t>
  </si>
  <si>
    <t xml:space="preserve">Base own-funds bridge</t>
  </si>
  <si>
    <t xml:space="preserve">Reserve increase equals own-funds reduction</t>
  </si>
  <si>
    <t xml:space="preserve">Product aggregation equals adverse total</t>
  </si>
  <si>
    <t xml:space="preserve">Case 6 demonstration guide</t>
  </si>
  <si>
    <t xml:space="preserve">Scope</t>
  </si>
  <si>
    <t xml:space="preserve">Baseline-versus-adverse reserve calculation across 300 synthetic cohorts.</t>
  </si>
  <si>
    <t xml:space="preserve">Boundary</t>
  </si>
  <si>
    <t xml:space="preserve">This workbook does not implement or validate certified Solvency II or IFRS 17 methodology.</t>
  </si>
  <si>
    <t xml:space="preserve">Gate 1 context</t>
  </si>
  <si>
    <t xml:space="preserve">Aurora General Insurance SA; 2025-Q4; EUR; synthetic reserve stress demonstration.</t>
  </si>
  <si>
    <t xml:space="preserve">Gate 2 selection</t>
  </si>
  <si>
    <t xml:space="preserve">Select Accounting Bridge!C4 and Accounting Bridge!C5.</t>
  </si>
  <si>
    <t xml:space="preserve">Gate 3</t>
  </si>
  <si>
    <t xml:space="preserve">Approve both one-to-one mappings and choose internal and external materiality thresholds.</t>
  </si>
  <si>
    <t xml:space="preserve">Gate 4</t>
  </si>
  <si>
    <t xml:space="preserve">Create the named approval record before generating the PDF.</t>
  </si>
  <si>
    <t xml:space="preserve">The baseline technical provisions and own funds reconcile to the synthetic trial balance.</t>
  </si>
  <si>
    <t xml:space="preserve">Adverse impact</t>
  </si>
  <si>
    <t xml:space="preserve">The adverse scenario raises technical provisions, reduces own funds and lowers the solvency ratio.</t>
  </si>
  <si>
    <t xml:space="preserve">Business impact</t>
  </si>
  <si>
    <t xml:space="preserve">Expected value</t>
  </si>
  <si>
    <t xml:space="preserve">Impact Summary!B5</t>
  </si>
  <si>
    <t xml:space="preserve">Impact Summary!B6</t>
  </si>
  <si>
    <t xml:space="preserve">Impact Summary!B7</t>
  </si>
  <si>
    <t xml:space="preserve">Impact Summary!B10</t>
  </si>
  <si>
    <t xml:space="preserve">Impact Summary!B12</t>
  </si>
  <si>
    <t xml:space="preserve">Impact Summary!B14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</si>
</sst>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(#,##0.00\);\-"/>
    <numFmt numFmtId="166" formatCode="0.00%"/>
    <numFmt numFmtId="167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EAF2F8"/>
        <bgColor rgb="FFFFFFFF"/>
      </patternFill>
    </fill>
    <fill>
      <patternFill patternType="solid">
        <fgColor rgb="FFFFF2CC"/>
        <bgColor rgb="FFEAF2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24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</row>
    <row r="2" customFormat="false" ht="15" hidden="false" customHeight="false" outlineLevel="0" collapsed="false">
      <c r="A2" s="2" t="s">
        <v>1</v>
      </c>
      <c r="B2" s="2" t="s">
        <v>1</v>
      </c>
      <c r="C2" s="2" t="s">
        <v>1</v>
      </c>
      <c r="D2" s="2" t="s">
        <v>1</v>
      </c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5" t="s">
        <v>5</v>
      </c>
    </row>
    <row r="5" customFormat="false" ht="15" hidden="false" customHeight="false" outlineLevel="0" collapsed="false">
      <c r="A5" s="2" t="s">
        <v>6</v>
      </c>
      <c r="B5" s="6" t="n">
        <f aca="false">ROUND(SUM('Base Scenario'!$G$4:$G$303),Assumptions!$B$10)</f>
        <v>11411087.59</v>
      </c>
      <c r="C5" s="2" t="s">
        <v>7</v>
      </c>
      <c r="D5" s="2" t="s">
        <v>8</v>
      </c>
    </row>
    <row r="6" customFormat="false" ht="15" hidden="false" customHeight="false" outlineLevel="0" collapsed="false">
      <c r="A6" s="2" t="s">
        <v>9</v>
      </c>
      <c r="B6" s="6" t="n">
        <f aca="false">ROUND(SUM('Adverse Scenario'!$G$4:$G$303),Assumptions!$B$10)</f>
        <v>13741241.69</v>
      </c>
      <c r="C6" s="2" t="s">
        <v>7</v>
      </c>
      <c r="D6" s="2" t="s">
        <v>10</v>
      </c>
    </row>
    <row r="7" customFormat="false" ht="15" hidden="false" customHeight="false" outlineLevel="0" collapsed="false">
      <c r="A7" s="7" t="s">
        <v>11</v>
      </c>
      <c r="B7" s="8" t="n">
        <f aca="false">ROUND(B6-B5,Assumptions!$B$10)</f>
        <v>2330154.1</v>
      </c>
      <c r="C7" s="9" t="s">
        <v>7</v>
      </c>
      <c r="D7" s="10" t="s">
        <v>12</v>
      </c>
    </row>
    <row r="8" customFormat="false" ht="15" hidden="false" customHeight="false" outlineLevel="0" collapsed="false">
      <c r="A8" s="2" t="s">
        <v>13</v>
      </c>
      <c r="B8" s="6" t="n">
        <f aca="false">ROUND(Assumptions!$B$8-B5,Assumptions!$B$10)</f>
        <v>63588912.41</v>
      </c>
      <c r="C8" s="2" t="s">
        <v>7</v>
      </c>
      <c r="D8" s="2" t="s">
        <v>14</v>
      </c>
    </row>
    <row r="9" customFormat="false" ht="15" hidden="false" customHeight="false" outlineLevel="0" collapsed="false">
      <c r="A9" s="2" t="s">
        <v>15</v>
      </c>
      <c r="B9" s="6" t="n">
        <f aca="false">ROUND(Assumptions!$B$8-B6,Assumptions!$B$10)</f>
        <v>61258758.31</v>
      </c>
      <c r="C9" s="2" t="s">
        <v>7</v>
      </c>
      <c r="D9" s="2" t="s">
        <v>16</v>
      </c>
    </row>
    <row r="10" customFormat="false" ht="15" hidden="false" customHeight="false" outlineLevel="0" collapsed="false">
      <c r="A10" s="7" t="s">
        <v>17</v>
      </c>
      <c r="B10" s="8" t="n">
        <f aca="false">ROUND(B8-B9,Assumptions!$B$10)</f>
        <v>2330154.1</v>
      </c>
      <c r="C10" s="9" t="s">
        <v>7</v>
      </c>
      <c r="D10" s="10" t="s">
        <v>18</v>
      </c>
    </row>
    <row r="11" customFormat="false" ht="15" hidden="false" customHeight="false" outlineLevel="0" collapsed="false">
      <c r="A11" s="2" t="s">
        <v>19</v>
      </c>
      <c r="B11" s="6" t="n">
        <f aca="false">Assumptions!$B$9</f>
        <v>35000000</v>
      </c>
      <c r="C11" s="2" t="s">
        <v>7</v>
      </c>
      <c r="D11" s="2" t="s">
        <v>20</v>
      </c>
    </row>
    <row r="12" customFormat="false" ht="15" hidden="false" customHeight="false" outlineLevel="0" collapsed="false">
      <c r="A12" s="2" t="s">
        <v>21</v>
      </c>
      <c r="B12" s="11" t="n">
        <f aca="false">ROUND(B8/B11,Assumptions!$B$15)</f>
        <v>1.8168</v>
      </c>
      <c r="C12" s="2" t="s">
        <v>22</v>
      </c>
      <c r="D12" s="2" t="s">
        <v>23</v>
      </c>
    </row>
    <row r="13" customFormat="false" ht="15" hidden="false" customHeight="false" outlineLevel="0" collapsed="false">
      <c r="A13" s="2" t="s">
        <v>24</v>
      </c>
      <c r="B13" s="11" t="n">
        <f aca="false">ROUND(B9/B11,Assumptions!$B$15)</f>
        <v>1.7503</v>
      </c>
      <c r="C13" s="2" t="s">
        <v>22</v>
      </c>
      <c r="D13" s="2" t="s">
        <v>25</v>
      </c>
    </row>
    <row r="14" customFormat="false" ht="15" hidden="false" customHeight="false" outlineLevel="0" collapsed="false">
      <c r="A14" s="7" t="s">
        <v>26</v>
      </c>
      <c r="B14" s="12" t="n">
        <f aca="false">ROUND(B12-B13,Assumptions!$B$15)</f>
        <v>0.0665</v>
      </c>
      <c r="C14" s="9" t="s">
        <v>27</v>
      </c>
      <c r="D14" s="10" t="s">
        <v>28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3" t="s">
        <v>29</v>
      </c>
      <c r="B16" s="4" t="s">
        <v>30</v>
      </c>
      <c r="C16" s="4" t="s">
        <v>31</v>
      </c>
      <c r="D16" s="5" t="s">
        <v>32</v>
      </c>
    </row>
    <row r="17" customFormat="false" ht="15" hidden="false" customHeight="false" outlineLevel="0" collapsed="false">
      <c r="A17" s="2" t="s">
        <v>33</v>
      </c>
      <c r="B17" s="2" t="s">
        <v>34</v>
      </c>
      <c r="C17" s="13" t="n">
        <v>-11411087.59</v>
      </c>
      <c r="D17" s="2" t="s">
        <v>35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13" t="n">
        <v>63588912.41</v>
      </c>
      <c r="D18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2"/>
  </cols>
  <sheetData>
    <row r="1" customFormat="false" ht="24" hidden="false" customHeight="true" outlineLevel="0" collapsed="false">
      <c r="A1" s="1" t="s">
        <v>39</v>
      </c>
      <c r="B1" s="1" t="s">
        <v>39</v>
      </c>
      <c r="C1" s="1" t="s">
        <v>39</v>
      </c>
    </row>
    <row r="2" customFormat="false" ht="15" hidden="false" customHeight="false" outlineLevel="0" collapsed="false">
      <c r="A2" s="2" t="s">
        <v>40</v>
      </c>
      <c r="B2" s="2" t="s">
        <v>40</v>
      </c>
      <c r="C2" s="2" t="s">
        <v>40</v>
      </c>
    </row>
    <row r="3" customFormat="false" ht="15" hidden="false" customHeight="false" outlineLevel="0" collapsed="false">
      <c r="A3" s="3" t="s">
        <v>41</v>
      </c>
      <c r="B3" s="4" t="s">
        <v>42</v>
      </c>
      <c r="C3" s="5" t="s">
        <v>43</v>
      </c>
    </row>
    <row r="4" customFormat="false" ht="15" hidden="false" customHeight="false" outlineLevel="0" collapsed="false">
      <c r="A4" s="2" t="s">
        <v>44</v>
      </c>
      <c r="B4" s="2" t="s">
        <v>33</v>
      </c>
      <c r="C4" s="13" t="n">
        <f aca="false">-'Impact Summary'!B5</f>
        <v>-11411087.59</v>
      </c>
    </row>
    <row r="5" customFormat="false" ht="15" hidden="false" customHeight="false" outlineLevel="0" collapsed="false">
      <c r="A5" s="2" t="s">
        <v>45</v>
      </c>
      <c r="B5" s="2" t="s">
        <v>36</v>
      </c>
      <c r="C5" s="13" t="n">
        <f aca="false">'Impact Summary'!B8</f>
        <v>63588912.41</v>
      </c>
    </row>
    <row r="6" customFormat="false" ht="15" hidden="false" customHeight="false" outlineLevel="0" collapsed="false">
      <c r="A6" s="2" t="s">
        <v>46</v>
      </c>
      <c r="B6" s="2" t="s">
        <v>47</v>
      </c>
      <c r="C6" s="13" t="n">
        <f aca="false">SUM(C4:C5)</f>
        <v>52177824.82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10" min="8" style="0" width="18"/>
  </cols>
  <sheetData>
    <row r="1" customFormat="false" ht="24" hidden="false" customHeight="true" outlineLevel="0" collapsed="false">
      <c r="A1" s="1" t="s">
        <v>48</v>
      </c>
      <c r="B1" s="1" t="s">
        <v>48</v>
      </c>
      <c r="C1" s="1" t="s">
        <v>48</v>
      </c>
      <c r="D1" s="1" t="s">
        <v>48</v>
      </c>
      <c r="E1" s="1" t="s">
        <v>48</v>
      </c>
      <c r="F1" s="1" t="s">
        <v>48</v>
      </c>
      <c r="G1" s="1" t="s">
        <v>48</v>
      </c>
      <c r="H1" s="1" t="s">
        <v>48</v>
      </c>
      <c r="I1" s="1" t="s">
        <v>48</v>
      </c>
      <c r="J1" s="1" t="s">
        <v>48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49</v>
      </c>
      <c r="B3" s="4" t="s">
        <v>50</v>
      </c>
      <c r="C3" s="4" t="s">
        <v>51</v>
      </c>
      <c r="D3" s="5" t="s">
        <v>52</v>
      </c>
      <c r="E3" s="3" t="s">
        <v>53</v>
      </c>
      <c r="F3" s="5" t="s">
        <v>54</v>
      </c>
      <c r="G3" s="2"/>
      <c r="H3" s="3" t="s">
        <v>55</v>
      </c>
      <c r="I3" s="4" t="s">
        <v>56</v>
      </c>
      <c r="J3" s="5" t="s">
        <v>57</v>
      </c>
    </row>
    <row r="4" customFormat="false" ht="15" hidden="false" customHeight="false" outlineLevel="0" collapsed="false">
      <c r="A4" s="2" t="s">
        <v>58</v>
      </c>
      <c r="B4" s="14" t="n">
        <v>0.02</v>
      </c>
      <c r="C4" s="14" t="n">
        <v>0.055</v>
      </c>
      <c r="D4" s="2" t="s">
        <v>59</v>
      </c>
      <c r="E4" s="2" t="s">
        <v>60</v>
      </c>
      <c r="F4" s="15" t="n">
        <f aca="false">1+B4</f>
        <v>1.02</v>
      </c>
      <c r="G4" s="2"/>
      <c r="H4" s="2" t="s">
        <v>61</v>
      </c>
      <c r="I4" s="16" t="n">
        <v>1.02</v>
      </c>
      <c r="J4" s="16" t="n">
        <v>1.12</v>
      </c>
    </row>
    <row r="5" customFormat="false" ht="15" hidden="false" customHeight="false" outlineLevel="0" collapsed="false">
      <c r="A5" s="2" t="s">
        <v>62</v>
      </c>
      <c r="B5" s="14" t="n">
        <v>0.03</v>
      </c>
      <c r="C5" s="14" t="n">
        <v>0.015</v>
      </c>
      <c r="D5" s="2" t="s">
        <v>63</v>
      </c>
      <c r="E5" s="2" t="s">
        <v>64</v>
      </c>
      <c r="F5" s="15" t="n">
        <f aca="false">1+C4</f>
        <v>1.055</v>
      </c>
      <c r="G5" s="2"/>
      <c r="H5" s="2" t="s">
        <v>65</v>
      </c>
      <c r="I5" s="16" t="n">
        <v>1.04</v>
      </c>
      <c r="J5" s="16" t="n">
        <v>1.15</v>
      </c>
    </row>
    <row r="6" customFormat="false" ht="15" hidden="false" customHeight="false" outlineLevel="0" collapsed="false">
      <c r="A6" s="2" t="s">
        <v>66</v>
      </c>
      <c r="B6" s="14" t="n">
        <v>0.025</v>
      </c>
      <c r="C6" s="14" t="n">
        <v>0.035</v>
      </c>
      <c r="D6" s="2" t="s">
        <v>67</v>
      </c>
      <c r="E6" s="2" t="s">
        <v>68</v>
      </c>
      <c r="F6" s="15" t="n">
        <f aca="false">1+B5</f>
        <v>1.03</v>
      </c>
      <c r="G6" s="2"/>
      <c r="H6" s="2" t="s">
        <v>69</v>
      </c>
      <c r="I6" s="16" t="n">
        <v>1.06</v>
      </c>
      <c r="J6" s="16" t="n">
        <v>1.18</v>
      </c>
    </row>
    <row r="7" customFormat="false" ht="15" hidden="false" customHeight="false" outlineLevel="0" collapsed="false">
      <c r="A7" s="2" t="s">
        <v>70</v>
      </c>
      <c r="B7" s="14" t="n">
        <v>0.04</v>
      </c>
      <c r="C7" s="14" t="n">
        <v>0.055</v>
      </c>
      <c r="D7" s="2" t="s">
        <v>71</v>
      </c>
      <c r="E7" s="2" t="s">
        <v>72</v>
      </c>
      <c r="F7" s="15" t="n">
        <f aca="false">1+C5</f>
        <v>1.015</v>
      </c>
      <c r="G7" s="2"/>
      <c r="H7" s="2"/>
      <c r="I7" s="2"/>
      <c r="J7" s="2"/>
    </row>
    <row r="8" customFormat="false" ht="15" hidden="false" customHeight="false" outlineLevel="0" collapsed="false">
      <c r="A8" s="2" t="s">
        <v>73</v>
      </c>
      <c r="B8" s="17" t="n">
        <v>75000000</v>
      </c>
      <c r="C8" s="16"/>
      <c r="D8" s="2" t="s">
        <v>74</v>
      </c>
      <c r="E8" s="2"/>
      <c r="F8" s="2"/>
      <c r="G8" s="2"/>
      <c r="H8" s="2"/>
      <c r="I8" s="2"/>
      <c r="J8" s="2"/>
    </row>
    <row r="9" customFormat="false" ht="15" hidden="false" customHeight="false" outlineLevel="0" collapsed="false">
      <c r="A9" s="2" t="s">
        <v>19</v>
      </c>
      <c r="B9" s="17" t="n">
        <v>35000000</v>
      </c>
      <c r="C9" s="16"/>
      <c r="D9" s="2" t="s">
        <v>75</v>
      </c>
      <c r="E9" s="2"/>
      <c r="F9" s="2"/>
      <c r="G9" s="2"/>
      <c r="H9" s="2"/>
      <c r="I9" s="2"/>
      <c r="J9" s="2"/>
    </row>
    <row r="10" customFormat="false" ht="15" hidden="false" customHeight="false" outlineLevel="0" collapsed="false">
      <c r="A10" s="2" t="s">
        <v>76</v>
      </c>
      <c r="B10" s="16" t="n">
        <v>2</v>
      </c>
      <c r="C10" s="16"/>
      <c r="D10" s="2" t="s">
        <v>77</v>
      </c>
      <c r="E10" s="2"/>
      <c r="F10" s="2"/>
      <c r="G10" s="2"/>
      <c r="H10" s="2"/>
      <c r="I10" s="2"/>
      <c r="J10" s="2"/>
    </row>
    <row r="11" customFormat="false" ht="15" hidden="false" customHeight="false" outlineLevel="0" collapsed="false">
      <c r="A11" s="2" t="s">
        <v>78</v>
      </c>
      <c r="B11" s="16" t="n">
        <v>100000</v>
      </c>
      <c r="C11" s="16"/>
      <c r="D11" s="2" t="s">
        <v>79</v>
      </c>
      <c r="E11" s="2"/>
      <c r="F11" s="2"/>
      <c r="G11" s="2"/>
      <c r="H11" s="2"/>
      <c r="I11" s="2"/>
      <c r="J11" s="2"/>
    </row>
    <row r="12" customFormat="false" ht="15" hidden="false" customHeight="false" outlineLevel="0" collapsed="false">
      <c r="A12" s="2" t="s">
        <v>80</v>
      </c>
      <c r="B12" s="16" t="n">
        <v>100</v>
      </c>
      <c r="C12" s="16"/>
      <c r="D12" s="2" t="s">
        <v>81</v>
      </c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 t="s">
        <v>82</v>
      </c>
      <c r="B13" s="16" t="n">
        <v>0</v>
      </c>
      <c r="C13" s="16"/>
      <c r="D13" s="2" t="s">
        <v>83</v>
      </c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 t="s">
        <v>84</v>
      </c>
      <c r="B15" s="16" t="n">
        <v>4</v>
      </c>
      <c r="C15" s="2" t="s">
        <v>85</v>
      </c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 t="s">
        <v>86</v>
      </c>
      <c r="B16" s="16" t="s">
        <v>87</v>
      </c>
      <c r="C16" s="2" t="s">
        <v>88</v>
      </c>
      <c r="D16" s="2"/>
      <c r="E16" s="2"/>
      <c r="F16" s="2"/>
      <c r="G16" s="2"/>
      <c r="H16" s="2"/>
      <c r="I16" s="2"/>
      <c r="J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22"/>
    <col collapsed="false" customWidth="true" hidden="false" outlineLevel="0" max="13" min="13" style="0" width="19"/>
  </cols>
  <sheetData>
    <row r="1" customFormat="false" ht="24" hidden="false" customHeight="true" outlineLevel="0" collapsed="false">
      <c r="A1" s="1" t="s">
        <v>89</v>
      </c>
      <c r="B1" s="1" t="s">
        <v>89</v>
      </c>
      <c r="C1" s="1" t="s">
        <v>89</v>
      </c>
      <c r="D1" s="1" t="s">
        <v>89</v>
      </c>
      <c r="E1" s="1" t="s">
        <v>89</v>
      </c>
      <c r="F1" s="1" t="s">
        <v>89</v>
      </c>
      <c r="G1" s="1" t="s">
        <v>89</v>
      </c>
      <c r="H1" s="1" t="s">
        <v>89</v>
      </c>
      <c r="I1" s="1" t="s">
        <v>89</v>
      </c>
      <c r="J1" s="1" t="s">
        <v>89</v>
      </c>
      <c r="K1" s="1" t="s">
        <v>89</v>
      </c>
      <c r="L1" s="1" t="s">
        <v>89</v>
      </c>
      <c r="M1" s="1" t="s">
        <v>89</v>
      </c>
    </row>
    <row r="2" customFormat="false" ht="15" hidden="false" customHeight="false" outlineLevel="0" collapsed="false">
      <c r="A2" s="2" t="s">
        <v>90</v>
      </c>
      <c r="B2" s="2" t="s">
        <v>90</v>
      </c>
      <c r="C2" s="2" t="s">
        <v>90</v>
      </c>
      <c r="D2" s="2" t="s">
        <v>90</v>
      </c>
      <c r="E2" s="2" t="s">
        <v>90</v>
      </c>
      <c r="F2" s="2" t="s">
        <v>90</v>
      </c>
      <c r="G2" s="2" t="s">
        <v>90</v>
      </c>
      <c r="H2" s="2" t="s">
        <v>90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</row>
    <row r="3" customFormat="false" ht="15" hidden="false" customHeight="false" outlineLevel="0" collapsed="false">
      <c r="A3" s="3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  <c r="G3" s="4" t="s">
        <v>97</v>
      </c>
      <c r="H3" s="4" t="s">
        <v>98</v>
      </c>
      <c r="I3" s="4" t="s">
        <v>99</v>
      </c>
      <c r="J3" s="4" t="s">
        <v>100</v>
      </c>
      <c r="K3" s="4" t="s">
        <v>101</v>
      </c>
      <c r="L3" s="4" t="s">
        <v>102</v>
      </c>
      <c r="M3" s="5" t="s">
        <v>103</v>
      </c>
    </row>
    <row r="4" customFormat="false" ht="15" hidden="false" customHeight="false" outlineLevel="0" collapsed="false">
      <c r="A4" s="2" t="s">
        <v>104</v>
      </c>
      <c r="B4" s="18" t="n">
        <f aca="false">IF('Cohort Data'!D4=Assumptions!$B$16,ROUND('Cohort Data'!L4*'Cohort Data'!J4*Assumptions!$F$4,Assumptions!$B$10),Assumptions!$B$13)</f>
        <v>26973.41</v>
      </c>
      <c r="C4" s="18" t="n">
        <f aca="false">IF('Cohort Data'!D4=Assumptions!$B$16,ROUND('Cohort Data'!E4*Assumptions!$B$6,Assumptions!$B$10),Assumptions!$B$13)</f>
        <v>3725</v>
      </c>
      <c r="D4" s="18" t="n">
        <f aca="false">SUM(B4:C4)</f>
        <v>30698.41</v>
      </c>
      <c r="E4" s="18" t="n">
        <f aca="false">ROUND(D4/Assumptions!$F$6,Assumptions!$B$10)</f>
        <v>29804.28</v>
      </c>
      <c r="F4" s="18" t="n">
        <f aca="false">ROUND(E4*Assumptions!$B$7,Assumptions!$B$10)</f>
        <v>1192.17</v>
      </c>
      <c r="G4" s="18" t="n">
        <f aca="false">SUM(E4:F4)</f>
        <v>30996.45</v>
      </c>
      <c r="H4" s="18" t="n">
        <f aca="false">ROUND(G4-'Cohort Data'!H4,Assumptions!$B$10)</f>
        <v>6626.01</v>
      </c>
      <c r="I4" s="18" t="n">
        <f aca="false">CEILING(G4,Assumptions!$B$12)</f>
        <v>31000</v>
      </c>
      <c r="J4" s="18" t="n">
        <f aca="false">FLOOR(G4,Assumptions!$B$12)</f>
        <v>30900</v>
      </c>
      <c r="K4" s="18" t="n">
        <f aca="false">ROUNDUP(G4,Assumptions!$B$10)</f>
        <v>30996.45</v>
      </c>
      <c r="L4" s="18" t="n">
        <f aca="false">ROUNDDOWN(G4,Assumptions!$B$10)</f>
        <v>30996.44</v>
      </c>
      <c r="M4" s="19" t="n">
        <f aca="false">INT('Cohort Data'!E4/Assumptions!$B$11)</f>
        <v>1</v>
      </c>
    </row>
    <row r="5" customFormat="false" ht="15" hidden="false" customHeight="false" outlineLevel="0" collapsed="false">
      <c r="A5" s="2" t="s">
        <v>105</v>
      </c>
      <c r="B5" s="18" t="n">
        <f aca="false">IF('Cohort Data'!D5=Assumptions!$B$16,ROUND('Cohort Data'!L5*'Cohort Data'!J5*Assumptions!$F$4,Assumptions!$B$10),Assumptions!$B$13)</f>
        <v>34194.25</v>
      </c>
      <c r="C5" s="18" t="n">
        <f aca="false">IF('Cohort Data'!D5=Assumptions!$B$16,ROUND('Cohort Data'!E5*Assumptions!$B$6,Assumptions!$B$10),Assumptions!$B$13)</f>
        <v>5550</v>
      </c>
      <c r="D5" s="18" t="n">
        <f aca="false">SUM(B5:C5)</f>
        <v>39744.25</v>
      </c>
      <c r="E5" s="18" t="n">
        <f aca="false">ROUND(D5/Assumptions!$F$6,Assumptions!$B$10)</f>
        <v>38586.65</v>
      </c>
      <c r="F5" s="18" t="n">
        <f aca="false">ROUND(E5*Assumptions!$B$7,Assumptions!$B$10)</f>
        <v>1543.47</v>
      </c>
      <c r="G5" s="18" t="n">
        <f aca="false">SUM(E5:F5)</f>
        <v>40130.12</v>
      </c>
      <c r="H5" s="18" t="n">
        <f aca="false">ROUND(G5-'Cohort Data'!H5,Assumptions!$B$10)</f>
        <v>9507.44</v>
      </c>
      <c r="I5" s="18" t="n">
        <f aca="false">CEILING(G5,Assumptions!$B$12)</f>
        <v>40200</v>
      </c>
      <c r="J5" s="18" t="n">
        <f aca="false">FLOOR(G5,Assumptions!$B$12)</f>
        <v>40100</v>
      </c>
      <c r="K5" s="18" t="n">
        <f aca="false">ROUNDUP(G5,Assumptions!$B$10)</f>
        <v>40130.12</v>
      </c>
      <c r="L5" s="18" t="n">
        <f aca="false">ROUNDDOWN(G5,Assumptions!$B$10)</f>
        <v>40130.12</v>
      </c>
      <c r="M5" s="19" t="n">
        <f aca="false">INT('Cohort Data'!E5/Assumptions!$B$11)</f>
        <v>2</v>
      </c>
    </row>
    <row r="6" customFormat="false" ht="15" hidden="false" customHeight="false" outlineLevel="0" collapsed="false">
      <c r="A6" s="2" t="s">
        <v>106</v>
      </c>
      <c r="B6" s="18" t="n">
        <f aca="false">IF('Cohort Data'!D6=Assumptions!$B$16,ROUND('Cohort Data'!L6*'Cohort Data'!J6*Assumptions!$F$4,Assumptions!$B$10),Assumptions!$B$13)</f>
        <v>10618.25</v>
      </c>
      <c r="C6" s="18" t="n">
        <f aca="false">IF('Cohort Data'!D6=Assumptions!$B$16,ROUND('Cohort Data'!E6*Assumptions!$B$6,Assumptions!$B$10),Assumptions!$B$13)</f>
        <v>1550</v>
      </c>
      <c r="D6" s="18" t="n">
        <f aca="false">SUM(B6:C6)</f>
        <v>12168.25</v>
      </c>
      <c r="E6" s="18" t="n">
        <f aca="false">ROUND(D6/Assumptions!$F$6,Assumptions!$B$10)</f>
        <v>11813.83</v>
      </c>
      <c r="F6" s="18" t="n">
        <f aca="false">ROUND(E6*Assumptions!$B$7,Assumptions!$B$10)</f>
        <v>472.55</v>
      </c>
      <c r="G6" s="18" t="n">
        <f aca="false">SUM(E6:F6)</f>
        <v>12286.38</v>
      </c>
      <c r="H6" s="18" t="n">
        <f aca="false">ROUND(G6-'Cohort Data'!H6,Assumptions!$B$10)</f>
        <v>2662</v>
      </c>
      <c r="I6" s="18" t="n">
        <f aca="false">CEILING(G6,Assumptions!$B$12)</f>
        <v>12300</v>
      </c>
      <c r="J6" s="18" t="n">
        <f aca="false">FLOOR(G6,Assumptions!$B$12)</f>
        <v>12200</v>
      </c>
      <c r="K6" s="18" t="n">
        <f aca="false">ROUNDUP(G6,Assumptions!$B$10)</f>
        <v>12286.38</v>
      </c>
      <c r="L6" s="18" t="n">
        <f aca="false">ROUNDDOWN(G6,Assumptions!$B$10)</f>
        <v>12286.38</v>
      </c>
      <c r="M6" s="19" t="n">
        <f aca="false">INT('Cohort Data'!E6/Assumptions!$B$11)</f>
        <v>0</v>
      </c>
    </row>
    <row r="7" customFormat="false" ht="15" hidden="false" customHeight="false" outlineLevel="0" collapsed="false">
      <c r="A7" s="2" t="s">
        <v>107</v>
      </c>
      <c r="B7" s="18" t="n">
        <f aca="false">IF('Cohort Data'!D7=Assumptions!$B$16,ROUND('Cohort Data'!L7*'Cohort Data'!J7*Assumptions!$F$4,Assumptions!$B$10),Assumptions!$B$13)</f>
        <v>40007.54</v>
      </c>
      <c r="C7" s="18" t="n">
        <f aca="false">IF('Cohort Data'!D7=Assumptions!$B$16,ROUND('Cohort Data'!E7*Assumptions!$B$6,Assumptions!$B$10),Assumptions!$B$13)</f>
        <v>5525</v>
      </c>
      <c r="D7" s="18" t="n">
        <f aca="false">SUM(B7:C7)</f>
        <v>45532.54</v>
      </c>
      <c r="E7" s="18" t="n">
        <f aca="false">ROUND(D7/Assumptions!$F$6,Assumptions!$B$10)</f>
        <v>44206.35</v>
      </c>
      <c r="F7" s="18" t="n">
        <f aca="false">ROUND(E7*Assumptions!$B$7,Assumptions!$B$10)</f>
        <v>1768.25</v>
      </c>
      <c r="G7" s="18" t="n">
        <f aca="false">SUM(E7:F7)</f>
        <v>45974.6</v>
      </c>
      <c r="H7" s="18" t="n">
        <f aca="false">ROUND(G7-'Cohort Data'!H7,Assumptions!$B$10)</f>
        <v>10596.92</v>
      </c>
      <c r="I7" s="18" t="n">
        <f aca="false">CEILING(G7,Assumptions!$B$12)</f>
        <v>46000</v>
      </c>
      <c r="J7" s="18" t="n">
        <f aca="false">FLOOR(G7,Assumptions!$B$12)</f>
        <v>45900</v>
      </c>
      <c r="K7" s="18" t="n">
        <f aca="false">ROUNDUP(G7,Assumptions!$B$10)</f>
        <v>45974.6</v>
      </c>
      <c r="L7" s="18" t="n">
        <f aca="false">ROUNDDOWN(G7,Assumptions!$B$10)</f>
        <v>45974.6</v>
      </c>
      <c r="M7" s="19" t="n">
        <f aca="false">INT('Cohort Data'!E7/Assumptions!$B$11)</f>
        <v>2</v>
      </c>
    </row>
    <row r="8" customFormat="false" ht="15" hidden="false" customHeight="false" outlineLevel="0" collapsed="false">
      <c r="A8" s="2" t="s">
        <v>108</v>
      </c>
      <c r="B8" s="18" t="n">
        <f aca="false">IF('Cohort Data'!D8=Assumptions!$B$16,ROUND('Cohort Data'!L8*'Cohort Data'!J8*Assumptions!$F$4,Assumptions!$B$10),Assumptions!$B$13)</f>
        <v>64397.77</v>
      </c>
      <c r="C8" s="18" t="n">
        <f aca="false">IF('Cohort Data'!D8=Assumptions!$B$16,ROUND('Cohort Data'!E8*Assumptions!$B$6,Assumptions!$B$10),Assumptions!$B$13)</f>
        <v>5475</v>
      </c>
      <c r="D8" s="18" t="n">
        <f aca="false">SUM(B8:C8)</f>
        <v>69872.77</v>
      </c>
      <c r="E8" s="18" t="n">
        <f aca="false">ROUND(D8/Assumptions!$F$6,Assumptions!$B$10)</f>
        <v>67837.64</v>
      </c>
      <c r="F8" s="18" t="n">
        <f aca="false">ROUND(E8*Assumptions!$B$7,Assumptions!$B$10)</f>
        <v>2713.51</v>
      </c>
      <c r="G8" s="18" t="n">
        <f aca="false">SUM(E8:F8)</f>
        <v>70551.15</v>
      </c>
      <c r="H8" s="18" t="n">
        <f aca="false">ROUND(G8-'Cohort Data'!H8,Assumptions!$B$10)</f>
        <v>9844.35</v>
      </c>
      <c r="I8" s="18" t="n">
        <f aca="false">CEILING(G8,Assumptions!$B$12)</f>
        <v>70600</v>
      </c>
      <c r="J8" s="18" t="n">
        <f aca="false">FLOOR(G8,Assumptions!$B$12)</f>
        <v>70500</v>
      </c>
      <c r="K8" s="18" t="n">
        <f aca="false">ROUNDUP(G8,Assumptions!$B$10)</f>
        <v>70551.15</v>
      </c>
      <c r="L8" s="18" t="n">
        <f aca="false">ROUNDDOWN(G8,Assumptions!$B$10)</f>
        <v>70551.15</v>
      </c>
      <c r="M8" s="19" t="n">
        <f aca="false">INT('Cohort Data'!E8/Assumptions!$B$11)</f>
        <v>2</v>
      </c>
    </row>
    <row r="9" customFormat="false" ht="15" hidden="false" customHeight="false" outlineLevel="0" collapsed="false">
      <c r="A9" s="2" t="s">
        <v>109</v>
      </c>
      <c r="B9" s="18" t="n">
        <f aca="false">IF('Cohort Data'!D9=Assumptions!$B$16,ROUND('Cohort Data'!L9*'Cohort Data'!J9*Assumptions!$F$4,Assumptions!$B$10),Assumptions!$B$13)</f>
        <v>51020.53</v>
      </c>
      <c r="C9" s="18" t="n">
        <f aca="false">IF('Cohort Data'!D9=Assumptions!$B$16,ROUND('Cohort Data'!E9*Assumptions!$B$6,Assumptions!$B$10),Assumptions!$B$13)</f>
        <v>5650</v>
      </c>
      <c r="D9" s="18" t="n">
        <f aca="false">SUM(B9:C9)</f>
        <v>56670.53</v>
      </c>
      <c r="E9" s="18" t="n">
        <f aca="false">ROUND(D9/Assumptions!$F$6,Assumptions!$B$10)</f>
        <v>55019.93</v>
      </c>
      <c r="F9" s="18" t="n">
        <f aca="false">ROUND(E9*Assumptions!$B$7,Assumptions!$B$10)</f>
        <v>2200.8</v>
      </c>
      <c r="G9" s="18" t="n">
        <f aca="false">SUM(E9:F9)</f>
        <v>57220.73</v>
      </c>
      <c r="H9" s="18" t="n">
        <f aca="false">ROUND(G9-'Cohort Data'!H9,Assumptions!$B$10)</f>
        <v>10503.82</v>
      </c>
      <c r="I9" s="18" t="n">
        <f aca="false">CEILING(G9,Assumptions!$B$12)</f>
        <v>57300</v>
      </c>
      <c r="J9" s="18" t="n">
        <f aca="false">FLOOR(G9,Assumptions!$B$12)</f>
        <v>57200</v>
      </c>
      <c r="K9" s="18" t="n">
        <f aca="false">ROUNDUP(G9,Assumptions!$B$10)</f>
        <v>57220.73</v>
      </c>
      <c r="L9" s="18" t="n">
        <f aca="false">ROUNDDOWN(G9,Assumptions!$B$10)</f>
        <v>57220.73</v>
      </c>
      <c r="M9" s="19" t="n">
        <f aca="false">INT('Cohort Data'!E9/Assumptions!$B$11)</f>
        <v>2</v>
      </c>
    </row>
    <row r="10" customFormat="false" ht="15" hidden="false" customHeight="false" outlineLevel="0" collapsed="false">
      <c r="A10" s="2" t="s">
        <v>110</v>
      </c>
      <c r="B10" s="18" t="n">
        <f aca="false">IF('Cohort Data'!D10=Assumptions!$B$16,ROUND('Cohort Data'!L10*'Cohort Data'!J10*Assumptions!$F$4,Assumptions!$B$10),Assumptions!$B$13)</f>
        <v>18682.25</v>
      </c>
      <c r="C10" s="18" t="n">
        <f aca="false">IF('Cohort Data'!D10=Assumptions!$B$16,ROUND('Cohort Data'!E10*Assumptions!$B$6,Assumptions!$B$10),Assumptions!$B$13)</f>
        <v>3225</v>
      </c>
      <c r="D10" s="18" t="n">
        <f aca="false">SUM(B10:C10)</f>
        <v>21907.25</v>
      </c>
      <c r="E10" s="18" t="n">
        <f aca="false">ROUND(D10/Assumptions!$F$6,Assumptions!$B$10)</f>
        <v>21269.17</v>
      </c>
      <c r="F10" s="18" t="n">
        <f aca="false">ROUND(E10*Assumptions!$B$7,Assumptions!$B$10)</f>
        <v>850.77</v>
      </c>
      <c r="G10" s="18" t="n">
        <f aca="false">SUM(E10:F10)</f>
        <v>22119.94</v>
      </c>
      <c r="H10" s="18" t="n">
        <f aca="false">ROUND(G10-'Cohort Data'!H10,Assumptions!$B$10)</f>
        <v>4881.41</v>
      </c>
      <c r="I10" s="18" t="n">
        <f aca="false">CEILING(G10,Assumptions!$B$12)</f>
        <v>22200</v>
      </c>
      <c r="J10" s="18" t="n">
        <f aca="false">FLOOR(G10,Assumptions!$B$12)</f>
        <v>22100</v>
      </c>
      <c r="K10" s="18" t="n">
        <f aca="false">ROUNDUP(G10,Assumptions!$B$10)</f>
        <v>22119.94</v>
      </c>
      <c r="L10" s="18" t="n">
        <f aca="false">ROUNDDOWN(G10,Assumptions!$B$10)</f>
        <v>22119.94</v>
      </c>
      <c r="M10" s="19" t="n">
        <f aca="false">INT('Cohort Data'!E10/Assumptions!$B$11)</f>
        <v>1</v>
      </c>
    </row>
    <row r="11" customFormat="false" ht="15" hidden="false" customHeight="false" outlineLevel="0" collapsed="false">
      <c r="A11" s="2" t="s">
        <v>111</v>
      </c>
      <c r="B11" s="18" t="n">
        <f aca="false">IF('Cohort Data'!D11=Assumptions!$B$16,ROUND('Cohort Data'!L11*'Cohort Data'!J11*Assumptions!$F$4,Assumptions!$B$10),Assumptions!$B$13)</f>
        <v>17559.21</v>
      </c>
      <c r="C11" s="18" t="n">
        <f aca="false">IF('Cohort Data'!D11=Assumptions!$B$16,ROUND('Cohort Data'!E11*Assumptions!$B$6,Assumptions!$B$10),Assumptions!$B$13)</f>
        <v>2850</v>
      </c>
      <c r="D11" s="18" t="n">
        <f aca="false">SUM(B11:C11)</f>
        <v>20409.21</v>
      </c>
      <c r="E11" s="18" t="n">
        <f aca="false">ROUND(D11/Assumptions!$F$6,Assumptions!$B$10)</f>
        <v>19814.77</v>
      </c>
      <c r="F11" s="18" t="n">
        <f aca="false">ROUND(E11*Assumptions!$B$7,Assumptions!$B$10)</f>
        <v>792.59</v>
      </c>
      <c r="G11" s="18" t="n">
        <f aca="false">SUM(E11:F11)</f>
        <v>20607.36</v>
      </c>
      <c r="H11" s="18" t="n">
        <f aca="false">ROUND(G11-'Cohort Data'!H11,Assumptions!$B$10)</f>
        <v>4551.14</v>
      </c>
      <c r="I11" s="18" t="n">
        <f aca="false">CEILING(G11,Assumptions!$B$12)</f>
        <v>20700</v>
      </c>
      <c r="J11" s="18" t="n">
        <f aca="false">FLOOR(G11,Assumptions!$B$12)</f>
        <v>20600</v>
      </c>
      <c r="K11" s="18" t="n">
        <f aca="false">ROUNDUP(G11,Assumptions!$B$10)</f>
        <v>20607.36</v>
      </c>
      <c r="L11" s="18" t="n">
        <f aca="false">ROUNDDOWN(G11,Assumptions!$B$10)</f>
        <v>20607.36</v>
      </c>
      <c r="M11" s="19" t="n">
        <f aca="false">INT('Cohort Data'!E11/Assumptions!$B$11)</f>
        <v>1</v>
      </c>
    </row>
    <row r="12" customFormat="false" ht="15" hidden="false" customHeight="false" outlineLevel="0" collapsed="false">
      <c r="A12" s="2" t="s">
        <v>112</v>
      </c>
      <c r="B12" s="18" t="n">
        <f aca="false">IF('Cohort Data'!D12=Assumptions!$B$16,ROUND('Cohort Data'!L12*'Cohort Data'!J12*Assumptions!$F$4,Assumptions!$B$10),Assumptions!$B$13)</f>
        <v>39904.06</v>
      </c>
      <c r="C12" s="18" t="n">
        <f aca="false">IF('Cohort Data'!D12=Assumptions!$B$16,ROUND('Cohort Data'!E12*Assumptions!$B$6,Assumptions!$B$10),Assumptions!$B$13)</f>
        <v>5825</v>
      </c>
      <c r="D12" s="18" t="n">
        <f aca="false">SUM(B12:C12)</f>
        <v>45729.06</v>
      </c>
      <c r="E12" s="18" t="n">
        <f aca="false">ROUND(D12/Assumptions!$F$6,Assumptions!$B$10)</f>
        <v>44397.15</v>
      </c>
      <c r="F12" s="18" t="n">
        <f aca="false">ROUND(E12*Assumptions!$B$7,Assumptions!$B$10)</f>
        <v>1775.89</v>
      </c>
      <c r="G12" s="18" t="n">
        <f aca="false">SUM(E12:F12)</f>
        <v>46173.04</v>
      </c>
      <c r="H12" s="18" t="n">
        <f aca="false">ROUND(G12-'Cohort Data'!H12,Assumptions!$B$10)</f>
        <v>11849.34</v>
      </c>
      <c r="I12" s="18" t="n">
        <f aca="false">CEILING(G12,Assumptions!$B$12)</f>
        <v>46200</v>
      </c>
      <c r="J12" s="18" t="n">
        <f aca="false">FLOOR(G12,Assumptions!$B$12)</f>
        <v>46100</v>
      </c>
      <c r="K12" s="18" t="n">
        <f aca="false">ROUNDUP(G12,Assumptions!$B$10)</f>
        <v>46173.04</v>
      </c>
      <c r="L12" s="18" t="n">
        <f aca="false">ROUNDDOWN(G12,Assumptions!$B$10)</f>
        <v>46173.04</v>
      </c>
      <c r="M12" s="19" t="n">
        <f aca="false">INT('Cohort Data'!E12/Assumptions!$B$11)</f>
        <v>2</v>
      </c>
    </row>
    <row r="13" customFormat="false" ht="15" hidden="false" customHeight="false" outlineLevel="0" collapsed="false">
      <c r="A13" s="2" t="s">
        <v>113</v>
      </c>
      <c r="B13" s="18" t="n">
        <f aca="false">IF('Cohort Data'!D13=Assumptions!$B$16,ROUND('Cohort Data'!L13*'Cohort Data'!J13*Assumptions!$F$4,Assumptions!$B$10),Assumptions!$B$13)</f>
        <v>10487.65</v>
      </c>
      <c r="C13" s="18" t="n">
        <f aca="false">IF('Cohort Data'!D13=Assumptions!$B$16,ROUND('Cohort Data'!E13*Assumptions!$B$6,Assumptions!$B$10),Assumptions!$B$13)</f>
        <v>1975</v>
      </c>
      <c r="D13" s="18" t="n">
        <f aca="false">SUM(B13:C13)</f>
        <v>12462.65</v>
      </c>
      <c r="E13" s="18" t="n">
        <f aca="false">ROUND(D13/Assumptions!$F$6,Assumptions!$B$10)</f>
        <v>12099.66</v>
      </c>
      <c r="F13" s="18" t="n">
        <f aca="false">ROUND(E13*Assumptions!$B$7,Assumptions!$B$10)</f>
        <v>483.99</v>
      </c>
      <c r="G13" s="18" t="n">
        <f aca="false">SUM(E13:F13)</f>
        <v>12583.65</v>
      </c>
      <c r="H13" s="18" t="n">
        <f aca="false">ROUND(G13-'Cohort Data'!H13,Assumptions!$B$10)</f>
        <v>3108.07</v>
      </c>
      <c r="I13" s="18" t="n">
        <f aca="false">CEILING(G13,Assumptions!$B$12)</f>
        <v>12600</v>
      </c>
      <c r="J13" s="18" t="n">
        <f aca="false">FLOOR(G13,Assumptions!$B$12)</f>
        <v>12500</v>
      </c>
      <c r="K13" s="18" t="n">
        <f aca="false">ROUNDUP(G13,Assumptions!$B$10)</f>
        <v>12583.65</v>
      </c>
      <c r="L13" s="18" t="n">
        <f aca="false">ROUNDDOWN(G13,Assumptions!$B$10)</f>
        <v>12583.65</v>
      </c>
      <c r="M13" s="19" t="n">
        <f aca="false">INT('Cohort Data'!E13/Assumptions!$B$11)</f>
        <v>0</v>
      </c>
    </row>
    <row r="14" customFormat="false" ht="15" hidden="false" customHeight="false" outlineLevel="0" collapsed="false">
      <c r="A14" s="2" t="s">
        <v>114</v>
      </c>
      <c r="B14" s="18" t="n">
        <f aca="false">IF('Cohort Data'!D14=Assumptions!$B$16,ROUND('Cohort Data'!L14*'Cohort Data'!J14*Assumptions!$F$4,Assumptions!$B$10),Assumptions!$B$13)</f>
        <v>46789.55</v>
      </c>
      <c r="C14" s="18" t="n">
        <f aca="false">IF('Cohort Data'!D14=Assumptions!$B$16,ROUND('Cohort Data'!E14*Assumptions!$B$6,Assumptions!$B$10),Assumptions!$B$13)</f>
        <v>4075</v>
      </c>
      <c r="D14" s="18" t="n">
        <f aca="false">SUM(B14:C14)</f>
        <v>50864.55</v>
      </c>
      <c r="E14" s="18" t="n">
        <f aca="false">ROUND(D14/Assumptions!$F$6,Assumptions!$B$10)</f>
        <v>49383.06</v>
      </c>
      <c r="F14" s="18" t="n">
        <f aca="false">ROUND(E14*Assumptions!$B$7,Assumptions!$B$10)</f>
        <v>1975.32</v>
      </c>
      <c r="G14" s="18" t="n">
        <f aca="false">SUM(E14:F14)</f>
        <v>51358.38</v>
      </c>
      <c r="H14" s="18" t="n">
        <f aca="false">ROUND(G14-'Cohort Data'!H14,Assumptions!$B$10)</f>
        <v>9455.97</v>
      </c>
      <c r="I14" s="18" t="n">
        <f aca="false">CEILING(G14,Assumptions!$B$12)</f>
        <v>51400</v>
      </c>
      <c r="J14" s="18" t="n">
        <f aca="false">FLOOR(G14,Assumptions!$B$12)</f>
        <v>51300</v>
      </c>
      <c r="K14" s="18" t="n">
        <f aca="false">ROUNDUP(G14,Assumptions!$B$10)</f>
        <v>51358.38</v>
      </c>
      <c r="L14" s="18" t="n">
        <f aca="false">ROUNDDOWN(G14,Assumptions!$B$10)</f>
        <v>51358.38</v>
      </c>
      <c r="M14" s="19" t="n">
        <f aca="false">INT('Cohort Data'!E14/Assumptions!$B$11)</f>
        <v>1</v>
      </c>
    </row>
    <row r="15" customFormat="false" ht="15" hidden="false" customHeight="false" outlineLevel="0" collapsed="false">
      <c r="A15" s="2" t="s">
        <v>115</v>
      </c>
      <c r="B15" s="18" t="n">
        <f aca="false">IF('Cohort Data'!D15=Assumptions!$B$16,ROUND('Cohort Data'!L15*'Cohort Data'!J15*Assumptions!$F$4,Assumptions!$B$10),Assumptions!$B$13)</f>
        <v>14323.74</v>
      </c>
      <c r="C15" s="18" t="n">
        <f aca="false">IF('Cohort Data'!D15=Assumptions!$B$16,ROUND('Cohort Data'!E15*Assumptions!$B$6,Assumptions!$B$10),Assumptions!$B$13)</f>
        <v>2300</v>
      </c>
      <c r="D15" s="18" t="n">
        <f aca="false">SUM(B15:C15)</f>
        <v>16623.74</v>
      </c>
      <c r="E15" s="18" t="n">
        <f aca="false">ROUND(D15/Assumptions!$F$6,Assumptions!$B$10)</f>
        <v>16139.55</v>
      </c>
      <c r="F15" s="18" t="n">
        <f aca="false">ROUND(E15*Assumptions!$B$7,Assumptions!$B$10)</f>
        <v>645.58</v>
      </c>
      <c r="G15" s="18" t="n">
        <f aca="false">SUM(E15:F15)</f>
        <v>16785.13</v>
      </c>
      <c r="H15" s="18" t="n">
        <f aca="false">ROUND(G15-'Cohort Data'!H15,Assumptions!$B$10)</f>
        <v>4464.49</v>
      </c>
      <c r="I15" s="18" t="n">
        <f aca="false">CEILING(G15,Assumptions!$B$12)</f>
        <v>16800</v>
      </c>
      <c r="J15" s="18" t="n">
        <f aca="false">FLOOR(G15,Assumptions!$B$12)</f>
        <v>16700</v>
      </c>
      <c r="K15" s="18" t="n">
        <f aca="false">ROUNDUP(G15,Assumptions!$B$10)</f>
        <v>16785.13</v>
      </c>
      <c r="L15" s="18" t="n">
        <f aca="false">ROUNDDOWN(G15,Assumptions!$B$10)</f>
        <v>16785.13</v>
      </c>
      <c r="M15" s="19" t="n">
        <f aca="false">INT('Cohort Data'!E15/Assumptions!$B$11)</f>
        <v>0</v>
      </c>
    </row>
    <row r="16" customFormat="false" ht="15" hidden="false" customHeight="false" outlineLevel="0" collapsed="false">
      <c r="A16" s="2" t="s">
        <v>116</v>
      </c>
      <c r="B16" s="18" t="n">
        <f aca="false">IF('Cohort Data'!D16=Assumptions!$B$16,ROUND('Cohort Data'!L16*'Cohort Data'!J16*Assumptions!$F$4,Assumptions!$B$10),Assumptions!$B$13)</f>
        <v>11616.07</v>
      </c>
      <c r="C16" s="18" t="n">
        <f aca="false">IF('Cohort Data'!D16=Assumptions!$B$16,ROUND('Cohort Data'!E16*Assumptions!$B$6,Assumptions!$B$10),Assumptions!$B$13)</f>
        <v>1925</v>
      </c>
      <c r="D16" s="18" t="n">
        <f aca="false">SUM(B16:C16)</f>
        <v>13541.07</v>
      </c>
      <c r="E16" s="18" t="n">
        <f aca="false">ROUND(D16/Assumptions!$F$6,Assumptions!$B$10)</f>
        <v>13146.67</v>
      </c>
      <c r="F16" s="18" t="n">
        <f aca="false">ROUND(E16*Assumptions!$B$7,Assumptions!$B$10)</f>
        <v>525.87</v>
      </c>
      <c r="G16" s="18" t="n">
        <f aca="false">SUM(E16:F16)</f>
        <v>13672.54</v>
      </c>
      <c r="H16" s="18" t="n">
        <f aca="false">ROUND(G16-'Cohort Data'!H16,Assumptions!$B$10)</f>
        <v>3289.09</v>
      </c>
      <c r="I16" s="18" t="n">
        <f aca="false">CEILING(G16,Assumptions!$B$12)</f>
        <v>13700</v>
      </c>
      <c r="J16" s="18" t="n">
        <f aca="false">FLOOR(G16,Assumptions!$B$12)</f>
        <v>13600</v>
      </c>
      <c r="K16" s="18" t="n">
        <f aca="false">ROUNDUP(G16,Assumptions!$B$10)</f>
        <v>13672.54</v>
      </c>
      <c r="L16" s="18" t="n">
        <f aca="false">ROUNDDOWN(G16,Assumptions!$B$10)</f>
        <v>13672.54</v>
      </c>
      <c r="M16" s="19" t="n">
        <f aca="false">INT('Cohort Data'!E16/Assumptions!$B$11)</f>
        <v>0</v>
      </c>
    </row>
    <row r="17" customFormat="false" ht="15" hidden="false" customHeight="false" outlineLevel="0" collapsed="false">
      <c r="A17" s="2" t="s">
        <v>117</v>
      </c>
      <c r="B17" s="18" t="n">
        <f aca="false">IF('Cohort Data'!D17=Assumptions!$B$16,ROUND('Cohort Data'!L17*'Cohort Data'!J17*Assumptions!$F$4,Assumptions!$B$10),Assumptions!$B$13)</f>
        <v>21759.98</v>
      </c>
      <c r="C17" s="18" t="n">
        <f aca="false">IF('Cohort Data'!D17=Assumptions!$B$16,ROUND('Cohort Data'!E17*Assumptions!$B$6,Assumptions!$B$10),Assumptions!$B$13)</f>
        <v>2775</v>
      </c>
      <c r="D17" s="18" t="n">
        <f aca="false">SUM(B17:C17)</f>
        <v>24534.98</v>
      </c>
      <c r="E17" s="18" t="n">
        <f aca="false">ROUND(D17/Assumptions!$F$6,Assumptions!$B$10)</f>
        <v>23820.37</v>
      </c>
      <c r="F17" s="18" t="n">
        <f aca="false">ROUND(E17*Assumptions!$B$7,Assumptions!$B$10)</f>
        <v>952.81</v>
      </c>
      <c r="G17" s="18" t="n">
        <f aca="false">SUM(E17:F17)</f>
        <v>24773.18</v>
      </c>
      <c r="H17" s="18" t="n">
        <f aca="false">ROUND(G17-'Cohort Data'!H17,Assumptions!$B$10)</f>
        <v>5080.89</v>
      </c>
      <c r="I17" s="18" t="n">
        <f aca="false">CEILING(G17,Assumptions!$B$12)</f>
        <v>24800</v>
      </c>
      <c r="J17" s="18" t="n">
        <f aca="false">FLOOR(G17,Assumptions!$B$12)</f>
        <v>24700</v>
      </c>
      <c r="K17" s="18" t="n">
        <f aca="false">ROUNDUP(G17,Assumptions!$B$10)</f>
        <v>24773.18</v>
      </c>
      <c r="L17" s="18" t="n">
        <f aca="false">ROUNDDOWN(G17,Assumptions!$B$10)</f>
        <v>24773.18</v>
      </c>
      <c r="M17" s="19" t="n">
        <f aca="false">INT('Cohort Data'!E17/Assumptions!$B$11)</f>
        <v>1</v>
      </c>
    </row>
    <row r="18" customFormat="false" ht="15" hidden="false" customHeight="false" outlineLevel="0" collapsed="false">
      <c r="A18" s="2" t="s">
        <v>118</v>
      </c>
      <c r="B18" s="18" t="n">
        <f aca="false">IF('Cohort Data'!D18=Assumptions!$B$16,ROUND('Cohort Data'!L18*'Cohort Data'!J18*Assumptions!$F$4,Assumptions!$B$10),Assumptions!$B$13)</f>
        <v>21758.07</v>
      </c>
      <c r="C18" s="18" t="n">
        <f aca="false">IF('Cohort Data'!D18=Assumptions!$B$16,ROUND('Cohort Data'!E18*Assumptions!$B$6,Assumptions!$B$10),Assumptions!$B$13)</f>
        <v>1625</v>
      </c>
      <c r="D18" s="18" t="n">
        <f aca="false">SUM(B18:C18)</f>
        <v>23383.07</v>
      </c>
      <c r="E18" s="18" t="n">
        <f aca="false">ROUND(D18/Assumptions!$F$6,Assumptions!$B$10)</f>
        <v>22702.01</v>
      </c>
      <c r="F18" s="18" t="n">
        <f aca="false">ROUND(E18*Assumptions!$B$7,Assumptions!$B$10)</f>
        <v>908.08</v>
      </c>
      <c r="G18" s="18" t="n">
        <f aca="false">SUM(E18:F18)</f>
        <v>23610.09</v>
      </c>
      <c r="H18" s="18" t="n">
        <f aca="false">ROUND(G18-'Cohort Data'!H18,Assumptions!$B$10)</f>
        <v>3888.57</v>
      </c>
      <c r="I18" s="18" t="n">
        <f aca="false">CEILING(G18,Assumptions!$B$12)</f>
        <v>23700</v>
      </c>
      <c r="J18" s="18" t="n">
        <f aca="false">FLOOR(G18,Assumptions!$B$12)</f>
        <v>23600</v>
      </c>
      <c r="K18" s="18" t="n">
        <f aca="false">ROUNDUP(G18,Assumptions!$B$10)</f>
        <v>23610.09</v>
      </c>
      <c r="L18" s="18" t="n">
        <f aca="false">ROUNDDOWN(G18,Assumptions!$B$10)</f>
        <v>23610.09</v>
      </c>
      <c r="M18" s="19" t="n">
        <f aca="false">INT('Cohort Data'!E18/Assumptions!$B$11)</f>
        <v>0</v>
      </c>
    </row>
    <row r="19" customFormat="false" ht="15" hidden="false" customHeight="false" outlineLevel="0" collapsed="false">
      <c r="A19" s="2" t="s">
        <v>119</v>
      </c>
      <c r="B19" s="18" t="n">
        <f aca="false">IF('Cohort Data'!D19=Assumptions!$B$16,ROUND('Cohort Data'!L19*'Cohort Data'!J19*Assumptions!$F$4,Assumptions!$B$10),Assumptions!$B$13)</f>
        <v>16196.11</v>
      </c>
      <c r="C19" s="18" t="n">
        <f aca="false">IF('Cohort Data'!D19=Assumptions!$B$16,ROUND('Cohort Data'!E19*Assumptions!$B$6,Assumptions!$B$10),Assumptions!$B$13)</f>
        <v>3050</v>
      </c>
      <c r="D19" s="18" t="n">
        <f aca="false">SUM(B19:C19)</f>
        <v>19246.11</v>
      </c>
      <c r="E19" s="18" t="n">
        <f aca="false">ROUND(D19/Assumptions!$F$6,Assumptions!$B$10)</f>
        <v>18685.54</v>
      </c>
      <c r="F19" s="18" t="n">
        <f aca="false">ROUND(E19*Assumptions!$B$7,Assumptions!$B$10)</f>
        <v>747.42</v>
      </c>
      <c r="G19" s="18" t="n">
        <f aca="false">SUM(E19:F19)</f>
        <v>19432.96</v>
      </c>
      <c r="H19" s="18" t="n">
        <f aca="false">ROUND(G19-'Cohort Data'!H19,Assumptions!$B$10)</f>
        <v>3865.76</v>
      </c>
      <c r="I19" s="18" t="n">
        <f aca="false">CEILING(G19,Assumptions!$B$12)</f>
        <v>19500</v>
      </c>
      <c r="J19" s="18" t="n">
        <f aca="false">FLOOR(G19,Assumptions!$B$12)</f>
        <v>19400</v>
      </c>
      <c r="K19" s="18" t="n">
        <f aca="false">ROUNDUP(G19,Assumptions!$B$10)</f>
        <v>19432.96</v>
      </c>
      <c r="L19" s="18" t="n">
        <f aca="false">ROUNDDOWN(G19,Assumptions!$B$10)</f>
        <v>19432.96</v>
      </c>
      <c r="M19" s="19" t="n">
        <f aca="false">INT('Cohort Data'!E19/Assumptions!$B$11)</f>
        <v>1</v>
      </c>
    </row>
    <row r="20" customFormat="false" ht="15" hidden="false" customHeight="false" outlineLevel="0" collapsed="false">
      <c r="A20" s="2" t="s">
        <v>120</v>
      </c>
      <c r="B20" s="18" t="n">
        <f aca="false">IF('Cohort Data'!D20=Assumptions!$B$16,ROUND('Cohort Data'!L20*'Cohort Data'!J20*Assumptions!$F$4,Assumptions!$B$10),Assumptions!$B$13)</f>
        <v>27669.06</v>
      </c>
      <c r="C20" s="18" t="n">
        <f aca="false">IF('Cohort Data'!D20=Assumptions!$B$16,ROUND('Cohort Data'!E20*Assumptions!$B$6,Assumptions!$B$10),Assumptions!$B$13)</f>
        <v>3800</v>
      </c>
      <c r="D20" s="18" t="n">
        <f aca="false">SUM(B20:C20)</f>
        <v>31469.06</v>
      </c>
      <c r="E20" s="18" t="n">
        <f aca="false">ROUND(D20/Assumptions!$F$6,Assumptions!$B$10)</f>
        <v>30552.49</v>
      </c>
      <c r="F20" s="18" t="n">
        <f aca="false">ROUND(E20*Assumptions!$B$7,Assumptions!$B$10)</f>
        <v>1222.1</v>
      </c>
      <c r="G20" s="18" t="n">
        <f aca="false">SUM(E20:F20)</f>
        <v>31774.59</v>
      </c>
      <c r="H20" s="18" t="n">
        <f aca="false">ROUND(G20-'Cohort Data'!H20,Assumptions!$B$10)</f>
        <v>8299.71</v>
      </c>
      <c r="I20" s="18" t="n">
        <f aca="false">CEILING(G20,Assumptions!$B$12)</f>
        <v>31800</v>
      </c>
      <c r="J20" s="18" t="n">
        <f aca="false">FLOOR(G20,Assumptions!$B$12)</f>
        <v>31700</v>
      </c>
      <c r="K20" s="18" t="n">
        <f aca="false">ROUNDUP(G20,Assumptions!$B$10)</f>
        <v>31774.59</v>
      </c>
      <c r="L20" s="18" t="n">
        <f aca="false">ROUNDDOWN(G20,Assumptions!$B$10)</f>
        <v>31774.59</v>
      </c>
      <c r="M20" s="19" t="n">
        <f aca="false">INT('Cohort Data'!E20/Assumptions!$B$11)</f>
        <v>1</v>
      </c>
    </row>
    <row r="21" customFormat="false" ht="15" hidden="false" customHeight="false" outlineLevel="0" collapsed="false">
      <c r="A21" s="2" t="s">
        <v>121</v>
      </c>
      <c r="B21" s="18" t="n">
        <f aca="false">IF('Cohort Data'!D21=Assumptions!$B$16,ROUND('Cohort Data'!L21*'Cohort Data'!J21*Assumptions!$F$4,Assumptions!$B$10),Assumptions!$B$13)</f>
        <v>57544.06</v>
      </c>
      <c r="C21" s="18" t="n">
        <f aca="false">IF('Cohort Data'!D21=Assumptions!$B$16,ROUND('Cohort Data'!E21*Assumptions!$B$6,Assumptions!$B$10),Assumptions!$B$13)</f>
        <v>3850</v>
      </c>
      <c r="D21" s="18" t="n">
        <f aca="false">SUM(B21:C21)</f>
        <v>61394.06</v>
      </c>
      <c r="E21" s="18" t="n">
        <f aca="false">ROUND(D21/Assumptions!$F$6,Assumptions!$B$10)</f>
        <v>59605.88</v>
      </c>
      <c r="F21" s="18" t="n">
        <f aca="false">ROUND(E21*Assumptions!$B$7,Assumptions!$B$10)</f>
        <v>2384.24</v>
      </c>
      <c r="G21" s="18" t="n">
        <f aca="false">SUM(E21:F21)</f>
        <v>61990.12</v>
      </c>
      <c r="H21" s="18" t="n">
        <f aca="false">ROUND(G21-'Cohort Data'!H21,Assumptions!$B$10)</f>
        <v>9832.17</v>
      </c>
      <c r="I21" s="18" t="n">
        <f aca="false">CEILING(G21,Assumptions!$B$12)</f>
        <v>62000</v>
      </c>
      <c r="J21" s="18" t="n">
        <f aca="false">FLOOR(G21,Assumptions!$B$12)</f>
        <v>61900</v>
      </c>
      <c r="K21" s="18" t="n">
        <f aca="false">ROUNDUP(G21,Assumptions!$B$10)</f>
        <v>61990.12</v>
      </c>
      <c r="L21" s="18" t="n">
        <f aca="false">ROUNDDOWN(G21,Assumptions!$B$10)</f>
        <v>61990.11</v>
      </c>
      <c r="M21" s="19" t="n">
        <f aca="false">INT('Cohort Data'!E21/Assumptions!$B$11)</f>
        <v>1</v>
      </c>
    </row>
    <row r="22" customFormat="false" ht="15" hidden="false" customHeight="false" outlineLevel="0" collapsed="false">
      <c r="A22" s="2" t="s">
        <v>122</v>
      </c>
      <c r="B22" s="18" t="n">
        <f aca="false">IF('Cohort Data'!D22=Assumptions!$B$16,ROUND('Cohort Data'!L22*'Cohort Data'!J22*Assumptions!$F$4,Assumptions!$B$10),Assumptions!$B$13)</f>
        <v>0</v>
      </c>
      <c r="C22" s="18" t="n">
        <f aca="false">IF('Cohort Data'!D22=Assumptions!$B$16,ROUND('Cohort Data'!E22*Assumptions!$B$6,Assumptions!$B$10),Assumptions!$B$13)</f>
        <v>0</v>
      </c>
      <c r="D22" s="18" t="n">
        <f aca="false">SUM(B22:C22)</f>
        <v>0</v>
      </c>
      <c r="E22" s="18" t="n">
        <f aca="false">ROUND(D22/Assumptions!$F$6,Assumptions!$B$10)</f>
        <v>0</v>
      </c>
      <c r="F22" s="18" t="n">
        <f aca="false">ROUND(E22*Assumptions!$B$7,Assumptions!$B$10)</f>
        <v>0</v>
      </c>
      <c r="G22" s="18" t="n">
        <f aca="false">SUM(E22:F22)</f>
        <v>0</v>
      </c>
      <c r="H22" s="18" t="n">
        <f aca="false">ROUND(G22-'Cohort Data'!H22,Assumptions!$B$10)</f>
        <v>-38076.25</v>
      </c>
      <c r="I22" s="18" t="n">
        <f aca="false">CEILING(G22,Assumptions!$B$12)</f>
        <v>0</v>
      </c>
      <c r="J22" s="18" t="n">
        <f aca="false">FLOOR(G22,Assumptions!$B$12)</f>
        <v>0</v>
      </c>
      <c r="K22" s="18" t="n">
        <f aca="false">ROUNDUP(G22,Assumptions!$B$10)</f>
        <v>0</v>
      </c>
      <c r="L22" s="18" t="n">
        <f aca="false">ROUNDDOWN(G22,Assumptions!$B$10)</f>
        <v>0</v>
      </c>
      <c r="M22" s="19" t="n">
        <f aca="false">INT('Cohort Data'!E22/Assumptions!$B$11)</f>
        <v>1</v>
      </c>
    </row>
    <row r="23" customFormat="false" ht="15" hidden="false" customHeight="false" outlineLevel="0" collapsed="false">
      <c r="A23" s="2" t="s">
        <v>123</v>
      </c>
      <c r="B23" s="18" t="n">
        <f aca="false">IF('Cohort Data'!D23=Assumptions!$B$16,ROUND('Cohort Data'!L23*'Cohort Data'!J23*Assumptions!$F$4,Assumptions!$B$10),Assumptions!$B$13)</f>
        <v>34313.27</v>
      </c>
      <c r="C23" s="18" t="n">
        <f aca="false">IF('Cohort Data'!D23=Assumptions!$B$16,ROUND('Cohort Data'!E23*Assumptions!$B$6,Assumptions!$B$10),Assumptions!$B$13)</f>
        <v>4225</v>
      </c>
      <c r="D23" s="18" t="n">
        <f aca="false">SUM(B23:C23)</f>
        <v>38538.27</v>
      </c>
      <c r="E23" s="18" t="n">
        <f aca="false">ROUND(D23/Assumptions!$F$6,Assumptions!$B$10)</f>
        <v>37415.8</v>
      </c>
      <c r="F23" s="18" t="n">
        <f aca="false">ROUND(E23*Assumptions!$B$7,Assumptions!$B$10)</f>
        <v>1496.63</v>
      </c>
      <c r="G23" s="18" t="n">
        <f aca="false">SUM(E23:F23)</f>
        <v>38912.43</v>
      </c>
      <c r="H23" s="18" t="n">
        <f aca="false">ROUND(G23-'Cohort Data'!H23,Assumptions!$B$10)</f>
        <v>6565.83</v>
      </c>
      <c r="I23" s="18" t="n">
        <f aca="false">CEILING(G23,Assumptions!$B$12)</f>
        <v>39000</v>
      </c>
      <c r="J23" s="18" t="n">
        <f aca="false">FLOOR(G23,Assumptions!$B$12)</f>
        <v>38900</v>
      </c>
      <c r="K23" s="18" t="n">
        <f aca="false">ROUNDUP(G23,Assumptions!$B$10)</f>
        <v>38912.43</v>
      </c>
      <c r="L23" s="18" t="n">
        <f aca="false">ROUNDDOWN(G23,Assumptions!$B$10)</f>
        <v>38912.43</v>
      </c>
      <c r="M23" s="19" t="n">
        <f aca="false">INT('Cohort Data'!E23/Assumptions!$B$11)</f>
        <v>1</v>
      </c>
    </row>
    <row r="24" customFormat="false" ht="15" hidden="false" customHeight="false" outlineLevel="0" collapsed="false">
      <c r="A24" s="2" t="s">
        <v>124</v>
      </c>
      <c r="B24" s="18" t="n">
        <f aca="false">IF('Cohort Data'!D24=Assumptions!$B$16,ROUND('Cohort Data'!L24*'Cohort Data'!J24*Assumptions!$F$4,Assumptions!$B$10),Assumptions!$B$13)</f>
        <v>68037.75</v>
      </c>
      <c r="C24" s="18" t="n">
        <f aca="false">IF('Cohort Data'!D24=Assumptions!$B$16,ROUND('Cohort Data'!E24*Assumptions!$B$6,Assumptions!$B$10),Assumptions!$B$13)</f>
        <v>5750</v>
      </c>
      <c r="D24" s="18" t="n">
        <f aca="false">SUM(B24:C24)</f>
        <v>73787.75</v>
      </c>
      <c r="E24" s="18" t="n">
        <f aca="false">ROUND(D24/Assumptions!$F$6,Assumptions!$B$10)</f>
        <v>71638.59</v>
      </c>
      <c r="F24" s="18" t="n">
        <f aca="false">ROUND(E24*Assumptions!$B$7,Assumptions!$B$10)</f>
        <v>2865.54</v>
      </c>
      <c r="G24" s="18" t="n">
        <f aca="false">SUM(E24:F24)</f>
        <v>74504.13</v>
      </c>
      <c r="H24" s="18" t="n">
        <f aca="false">ROUND(G24-'Cohort Data'!H24,Assumptions!$B$10)</f>
        <v>14722.53</v>
      </c>
      <c r="I24" s="18" t="n">
        <f aca="false">CEILING(G24,Assumptions!$B$12)</f>
        <v>74600</v>
      </c>
      <c r="J24" s="18" t="n">
        <f aca="false">FLOOR(G24,Assumptions!$B$12)</f>
        <v>74500</v>
      </c>
      <c r="K24" s="18" t="n">
        <f aca="false">ROUNDUP(G24,Assumptions!$B$10)</f>
        <v>74504.13</v>
      </c>
      <c r="L24" s="18" t="n">
        <f aca="false">ROUNDDOWN(G24,Assumptions!$B$10)</f>
        <v>74504.12</v>
      </c>
      <c r="M24" s="19" t="n">
        <f aca="false">INT('Cohort Data'!E24/Assumptions!$B$11)</f>
        <v>2</v>
      </c>
    </row>
    <row r="25" customFormat="false" ht="15" hidden="false" customHeight="false" outlineLevel="0" collapsed="false">
      <c r="A25" s="2" t="s">
        <v>125</v>
      </c>
      <c r="B25" s="18" t="n">
        <f aca="false">IF('Cohort Data'!D25=Assumptions!$B$16,ROUND('Cohort Data'!L25*'Cohort Data'!J25*Assumptions!$F$4,Assumptions!$B$10),Assumptions!$B$13)</f>
        <v>13559.12</v>
      </c>
      <c r="C25" s="18" t="n">
        <f aca="false">IF('Cohort Data'!D25=Assumptions!$B$16,ROUND('Cohort Data'!E25*Assumptions!$B$6,Assumptions!$B$10),Assumptions!$B$13)</f>
        <v>2675</v>
      </c>
      <c r="D25" s="18" t="n">
        <f aca="false">SUM(B25:C25)</f>
        <v>16234.12</v>
      </c>
      <c r="E25" s="18" t="n">
        <f aca="false">ROUND(D25/Assumptions!$F$6,Assumptions!$B$10)</f>
        <v>15761.28</v>
      </c>
      <c r="F25" s="18" t="n">
        <f aca="false">ROUND(E25*Assumptions!$B$7,Assumptions!$B$10)</f>
        <v>630.45</v>
      </c>
      <c r="G25" s="18" t="n">
        <f aca="false">SUM(E25:F25)</f>
        <v>16391.73</v>
      </c>
      <c r="H25" s="18" t="n">
        <f aca="false">ROUND(G25-'Cohort Data'!H25,Assumptions!$B$10)</f>
        <v>3489.46</v>
      </c>
      <c r="I25" s="18" t="n">
        <f aca="false">CEILING(G25,Assumptions!$B$12)</f>
        <v>16400</v>
      </c>
      <c r="J25" s="18" t="n">
        <f aca="false">FLOOR(G25,Assumptions!$B$12)</f>
        <v>16300</v>
      </c>
      <c r="K25" s="18" t="n">
        <f aca="false">ROUNDUP(G25,Assumptions!$B$10)</f>
        <v>16391.73</v>
      </c>
      <c r="L25" s="18" t="n">
        <f aca="false">ROUNDDOWN(G25,Assumptions!$B$10)</f>
        <v>16391.73</v>
      </c>
      <c r="M25" s="19" t="n">
        <f aca="false">INT('Cohort Data'!E25/Assumptions!$B$11)</f>
        <v>1</v>
      </c>
    </row>
    <row r="26" customFormat="false" ht="15" hidden="false" customHeight="false" outlineLevel="0" collapsed="false">
      <c r="A26" s="2" t="s">
        <v>126</v>
      </c>
      <c r="B26" s="18" t="n">
        <f aca="false">IF('Cohort Data'!D26=Assumptions!$B$16,ROUND('Cohort Data'!L26*'Cohort Data'!J26*Assumptions!$F$4,Assumptions!$B$10),Assumptions!$B$13)</f>
        <v>20933.83</v>
      </c>
      <c r="C26" s="18" t="n">
        <f aca="false">IF('Cohort Data'!D26=Assumptions!$B$16,ROUND('Cohort Data'!E26*Assumptions!$B$6,Assumptions!$B$10),Assumptions!$B$13)</f>
        <v>2875</v>
      </c>
      <c r="D26" s="18" t="n">
        <f aca="false">SUM(B26:C26)</f>
        <v>23808.83</v>
      </c>
      <c r="E26" s="18" t="n">
        <f aca="false">ROUND(D26/Assumptions!$F$6,Assumptions!$B$10)</f>
        <v>23115.37</v>
      </c>
      <c r="F26" s="18" t="n">
        <f aca="false">ROUND(E26*Assumptions!$B$7,Assumptions!$B$10)</f>
        <v>924.61</v>
      </c>
      <c r="G26" s="18" t="n">
        <f aca="false">SUM(E26:F26)</f>
        <v>24039.98</v>
      </c>
      <c r="H26" s="18" t="n">
        <f aca="false">ROUND(G26-'Cohort Data'!H26,Assumptions!$B$10)</f>
        <v>6082.04</v>
      </c>
      <c r="I26" s="18" t="n">
        <f aca="false">CEILING(G26,Assumptions!$B$12)</f>
        <v>24100</v>
      </c>
      <c r="J26" s="18" t="n">
        <f aca="false">FLOOR(G26,Assumptions!$B$12)</f>
        <v>24000</v>
      </c>
      <c r="K26" s="18" t="n">
        <f aca="false">ROUNDUP(G26,Assumptions!$B$10)</f>
        <v>24039.98</v>
      </c>
      <c r="L26" s="18" t="n">
        <f aca="false">ROUNDDOWN(G26,Assumptions!$B$10)</f>
        <v>24039.98</v>
      </c>
      <c r="M26" s="19" t="n">
        <f aca="false">INT('Cohort Data'!E26/Assumptions!$B$11)</f>
        <v>1</v>
      </c>
    </row>
    <row r="27" customFormat="false" ht="15" hidden="false" customHeight="false" outlineLevel="0" collapsed="false">
      <c r="A27" s="2" t="s">
        <v>127</v>
      </c>
      <c r="B27" s="18" t="n">
        <f aca="false">IF('Cohort Data'!D27=Assumptions!$B$16,ROUND('Cohort Data'!L27*'Cohort Data'!J27*Assumptions!$F$4,Assumptions!$B$10),Assumptions!$B$13)</f>
        <v>51176.22</v>
      </c>
      <c r="C27" s="18" t="n">
        <f aca="false">IF('Cohort Data'!D27=Assumptions!$B$16,ROUND('Cohort Data'!E27*Assumptions!$B$6,Assumptions!$B$10),Assumptions!$B$13)</f>
        <v>4325</v>
      </c>
      <c r="D27" s="18" t="n">
        <f aca="false">SUM(B27:C27)</f>
        <v>55501.22</v>
      </c>
      <c r="E27" s="18" t="n">
        <f aca="false">ROUND(D27/Assumptions!$F$6,Assumptions!$B$10)</f>
        <v>53884.68</v>
      </c>
      <c r="F27" s="18" t="n">
        <f aca="false">ROUND(E27*Assumptions!$B$7,Assumptions!$B$10)</f>
        <v>2155.39</v>
      </c>
      <c r="G27" s="18" t="n">
        <f aca="false">SUM(E27:F27)</f>
        <v>56040.07</v>
      </c>
      <c r="H27" s="18" t="n">
        <f aca="false">ROUND(G27-'Cohort Data'!H27,Assumptions!$B$10)</f>
        <v>9180.6</v>
      </c>
      <c r="I27" s="18" t="n">
        <f aca="false">CEILING(G27,Assumptions!$B$12)</f>
        <v>56100</v>
      </c>
      <c r="J27" s="18" t="n">
        <f aca="false">FLOOR(G27,Assumptions!$B$12)</f>
        <v>56000</v>
      </c>
      <c r="K27" s="18" t="n">
        <f aca="false">ROUNDUP(G27,Assumptions!$B$10)</f>
        <v>56040.07</v>
      </c>
      <c r="L27" s="18" t="n">
        <f aca="false">ROUNDDOWN(G27,Assumptions!$B$10)</f>
        <v>56040.07</v>
      </c>
      <c r="M27" s="19" t="n">
        <f aca="false">INT('Cohort Data'!E27/Assumptions!$B$11)</f>
        <v>1</v>
      </c>
    </row>
    <row r="28" customFormat="false" ht="15" hidden="false" customHeight="false" outlineLevel="0" collapsed="false">
      <c r="A28" s="2" t="s">
        <v>128</v>
      </c>
      <c r="B28" s="18" t="n">
        <f aca="false">IF('Cohort Data'!D28=Assumptions!$B$16,ROUND('Cohort Data'!L28*'Cohort Data'!J28*Assumptions!$F$4,Assumptions!$B$10),Assumptions!$B$13)</f>
        <v>39301.53</v>
      </c>
      <c r="C28" s="18" t="n">
        <f aca="false">IF('Cohort Data'!D28=Assumptions!$B$16,ROUND('Cohort Data'!E28*Assumptions!$B$6,Assumptions!$B$10),Assumptions!$B$13)</f>
        <v>4175</v>
      </c>
      <c r="D28" s="18" t="n">
        <f aca="false">SUM(B28:C28)</f>
        <v>43476.53</v>
      </c>
      <c r="E28" s="18" t="n">
        <f aca="false">ROUND(D28/Assumptions!$F$6,Assumptions!$B$10)</f>
        <v>42210.22</v>
      </c>
      <c r="F28" s="18" t="n">
        <f aca="false">ROUND(E28*Assumptions!$B$7,Assumptions!$B$10)</f>
        <v>1688.41</v>
      </c>
      <c r="G28" s="18" t="n">
        <f aca="false">SUM(E28:F28)</f>
        <v>43898.63</v>
      </c>
      <c r="H28" s="18" t="n">
        <f aca="false">ROUND(G28-'Cohort Data'!H28,Assumptions!$B$10)</f>
        <v>9145.26</v>
      </c>
      <c r="I28" s="18" t="n">
        <f aca="false">CEILING(G28,Assumptions!$B$12)</f>
        <v>43900</v>
      </c>
      <c r="J28" s="18" t="n">
        <f aca="false">FLOOR(G28,Assumptions!$B$12)</f>
        <v>43800</v>
      </c>
      <c r="K28" s="18" t="n">
        <f aca="false">ROUNDUP(G28,Assumptions!$B$10)</f>
        <v>43898.64</v>
      </c>
      <c r="L28" s="18" t="n">
        <f aca="false">ROUNDDOWN(G28,Assumptions!$B$10)</f>
        <v>43898.63</v>
      </c>
      <c r="M28" s="19" t="n">
        <f aca="false">INT('Cohort Data'!E28/Assumptions!$B$11)</f>
        <v>1</v>
      </c>
    </row>
    <row r="29" customFormat="false" ht="15" hidden="false" customHeight="false" outlineLevel="0" collapsed="false">
      <c r="A29" s="2" t="s">
        <v>129</v>
      </c>
      <c r="B29" s="18" t="n">
        <f aca="false">IF('Cohort Data'!D29=Assumptions!$B$16,ROUND('Cohort Data'!L29*'Cohort Data'!J29*Assumptions!$F$4,Assumptions!$B$10),Assumptions!$B$13)</f>
        <v>34481.3</v>
      </c>
      <c r="C29" s="18" t="n">
        <f aca="false">IF('Cohort Data'!D29=Assumptions!$B$16,ROUND('Cohort Data'!E29*Assumptions!$B$6,Assumptions!$B$10),Assumptions!$B$13)</f>
        <v>4925</v>
      </c>
      <c r="D29" s="18" t="n">
        <f aca="false">SUM(B29:C29)</f>
        <v>39406.3</v>
      </c>
      <c r="E29" s="18" t="n">
        <f aca="false">ROUND(D29/Assumptions!$F$6,Assumptions!$B$10)</f>
        <v>38258.54</v>
      </c>
      <c r="F29" s="18" t="n">
        <f aca="false">ROUND(E29*Assumptions!$B$7,Assumptions!$B$10)</f>
        <v>1530.34</v>
      </c>
      <c r="G29" s="18" t="n">
        <f aca="false">SUM(E29:F29)</f>
        <v>39788.88</v>
      </c>
      <c r="H29" s="18" t="n">
        <f aca="false">ROUND(G29-'Cohort Data'!H29,Assumptions!$B$10)</f>
        <v>8584.08</v>
      </c>
      <c r="I29" s="18" t="n">
        <f aca="false">CEILING(G29,Assumptions!$B$12)</f>
        <v>39800</v>
      </c>
      <c r="J29" s="18" t="n">
        <f aca="false">FLOOR(G29,Assumptions!$B$12)</f>
        <v>39700</v>
      </c>
      <c r="K29" s="18" t="n">
        <f aca="false">ROUNDUP(G29,Assumptions!$B$10)</f>
        <v>39788.88</v>
      </c>
      <c r="L29" s="18" t="n">
        <f aca="false">ROUNDDOWN(G29,Assumptions!$B$10)</f>
        <v>39788.88</v>
      </c>
      <c r="M29" s="19" t="n">
        <f aca="false">INT('Cohort Data'!E29/Assumptions!$B$11)</f>
        <v>1</v>
      </c>
    </row>
    <row r="30" customFormat="false" ht="15" hidden="false" customHeight="false" outlineLevel="0" collapsed="false">
      <c r="A30" s="2" t="s">
        <v>130</v>
      </c>
      <c r="B30" s="18" t="n">
        <f aca="false">IF('Cohort Data'!D30=Assumptions!$B$16,ROUND('Cohort Data'!L30*'Cohort Data'!J30*Assumptions!$F$4,Assumptions!$B$10),Assumptions!$B$13)</f>
        <v>65422.11</v>
      </c>
      <c r="C30" s="18" t="n">
        <f aca="false">IF('Cohort Data'!D30=Assumptions!$B$16,ROUND('Cohort Data'!E30*Assumptions!$B$6,Assumptions!$B$10),Assumptions!$B$13)</f>
        <v>4775</v>
      </c>
      <c r="D30" s="18" t="n">
        <f aca="false">SUM(B30:C30)</f>
        <v>70197.11</v>
      </c>
      <c r="E30" s="18" t="n">
        <f aca="false">ROUND(D30/Assumptions!$F$6,Assumptions!$B$10)</f>
        <v>68152.53</v>
      </c>
      <c r="F30" s="18" t="n">
        <f aca="false">ROUND(E30*Assumptions!$B$7,Assumptions!$B$10)</f>
        <v>2726.1</v>
      </c>
      <c r="G30" s="18" t="n">
        <f aca="false">SUM(E30:F30)</f>
        <v>70878.63</v>
      </c>
      <c r="H30" s="18" t="n">
        <f aca="false">ROUND(G30-'Cohort Data'!H30,Assumptions!$B$10)</f>
        <v>10974.92</v>
      </c>
      <c r="I30" s="18" t="n">
        <f aca="false">CEILING(G30,Assumptions!$B$12)</f>
        <v>70900</v>
      </c>
      <c r="J30" s="18" t="n">
        <f aca="false">FLOOR(G30,Assumptions!$B$12)</f>
        <v>70800</v>
      </c>
      <c r="K30" s="18" t="n">
        <f aca="false">ROUNDUP(G30,Assumptions!$B$10)</f>
        <v>70878.63</v>
      </c>
      <c r="L30" s="18" t="n">
        <f aca="false">ROUNDDOWN(G30,Assumptions!$B$10)</f>
        <v>70878.63</v>
      </c>
      <c r="M30" s="19" t="n">
        <f aca="false">INT('Cohort Data'!E30/Assumptions!$B$11)</f>
        <v>1</v>
      </c>
    </row>
    <row r="31" customFormat="false" ht="15" hidden="false" customHeight="false" outlineLevel="0" collapsed="false">
      <c r="A31" s="2" t="s">
        <v>131</v>
      </c>
      <c r="B31" s="18" t="n">
        <f aca="false">IF('Cohort Data'!D31=Assumptions!$B$16,ROUND('Cohort Data'!L31*'Cohort Data'!J31*Assumptions!$F$4,Assumptions!$B$10),Assumptions!$B$13)</f>
        <v>18537.43</v>
      </c>
      <c r="C31" s="18" t="n">
        <f aca="false">IF('Cohort Data'!D31=Assumptions!$B$16,ROUND('Cohort Data'!E31*Assumptions!$B$6,Assumptions!$B$10),Assumptions!$B$13)</f>
        <v>1600</v>
      </c>
      <c r="D31" s="18" t="n">
        <f aca="false">SUM(B31:C31)</f>
        <v>20137.43</v>
      </c>
      <c r="E31" s="18" t="n">
        <f aca="false">ROUND(D31/Assumptions!$F$6,Assumptions!$B$10)</f>
        <v>19550.9</v>
      </c>
      <c r="F31" s="18" t="n">
        <f aca="false">ROUND(E31*Assumptions!$B$7,Assumptions!$B$10)</f>
        <v>782.04</v>
      </c>
      <c r="G31" s="18" t="n">
        <f aca="false">SUM(E31:F31)</f>
        <v>20332.94</v>
      </c>
      <c r="H31" s="18" t="n">
        <f aca="false">ROUND(G31-'Cohort Data'!H31,Assumptions!$B$10)</f>
        <v>3584.4</v>
      </c>
      <c r="I31" s="18" t="n">
        <f aca="false">CEILING(G31,Assumptions!$B$12)</f>
        <v>20400</v>
      </c>
      <c r="J31" s="18" t="n">
        <f aca="false">FLOOR(G31,Assumptions!$B$12)</f>
        <v>20300</v>
      </c>
      <c r="K31" s="18" t="n">
        <f aca="false">ROUNDUP(G31,Assumptions!$B$10)</f>
        <v>20332.95</v>
      </c>
      <c r="L31" s="18" t="n">
        <f aca="false">ROUNDDOWN(G31,Assumptions!$B$10)</f>
        <v>20332.94</v>
      </c>
      <c r="M31" s="19" t="n">
        <f aca="false">INT('Cohort Data'!E31/Assumptions!$B$11)</f>
        <v>0</v>
      </c>
    </row>
    <row r="32" customFormat="false" ht="15" hidden="false" customHeight="false" outlineLevel="0" collapsed="false">
      <c r="A32" s="2" t="s">
        <v>132</v>
      </c>
      <c r="B32" s="18" t="n">
        <f aca="false">IF('Cohort Data'!D32=Assumptions!$B$16,ROUND('Cohort Data'!L32*'Cohort Data'!J32*Assumptions!$F$4,Assumptions!$B$10),Assumptions!$B$13)</f>
        <v>82335.05</v>
      </c>
      <c r="C32" s="18" t="n">
        <f aca="false">IF('Cohort Data'!D32=Assumptions!$B$16,ROUND('Cohort Data'!E32*Assumptions!$B$6,Assumptions!$B$10),Assumptions!$B$13)</f>
        <v>6125</v>
      </c>
      <c r="D32" s="18" t="n">
        <f aca="false">SUM(B32:C32)</f>
        <v>88460.05</v>
      </c>
      <c r="E32" s="18" t="n">
        <f aca="false">ROUND(D32/Assumptions!$F$6,Assumptions!$B$10)</f>
        <v>85883.54</v>
      </c>
      <c r="F32" s="18" t="n">
        <f aca="false">ROUND(E32*Assumptions!$B$7,Assumptions!$B$10)</f>
        <v>3435.34</v>
      </c>
      <c r="G32" s="18" t="n">
        <f aca="false">SUM(E32:F32)</f>
        <v>89318.88</v>
      </c>
      <c r="H32" s="18" t="n">
        <f aca="false">ROUND(G32-'Cohort Data'!H32,Assumptions!$B$10)</f>
        <v>17912.16</v>
      </c>
      <c r="I32" s="18" t="n">
        <f aca="false">CEILING(G32,Assumptions!$B$12)</f>
        <v>89400</v>
      </c>
      <c r="J32" s="18" t="n">
        <f aca="false">FLOOR(G32,Assumptions!$B$12)</f>
        <v>89300</v>
      </c>
      <c r="K32" s="18" t="n">
        <f aca="false">ROUNDUP(G32,Assumptions!$B$10)</f>
        <v>89318.88</v>
      </c>
      <c r="L32" s="18" t="n">
        <f aca="false">ROUNDDOWN(G32,Assumptions!$B$10)</f>
        <v>89318.87</v>
      </c>
      <c r="M32" s="19" t="n">
        <f aca="false">INT('Cohort Data'!E32/Assumptions!$B$11)</f>
        <v>2</v>
      </c>
    </row>
    <row r="33" customFormat="false" ht="15" hidden="false" customHeight="false" outlineLevel="0" collapsed="false">
      <c r="A33" s="2" t="s">
        <v>133</v>
      </c>
      <c r="B33" s="18" t="n">
        <f aca="false">IF('Cohort Data'!D33=Assumptions!$B$16,ROUND('Cohort Data'!L33*'Cohort Data'!J33*Assumptions!$F$4,Assumptions!$B$10),Assumptions!$B$13)</f>
        <v>43298.17</v>
      </c>
      <c r="C33" s="18" t="n">
        <f aca="false">IF('Cohort Data'!D33=Assumptions!$B$16,ROUND('Cohort Data'!E33*Assumptions!$B$6,Assumptions!$B$10),Assumptions!$B$13)</f>
        <v>5150</v>
      </c>
      <c r="D33" s="18" t="n">
        <f aca="false">SUM(B33:C33)</f>
        <v>48448.17</v>
      </c>
      <c r="E33" s="18" t="n">
        <f aca="false">ROUND(D33/Assumptions!$F$6,Assumptions!$B$10)</f>
        <v>47037.06</v>
      </c>
      <c r="F33" s="18" t="n">
        <f aca="false">ROUND(E33*Assumptions!$B$7,Assumptions!$B$10)</f>
        <v>1881.48</v>
      </c>
      <c r="G33" s="18" t="n">
        <f aca="false">SUM(E33:F33)</f>
        <v>48918.54</v>
      </c>
      <c r="H33" s="18" t="n">
        <f aca="false">ROUND(G33-'Cohort Data'!H33,Assumptions!$B$10)</f>
        <v>12876.78</v>
      </c>
      <c r="I33" s="18" t="n">
        <f aca="false">CEILING(G33,Assumptions!$B$12)</f>
        <v>49000</v>
      </c>
      <c r="J33" s="18" t="n">
        <f aca="false">FLOOR(G33,Assumptions!$B$12)</f>
        <v>48900</v>
      </c>
      <c r="K33" s="18" t="n">
        <f aca="false">ROUNDUP(G33,Assumptions!$B$10)</f>
        <v>48918.54</v>
      </c>
      <c r="L33" s="18" t="n">
        <f aca="false">ROUNDDOWN(G33,Assumptions!$B$10)</f>
        <v>48918.54</v>
      </c>
      <c r="M33" s="19" t="n">
        <f aca="false">INT('Cohort Data'!E33/Assumptions!$B$11)</f>
        <v>2</v>
      </c>
    </row>
    <row r="34" customFormat="false" ht="15" hidden="false" customHeight="false" outlineLevel="0" collapsed="false">
      <c r="A34" s="2" t="s">
        <v>134</v>
      </c>
      <c r="B34" s="18" t="n">
        <f aca="false">IF('Cohort Data'!D34=Assumptions!$B$16,ROUND('Cohort Data'!L34*'Cohort Data'!J34*Assumptions!$F$4,Assumptions!$B$10),Assumptions!$B$13)</f>
        <v>15218.56</v>
      </c>
      <c r="C34" s="18" t="n">
        <f aca="false">IF('Cohort Data'!D34=Assumptions!$B$16,ROUND('Cohort Data'!E34*Assumptions!$B$6,Assumptions!$B$10),Assumptions!$B$13)</f>
        <v>2425</v>
      </c>
      <c r="D34" s="18" t="n">
        <f aca="false">SUM(B34:C34)</f>
        <v>17643.56</v>
      </c>
      <c r="E34" s="18" t="n">
        <f aca="false">ROUND(D34/Assumptions!$F$6,Assumptions!$B$10)</f>
        <v>17129.67</v>
      </c>
      <c r="F34" s="18" t="n">
        <f aca="false">ROUND(E34*Assumptions!$B$7,Assumptions!$B$10)</f>
        <v>685.19</v>
      </c>
      <c r="G34" s="18" t="n">
        <f aca="false">SUM(E34:F34)</f>
        <v>17814.86</v>
      </c>
      <c r="H34" s="18" t="n">
        <f aca="false">ROUND(G34-'Cohort Data'!H34,Assumptions!$B$10)</f>
        <v>4064.92</v>
      </c>
      <c r="I34" s="18" t="n">
        <f aca="false">CEILING(G34,Assumptions!$B$12)</f>
        <v>17900</v>
      </c>
      <c r="J34" s="18" t="n">
        <f aca="false">FLOOR(G34,Assumptions!$B$12)</f>
        <v>17800</v>
      </c>
      <c r="K34" s="18" t="n">
        <f aca="false">ROUNDUP(G34,Assumptions!$B$10)</f>
        <v>17814.86</v>
      </c>
      <c r="L34" s="18" t="n">
        <f aca="false">ROUNDDOWN(G34,Assumptions!$B$10)</f>
        <v>17814.85</v>
      </c>
      <c r="M34" s="19" t="n">
        <f aca="false">INT('Cohort Data'!E34/Assumptions!$B$11)</f>
        <v>0</v>
      </c>
    </row>
    <row r="35" customFormat="false" ht="15" hidden="false" customHeight="false" outlineLevel="0" collapsed="false">
      <c r="A35" s="2" t="s">
        <v>135</v>
      </c>
      <c r="B35" s="18" t="n">
        <f aca="false">IF('Cohort Data'!D35=Assumptions!$B$16,ROUND('Cohort Data'!L35*'Cohort Data'!J35*Assumptions!$F$4,Assumptions!$B$10),Assumptions!$B$13)</f>
        <v>27445.02</v>
      </c>
      <c r="C35" s="18" t="n">
        <f aca="false">IF('Cohort Data'!D35=Assumptions!$B$16,ROUND('Cohort Data'!E35*Assumptions!$B$6,Assumptions!$B$10),Assumptions!$B$13)</f>
        <v>2450</v>
      </c>
      <c r="D35" s="18" t="n">
        <f aca="false">SUM(B35:C35)</f>
        <v>29895.02</v>
      </c>
      <c r="E35" s="18" t="n">
        <f aca="false">ROUND(D35/Assumptions!$F$6,Assumptions!$B$10)</f>
        <v>29024.29</v>
      </c>
      <c r="F35" s="18" t="n">
        <f aca="false">ROUND(E35*Assumptions!$B$7,Assumptions!$B$10)</f>
        <v>1160.97</v>
      </c>
      <c r="G35" s="18" t="n">
        <f aca="false">SUM(E35:F35)</f>
        <v>30185.26</v>
      </c>
      <c r="H35" s="18" t="n">
        <f aca="false">ROUND(G35-'Cohort Data'!H35,Assumptions!$B$10)</f>
        <v>5865.58</v>
      </c>
      <c r="I35" s="18" t="n">
        <f aca="false">CEILING(G35,Assumptions!$B$12)</f>
        <v>30200</v>
      </c>
      <c r="J35" s="18" t="n">
        <f aca="false">FLOOR(G35,Assumptions!$B$12)</f>
        <v>30100</v>
      </c>
      <c r="K35" s="18" t="n">
        <f aca="false">ROUNDUP(G35,Assumptions!$B$10)</f>
        <v>30185.26</v>
      </c>
      <c r="L35" s="18" t="n">
        <f aca="false">ROUNDDOWN(G35,Assumptions!$B$10)</f>
        <v>30185.26</v>
      </c>
      <c r="M35" s="19" t="n">
        <f aca="false">INT('Cohort Data'!E35/Assumptions!$B$11)</f>
        <v>0</v>
      </c>
    </row>
    <row r="36" customFormat="false" ht="15" hidden="false" customHeight="false" outlineLevel="0" collapsed="false">
      <c r="A36" s="2" t="s">
        <v>136</v>
      </c>
      <c r="B36" s="18" t="n">
        <f aca="false">IF('Cohort Data'!D36=Assumptions!$B$16,ROUND('Cohort Data'!L36*'Cohort Data'!J36*Assumptions!$F$4,Assumptions!$B$10),Assumptions!$B$13)</f>
        <v>15039.92</v>
      </c>
      <c r="C36" s="18" t="n">
        <f aca="false">IF('Cohort Data'!D36=Assumptions!$B$16,ROUND('Cohort Data'!E36*Assumptions!$B$6,Assumptions!$B$10),Assumptions!$B$13)</f>
        <v>2300</v>
      </c>
      <c r="D36" s="18" t="n">
        <f aca="false">SUM(B36:C36)</f>
        <v>17339.92</v>
      </c>
      <c r="E36" s="18" t="n">
        <f aca="false">ROUND(D36/Assumptions!$F$6,Assumptions!$B$10)</f>
        <v>16834.87</v>
      </c>
      <c r="F36" s="18" t="n">
        <f aca="false">ROUND(E36*Assumptions!$B$7,Assumptions!$B$10)</f>
        <v>673.39</v>
      </c>
      <c r="G36" s="18" t="n">
        <f aca="false">SUM(E36:F36)</f>
        <v>17508.26</v>
      </c>
      <c r="H36" s="18" t="n">
        <f aca="false">ROUND(G36-'Cohort Data'!H36,Assumptions!$B$10)</f>
        <v>4293.38</v>
      </c>
      <c r="I36" s="18" t="n">
        <f aca="false">CEILING(G36,Assumptions!$B$12)</f>
        <v>17600</v>
      </c>
      <c r="J36" s="18" t="n">
        <f aca="false">FLOOR(G36,Assumptions!$B$12)</f>
        <v>17500</v>
      </c>
      <c r="K36" s="18" t="n">
        <f aca="false">ROUNDUP(G36,Assumptions!$B$10)</f>
        <v>17508.26</v>
      </c>
      <c r="L36" s="18" t="n">
        <f aca="false">ROUNDDOWN(G36,Assumptions!$B$10)</f>
        <v>17508.26</v>
      </c>
      <c r="M36" s="19" t="n">
        <f aca="false">INT('Cohort Data'!E36/Assumptions!$B$11)</f>
        <v>0</v>
      </c>
    </row>
    <row r="37" customFormat="false" ht="15" hidden="false" customHeight="false" outlineLevel="0" collapsed="false">
      <c r="A37" s="2" t="s">
        <v>137</v>
      </c>
      <c r="B37" s="18" t="n">
        <f aca="false">IF('Cohort Data'!D37=Assumptions!$B$16,ROUND('Cohort Data'!L37*'Cohort Data'!J37*Assumptions!$F$4,Assumptions!$B$10),Assumptions!$B$13)</f>
        <v>25814.82</v>
      </c>
      <c r="C37" s="18" t="n">
        <f aca="false">IF('Cohort Data'!D37=Assumptions!$B$16,ROUND('Cohort Data'!E37*Assumptions!$B$6,Assumptions!$B$10),Assumptions!$B$13)</f>
        <v>3450</v>
      </c>
      <c r="D37" s="18" t="n">
        <f aca="false">SUM(B37:C37)</f>
        <v>29264.82</v>
      </c>
      <c r="E37" s="18" t="n">
        <f aca="false">ROUND(D37/Assumptions!$F$6,Assumptions!$B$10)</f>
        <v>28412.45</v>
      </c>
      <c r="F37" s="18" t="n">
        <f aca="false">ROUND(E37*Assumptions!$B$7,Assumptions!$B$10)</f>
        <v>1136.5</v>
      </c>
      <c r="G37" s="18" t="n">
        <f aca="false">SUM(E37:F37)</f>
        <v>29548.95</v>
      </c>
      <c r="H37" s="18" t="n">
        <f aca="false">ROUND(G37-'Cohort Data'!H37,Assumptions!$B$10)</f>
        <v>6721.54</v>
      </c>
      <c r="I37" s="18" t="n">
        <f aca="false">CEILING(G37,Assumptions!$B$12)</f>
        <v>29600</v>
      </c>
      <c r="J37" s="18" t="n">
        <f aca="false">FLOOR(G37,Assumptions!$B$12)</f>
        <v>29500</v>
      </c>
      <c r="K37" s="18" t="n">
        <f aca="false">ROUNDUP(G37,Assumptions!$B$10)</f>
        <v>29548.95</v>
      </c>
      <c r="L37" s="18" t="n">
        <f aca="false">ROUNDDOWN(G37,Assumptions!$B$10)</f>
        <v>29548.95</v>
      </c>
      <c r="M37" s="19" t="n">
        <f aca="false">INT('Cohort Data'!E37/Assumptions!$B$11)</f>
        <v>1</v>
      </c>
    </row>
    <row r="38" customFormat="false" ht="15" hidden="false" customHeight="false" outlineLevel="0" collapsed="false">
      <c r="A38" s="2" t="s">
        <v>138</v>
      </c>
      <c r="B38" s="18" t="n">
        <f aca="false">IF('Cohort Data'!D38=Assumptions!$B$16,ROUND('Cohort Data'!L38*'Cohort Data'!J38*Assumptions!$F$4,Assumptions!$B$10),Assumptions!$B$13)</f>
        <v>20751.79</v>
      </c>
      <c r="C38" s="18" t="n">
        <f aca="false">IF('Cohort Data'!D38=Assumptions!$B$16,ROUND('Cohort Data'!E38*Assumptions!$B$6,Assumptions!$B$10),Assumptions!$B$13)</f>
        <v>1900</v>
      </c>
      <c r="D38" s="18" t="n">
        <f aca="false">SUM(B38:C38)</f>
        <v>22651.79</v>
      </c>
      <c r="E38" s="18" t="n">
        <f aca="false">ROUND(D38/Assumptions!$F$6,Assumptions!$B$10)</f>
        <v>21992.03</v>
      </c>
      <c r="F38" s="18" t="n">
        <f aca="false">ROUND(E38*Assumptions!$B$7,Assumptions!$B$10)</f>
        <v>879.68</v>
      </c>
      <c r="G38" s="18" t="n">
        <f aca="false">SUM(E38:F38)</f>
        <v>22871.71</v>
      </c>
      <c r="H38" s="18" t="n">
        <f aca="false">ROUND(G38-'Cohort Data'!H38,Assumptions!$B$10)</f>
        <v>4287.43</v>
      </c>
      <c r="I38" s="18" t="n">
        <f aca="false">CEILING(G38,Assumptions!$B$12)</f>
        <v>22900</v>
      </c>
      <c r="J38" s="18" t="n">
        <f aca="false">FLOOR(G38,Assumptions!$B$12)</f>
        <v>22800</v>
      </c>
      <c r="K38" s="18" t="n">
        <f aca="false">ROUNDUP(G38,Assumptions!$B$10)</f>
        <v>22871.71</v>
      </c>
      <c r="L38" s="18" t="n">
        <f aca="false">ROUNDDOWN(G38,Assumptions!$B$10)</f>
        <v>22871.71</v>
      </c>
      <c r="M38" s="19" t="n">
        <f aca="false">INT('Cohort Data'!E38/Assumptions!$B$11)</f>
        <v>0</v>
      </c>
    </row>
    <row r="39" customFormat="false" ht="15" hidden="false" customHeight="false" outlineLevel="0" collapsed="false">
      <c r="A39" s="2" t="s">
        <v>139</v>
      </c>
      <c r="B39" s="18" t="n">
        <f aca="false">IF('Cohort Data'!D39=Assumptions!$B$16,ROUND('Cohort Data'!L39*'Cohort Data'!J39*Assumptions!$F$4,Assumptions!$B$10),Assumptions!$B$13)</f>
        <v>48762.98</v>
      </c>
      <c r="C39" s="18" t="n">
        <f aca="false">IF('Cohort Data'!D39=Assumptions!$B$16,ROUND('Cohort Data'!E39*Assumptions!$B$6,Assumptions!$B$10),Assumptions!$B$13)</f>
        <v>5800</v>
      </c>
      <c r="D39" s="18" t="n">
        <f aca="false">SUM(B39:C39)</f>
        <v>54562.98</v>
      </c>
      <c r="E39" s="18" t="n">
        <f aca="false">ROUND(D39/Assumptions!$F$6,Assumptions!$B$10)</f>
        <v>52973.77</v>
      </c>
      <c r="F39" s="18" t="n">
        <f aca="false">ROUND(E39*Assumptions!$B$7,Assumptions!$B$10)</f>
        <v>2118.95</v>
      </c>
      <c r="G39" s="18" t="n">
        <f aca="false">SUM(E39:F39)</f>
        <v>55092.72</v>
      </c>
      <c r="H39" s="18" t="n">
        <f aca="false">ROUND(G39-'Cohort Data'!H39,Assumptions!$B$10)</f>
        <v>13148.98</v>
      </c>
      <c r="I39" s="18" t="n">
        <f aca="false">CEILING(G39,Assumptions!$B$12)</f>
        <v>55100</v>
      </c>
      <c r="J39" s="18" t="n">
        <f aca="false">FLOOR(G39,Assumptions!$B$12)</f>
        <v>55000</v>
      </c>
      <c r="K39" s="18" t="n">
        <f aca="false">ROUNDUP(G39,Assumptions!$B$10)</f>
        <v>55092.72</v>
      </c>
      <c r="L39" s="18" t="n">
        <f aca="false">ROUNDDOWN(G39,Assumptions!$B$10)</f>
        <v>55092.71</v>
      </c>
      <c r="M39" s="19" t="n">
        <f aca="false">INT('Cohort Data'!E39/Assumptions!$B$11)</f>
        <v>2</v>
      </c>
    </row>
    <row r="40" customFormat="false" ht="15" hidden="false" customHeight="false" outlineLevel="0" collapsed="false">
      <c r="A40" s="2" t="s">
        <v>140</v>
      </c>
      <c r="B40" s="18" t="n">
        <f aca="false">IF('Cohort Data'!D40=Assumptions!$B$16,ROUND('Cohort Data'!L40*'Cohort Data'!J40*Assumptions!$F$4,Assumptions!$B$10),Assumptions!$B$13)</f>
        <v>36555.91</v>
      </c>
      <c r="C40" s="18" t="n">
        <f aca="false">IF('Cohort Data'!D40=Assumptions!$B$16,ROUND('Cohort Data'!E40*Assumptions!$B$6,Assumptions!$B$10),Assumptions!$B$13)</f>
        <v>5825</v>
      </c>
      <c r="D40" s="18" t="n">
        <f aca="false">SUM(B40:C40)</f>
        <v>42380.91</v>
      </c>
      <c r="E40" s="18" t="n">
        <f aca="false">ROUND(D40/Assumptions!$F$6,Assumptions!$B$10)</f>
        <v>41146.51</v>
      </c>
      <c r="F40" s="18" t="n">
        <f aca="false">ROUND(E40*Assumptions!$B$7,Assumptions!$B$10)</f>
        <v>1645.86</v>
      </c>
      <c r="G40" s="18" t="n">
        <f aca="false">SUM(E40:F40)</f>
        <v>42792.37</v>
      </c>
      <c r="H40" s="18" t="n">
        <f aca="false">ROUND(G40-'Cohort Data'!H40,Assumptions!$B$10)</f>
        <v>9061.43</v>
      </c>
      <c r="I40" s="18" t="n">
        <f aca="false">CEILING(G40,Assumptions!$B$12)</f>
        <v>42800</v>
      </c>
      <c r="J40" s="18" t="n">
        <f aca="false">FLOOR(G40,Assumptions!$B$12)</f>
        <v>42700</v>
      </c>
      <c r="K40" s="18" t="n">
        <f aca="false">ROUNDUP(G40,Assumptions!$B$10)</f>
        <v>42792.37</v>
      </c>
      <c r="L40" s="18" t="n">
        <f aca="false">ROUNDDOWN(G40,Assumptions!$B$10)</f>
        <v>42792.37</v>
      </c>
      <c r="M40" s="19" t="n">
        <f aca="false">INT('Cohort Data'!E40/Assumptions!$B$11)</f>
        <v>2</v>
      </c>
    </row>
    <row r="41" customFormat="false" ht="15" hidden="false" customHeight="false" outlineLevel="0" collapsed="false">
      <c r="A41" s="2" t="s">
        <v>141</v>
      </c>
      <c r="B41" s="18" t="n">
        <f aca="false">IF('Cohort Data'!D41=Assumptions!$B$16,ROUND('Cohort Data'!L41*'Cohort Data'!J41*Assumptions!$F$4,Assumptions!$B$10),Assumptions!$B$13)</f>
        <v>0</v>
      </c>
      <c r="C41" s="18" t="n">
        <f aca="false">IF('Cohort Data'!D41=Assumptions!$B$16,ROUND('Cohort Data'!E41*Assumptions!$B$6,Assumptions!$B$10),Assumptions!$B$13)</f>
        <v>0</v>
      </c>
      <c r="D41" s="18" t="n">
        <f aca="false">SUM(B41:C41)</f>
        <v>0</v>
      </c>
      <c r="E41" s="18" t="n">
        <f aca="false">ROUND(D41/Assumptions!$F$6,Assumptions!$B$10)</f>
        <v>0</v>
      </c>
      <c r="F41" s="18" t="n">
        <f aca="false">ROUND(E41*Assumptions!$B$7,Assumptions!$B$10)</f>
        <v>0</v>
      </c>
      <c r="G41" s="18" t="n">
        <f aca="false">SUM(E41:F41)</f>
        <v>0</v>
      </c>
      <c r="H41" s="18" t="n">
        <f aca="false">ROUND(G41-'Cohort Data'!H41,Assumptions!$B$10)</f>
        <v>-39555.52</v>
      </c>
      <c r="I41" s="18" t="n">
        <f aca="false">CEILING(G41,Assumptions!$B$12)</f>
        <v>0</v>
      </c>
      <c r="J41" s="18" t="n">
        <f aca="false">FLOOR(G41,Assumptions!$B$12)</f>
        <v>0</v>
      </c>
      <c r="K41" s="18" t="n">
        <f aca="false">ROUNDUP(G41,Assumptions!$B$10)</f>
        <v>0</v>
      </c>
      <c r="L41" s="18" t="n">
        <f aca="false">ROUNDDOWN(G41,Assumptions!$B$10)</f>
        <v>0</v>
      </c>
      <c r="M41" s="19" t="n">
        <f aca="false">INT('Cohort Data'!E41/Assumptions!$B$11)</f>
        <v>1</v>
      </c>
    </row>
    <row r="42" customFormat="false" ht="15" hidden="false" customHeight="false" outlineLevel="0" collapsed="false">
      <c r="A42" s="2" t="s">
        <v>142</v>
      </c>
      <c r="B42" s="18" t="n">
        <f aca="false">IF('Cohort Data'!D42=Assumptions!$B$16,ROUND('Cohort Data'!L42*'Cohort Data'!J42*Assumptions!$F$4,Assumptions!$B$10),Assumptions!$B$13)</f>
        <v>26413.28</v>
      </c>
      <c r="C42" s="18" t="n">
        <f aca="false">IF('Cohort Data'!D42=Assumptions!$B$16,ROUND('Cohort Data'!E42*Assumptions!$B$6,Assumptions!$B$10),Assumptions!$B$13)</f>
        <v>2175</v>
      </c>
      <c r="D42" s="18" t="n">
        <f aca="false">SUM(B42:C42)</f>
        <v>28588.28</v>
      </c>
      <c r="E42" s="18" t="n">
        <f aca="false">ROUND(D42/Assumptions!$F$6,Assumptions!$B$10)</f>
        <v>27755.61</v>
      </c>
      <c r="F42" s="18" t="n">
        <f aca="false">ROUND(E42*Assumptions!$B$7,Assumptions!$B$10)</f>
        <v>1110.22</v>
      </c>
      <c r="G42" s="18" t="n">
        <f aca="false">SUM(E42:F42)</f>
        <v>28865.83</v>
      </c>
      <c r="H42" s="18" t="n">
        <f aca="false">ROUND(G42-'Cohort Data'!H42,Assumptions!$B$10)</f>
        <v>4680.53</v>
      </c>
      <c r="I42" s="18" t="n">
        <f aca="false">CEILING(G42,Assumptions!$B$12)</f>
        <v>28900</v>
      </c>
      <c r="J42" s="18" t="n">
        <f aca="false">FLOOR(G42,Assumptions!$B$12)</f>
        <v>28800</v>
      </c>
      <c r="K42" s="18" t="n">
        <f aca="false">ROUNDUP(G42,Assumptions!$B$10)</f>
        <v>28865.83</v>
      </c>
      <c r="L42" s="18" t="n">
        <f aca="false">ROUNDDOWN(G42,Assumptions!$B$10)</f>
        <v>28865.83</v>
      </c>
      <c r="M42" s="19" t="n">
        <f aca="false">INT('Cohort Data'!E42/Assumptions!$B$11)</f>
        <v>0</v>
      </c>
    </row>
    <row r="43" customFormat="false" ht="15" hidden="false" customHeight="false" outlineLevel="0" collapsed="false">
      <c r="A43" s="2" t="s">
        <v>143</v>
      </c>
      <c r="B43" s="18" t="n">
        <f aca="false">IF('Cohort Data'!D43=Assumptions!$B$16,ROUND('Cohort Data'!L43*'Cohort Data'!J43*Assumptions!$F$4,Assumptions!$B$10),Assumptions!$B$13)</f>
        <v>39198.94</v>
      </c>
      <c r="C43" s="18" t="n">
        <f aca="false">IF('Cohort Data'!D43=Assumptions!$B$16,ROUND('Cohort Data'!E43*Assumptions!$B$6,Assumptions!$B$10),Assumptions!$B$13)</f>
        <v>5600</v>
      </c>
      <c r="D43" s="18" t="n">
        <f aca="false">SUM(B43:C43)</f>
        <v>44798.94</v>
      </c>
      <c r="E43" s="18" t="n">
        <f aca="false">ROUND(D43/Assumptions!$F$6,Assumptions!$B$10)</f>
        <v>43494.12</v>
      </c>
      <c r="F43" s="18" t="n">
        <f aca="false">ROUND(E43*Assumptions!$B$7,Assumptions!$B$10)</f>
        <v>1739.76</v>
      </c>
      <c r="G43" s="18" t="n">
        <f aca="false">SUM(E43:F43)</f>
        <v>45233.88</v>
      </c>
      <c r="H43" s="18" t="n">
        <f aca="false">ROUND(G43-'Cohort Data'!H43,Assumptions!$B$10)</f>
        <v>10571.22</v>
      </c>
      <c r="I43" s="18" t="n">
        <f aca="false">CEILING(G43,Assumptions!$B$12)</f>
        <v>45300</v>
      </c>
      <c r="J43" s="18" t="n">
        <f aca="false">FLOOR(G43,Assumptions!$B$12)</f>
        <v>45200</v>
      </c>
      <c r="K43" s="18" t="n">
        <f aca="false">ROUNDUP(G43,Assumptions!$B$10)</f>
        <v>45233.89</v>
      </c>
      <c r="L43" s="18" t="n">
        <f aca="false">ROUNDDOWN(G43,Assumptions!$B$10)</f>
        <v>45233.88</v>
      </c>
      <c r="M43" s="19" t="n">
        <f aca="false">INT('Cohort Data'!E43/Assumptions!$B$11)</f>
        <v>2</v>
      </c>
    </row>
    <row r="44" customFormat="false" ht="15" hidden="false" customHeight="false" outlineLevel="0" collapsed="false">
      <c r="A44" s="2" t="s">
        <v>144</v>
      </c>
      <c r="B44" s="18" t="n">
        <f aca="false">IF('Cohort Data'!D44=Assumptions!$B$16,ROUND('Cohort Data'!L44*'Cohort Data'!J44*Assumptions!$F$4,Assumptions!$B$10),Assumptions!$B$13)</f>
        <v>41909.66</v>
      </c>
      <c r="C44" s="18" t="n">
        <f aca="false">IF('Cohort Data'!D44=Assumptions!$B$16,ROUND('Cohort Data'!E44*Assumptions!$B$6,Assumptions!$B$10),Assumptions!$B$13)</f>
        <v>3650</v>
      </c>
      <c r="D44" s="18" t="n">
        <f aca="false">SUM(B44:C44)</f>
        <v>45559.66</v>
      </c>
      <c r="E44" s="18" t="n">
        <f aca="false">ROUND(D44/Assumptions!$F$6,Assumptions!$B$10)</f>
        <v>44232.68</v>
      </c>
      <c r="F44" s="18" t="n">
        <f aca="false">ROUND(E44*Assumptions!$B$7,Assumptions!$B$10)</f>
        <v>1769.31</v>
      </c>
      <c r="G44" s="18" t="n">
        <f aca="false">SUM(E44:F44)</f>
        <v>46001.99</v>
      </c>
      <c r="H44" s="18" t="n">
        <f aca="false">ROUND(G44-'Cohort Data'!H44,Assumptions!$B$10)</f>
        <v>7284.54</v>
      </c>
      <c r="I44" s="18" t="n">
        <f aca="false">CEILING(G44,Assumptions!$B$12)</f>
        <v>46100</v>
      </c>
      <c r="J44" s="18" t="n">
        <f aca="false">FLOOR(G44,Assumptions!$B$12)</f>
        <v>46000</v>
      </c>
      <c r="K44" s="18" t="n">
        <f aca="false">ROUNDUP(G44,Assumptions!$B$10)</f>
        <v>46001.99</v>
      </c>
      <c r="L44" s="18" t="n">
        <f aca="false">ROUNDDOWN(G44,Assumptions!$B$10)</f>
        <v>46001.99</v>
      </c>
      <c r="M44" s="19" t="n">
        <f aca="false">INT('Cohort Data'!E44/Assumptions!$B$11)</f>
        <v>1</v>
      </c>
    </row>
    <row r="45" customFormat="false" ht="15" hidden="false" customHeight="false" outlineLevel="0" collapsed="false">
      <c r="A45" s="2" t="s">
        <v>145</v>
      </c>
      <c r="B45" s="18" t="n">
        <f aca="false">IF('Cohort Data'!D45=Assumptions!$B$16,ROUND('Cohort Data'!L45*'Cohort Data'!J45*Assumptions!$F$4,Assumptions!$B$10),Assumptions!$B$13)</f>
        <v>63740.63</v>
      </c>
      <c r="C45" s="18" t="n">
        <f aca="false">IF('Cohort Data'!D45=Assumptions!$B$16,ROUND('Cohort Data'!E45*Assumptions!$B$6,Assumptions!$B$10),Assumptions!$B$13)</f>
        <v>4450</v>
      </c>
      <c r="D45" s="18" t="n">
        <f aca="false">SUM(B45:C45)</f>
        <v>68190.63</v>
      </c>
      <c r="E45" s="18" t="n">
        <f aca="false">ROUND(D45/Assumptions!$F$6,Assumptions!$B$10)</f>
        <v>66204.5</v>
      </c>
      <c r="F45" s="18" t="n">
        <f aca="false">ROUND(E45*Assumptions!$B$7,Assumptions!$B$10)</f>
        <v>2648.18</v>
      </c>
      <c r="G45" s="18" t="n">
        <f aca="false">SUM(E45:F45)</f>
        <v>68852.68</v>
      </c>
      <c r="H45" s="18" t="n">
        <f aca="false">ROUND(G45-'Cohort Data'!H45,Assumptions!$B$10)</f>
        <v>11667.69</v>
      </c>
      <c r="I45" s="18" t="n">
        <f aca="false">CEILING(G45,Assumptions!$B$12)</f>
        <v>68900</v>
      </c>
      <c r="J45" s="18" t="n">
        <f aca="false">FLOOR(G45,Assumptions!$B$12)</f>
        <v>68800</v>
      </c>
      <c r="K45" s="18" t="n">
        <f aca="false">ROUNDUP(G45,Assumptions!$B$10)</f>
        <v>68852.68</v>
      </c>
      <c r="L45" s="18" t="n">
        <f aca="false">ROUNDDOWN(G45,Assumptions!$B$10)</f>
        <v>68852.68</v>
      </c>
      <c r="M45" s="19" t="n">
        <f aca="false">INT('Cohort Data'!E45/Assumptions!$B$11)</f>
        <v>1</v>
      </c>
    </row>
    <row r="46" customFormat="false" ht="15" hidden="false" customHeight="false" outlineLevel="0" collapsed="false">
      <c r="A46" s="2" t="s">
        <v>146</v>
      </c>
      <c r="B46" s="18" t="n">
        <f aca="false">IF('Cohort Data'!D46=Assumptions!$B$16,ROUND('Cohort Data'!L46*'Cohort Data'!J46*Assumptions!$F$4,Assumptions!$B$10),Assumptions!$B$13)</f>
        <v>19647.75</v>
      </c>
      <c r="C46" s="18" t="n">
        <f aca="false">IF('Cohort Data'!D46=Assumptions!$B$16,ROUND('Cohort Data'!E46*Assumptions!$B$6,Assumptions!$B$10),Assumptions!$B$13)</f>
        <v>3700</v>
      </c>
      <c r="D46" s="18" t="n">
        <f aca="false">SUM(B46:C46)</f>
        <v>23347.75</v>
      </c>
      <c r="E46" s="18" t="n">
        <f aca="false">ROUND(D46/Assumptions!$F$6,Assumptions!$B$10)</f>
        <v>22667.72</v>
      </c>
      <c r="F46" s="18" t="n">
        <f aca="false">ROUND(E46*Assumptions!$B$7,Assumptions!$B$10)</f>
        <v>906.71</v>
      </c>
      <c r="G46" s="18" t="n">
        <f aca="false">SUM(E46:F46)</f>
        <v>23574.43</v>
      </c>
      <c r="H46" s="18" t="n">
        <f aca="false">ROUND(G46-'Cohort Data'!H46,Assumptions!$B$10)</f>
        <v>5256.17</v>
      </c>
      <c r="I46" s="18" t="n">
        <f aca="false">CEILING(G46,Assumptions!$B$12)</f>
        <v>23600</v>
      </c>
      <c r="J46" s="18" t="n">
        <f aca="false">FLOOR(G46,Assumptions!$B$12)</f>
        <v>23500</v>
      </c>
      <c r="K46" s="18" t="n">
        <f aca="false">ROUNDUP(G46,Assumptions!$B$10)</f>
        <v>23574.43</v>
      </c>
      <c r="L46" s="18" t="n">
        <f aca="false">ROUNDDOWN(G46,Assumptions!$B$10)</f>
        <v>23574.43</v>
      </c>
      <c r="M46" s="19" t="n">
        <f aca="false">INT('Cohort Data'!E46/Assumptions!$B$11)</f>
        <v>1</v>
      </c>
    </row>
    <row r="47" customFormat="false" ht="15" hidden="false" customHeight="false" outlineLevel="0" collapsed="false">
      <c r="A47" s="2" t="s">
        <v>147</v>
      </c>
      <c r="B47" s="18" t="n">
        <f aca="false">IF('Cohort Data'!D47=Assumptions!$B$16,ROUND('Cohort Data'!L47*'Cohort Data'!J47*Assumptions!$F$4,Assumptions!$B$10),Assumptions!$B$13)</f>
        <v>38226.99</v>
      </c>
      <c r="C47" s="18" t="n">
        <f aca="false">IF('Cohort Data'!D47=Assumptions!$B$16,ROUND('Cohort Data'!E47*Assumptions!$B$6,Assumptions!$B$10),Assumptions!$B$13)</f>
        <v>5250</v>
      </c>
      <c r="D47" s="18" t="n">
        <f aca="false">SUM(B47:C47)</f>
        <v>43476.99</v>
      </c>
      <c r="E47" s="18" t="n">
        <f aca="false">ROUND(D47/Assumptions!$F$6,Assumptions!$B$10)</f>
        <v>42210.67</v>
      </c>
      <c r="F47" s="18" t="n">
        <f aca="false">ROUND(E47*Assumptions!$B$7,Assumptions!$B$10)</f>
        <v>1688.43</v>
      </c>
      <c r="G47" s="18" t="n">
        <f aca="false">SUM(E47:F47)</f>
        <v>43899.1</v>
      </c>
      <c r="H47" s="18" t="n">
        <f aca="false">ROUND(G47-'Cohort Data'!H47,Assumptions!$B$10)</f>
        <v>7863.1</v>
      </c>
      <c r="I47" s="18" t="n">
        <f aca="false">CEILING(G47,Assumptions!$B$12)</f>
        <v>43900</v>
      </c>
      <c r="J47" s="18" t="n">
        <f aca="false">FLOOR(G47,Assumptions!$B$12)</f>
        <v>43800</v>
      </c>
      <c r="K47" s="18" t="n">
        <f aca="false">ROUNDUP(G47,Assumptions!$B$10)</f>
        <v>43899.1</v>
      </c>
      <c r="L47" s="18" t="n">
        <f aca="false">ROUNDDOWN(G47,Assumptions!$B$10)</f>
        <v>43899.1</v>
      </c>
      <c r="M47" s="19" t="n">
        <f aca="false">INT('Cohort Data'!E47/Assumptions!$B$11)</f>
        <v>2</v>
      </c>
    </row>
    <row r="48" customFormat="false" ht="15" hidden="false" customHeight="false" outlineLevel="0" collapsed="false">
      <c r="A48" s="2" t="s">
        <v>148</v>
      </c>
      <c r="B48" s="18" t="n">
        <f aca="false">IF('Cohort Data'!D48=Assumptions!$B$16,ROUND('Cohort Data'!L48*'Cohort Data'!J48*Assumptions!$F$4,Assumptions!$B$10),Assumptions!$B$13)</f>
        <v>37739.93</v>
      </c>
      <c r="C48" s="18" t="n">
        <f aca="false">IF('Cohort Data'!D48=Assumptions!$B$16,ROUND('Cohort Data'!E48*Assumptions!$B$6,Assumptions!$B$10),Assumptions!$B$13)</f>
        <v>5050</v>
      </c>
      <c r="D48" s="18" t="n">
        <f aca="false">SUM(B48:C48)</f>
        <v>42789.93</v>
      </c>
      <c r="E48" s="18" t="n">
        <f aca="false">ROUND(D48/Assumptions!$F$6,Assumptions!$B$10)</f>
        <v>41543.62</v>
      </c>
      <c r="F48" s="18" t="n">
        <f aca="false">ROUND(E48*Assumptions!$B$7,Assumptions!$B$10)</f>
        <v>1661.74</v>
      </c>
      <c r="G48" s="18" t="n">
        <f aca="false">SUM(E48:F48)</f>
        <v>43205.36</v>
      </c>
      <c r="H48" s="18" t="n">
        <f aca="false">ROUND(G48-'Cohort Data'!H48,Assumptions!$B$10)</f>
        <v>11441.26</v>
      </c>
      <c r="I48" s="18" t="n">
        <f aca="false">CEILING(G48,Assumptions!$B$12)</f>
        <v>43300</v>
      </c>
      <c r="J48" s="18" t="n">
        <f aca="false">FLOOR(G48,Assumptions!$B$12)</f>
        <v>43200</v>
      </c>
      <c r="K48" s="18" t="n">
        <f aca="false">ROUNDUP(G48,Assumptions!$B$10)</f>
        <v>43205.36</v>
      </c>
      <c r="L48" s="18" t="n">
        <f aca="false">ROUNDDOWN(G48,Assumptions!$B$10)</f>
        <v>43205.36</v>
      </c>
      <c r="M48" s="19" t="n">
        <f aca="false">INT('Cohort Data'!E48/Assumptions!$B$11)</f>
        <v>2</v>
      </c>
    </row>
    <row r="49" customFormat="false" ht="15" hidden="false" customHeight="false" outlineLevel="0" collapsed="false">
      <c r="A49" s="2" t="s">
        <v>149</v>
      </c>
      <c r="B49" s="18" t="n">
        <f aca="false">IF('Cohort Data'!D49=Assumptions!$B$16,ROUND('Cohort Data'!L49*'Cohort Data'!J49*Assumptions!$F$4,Assumptions!$B$10),Assumptions!$B$13)</f>
        <v>31987.93</v>
      </c>
      <c r="C49" s="18" t="n">
        <f aca="false">IF('Cohort Data'!D49=Assumptions!$B$16,ROUND('Cohort Data'!E49*Assumptions!$B$6,Assumptions!$B$10),Assumptions!$B$13)</f>
        <v>4275</v>
      </c>
      <c r="D49" s="18" t="n">
        <f aca="false">SUM(B49:C49)</f>
        <v>36262.93</v>
      </c>
      <c r="E49" s="18" t="n">
        <f aca="false">ROUND(D49/Assumptions!$F$6,Assumptions!$B$10)</f>
        <v>35206.73</v>
      </c>
      <c r="F49" s="18" t="n">
        <f aca="false">ROUND(E49*Assumptions!$B$7,Assumptions!$B$10)</f>
        <v>1408.27</v>
      </c>
      <c r="G49" s="18" t="n">
        <f aca="false">SUM(E49:F49)</f>
        <v>36615</v>
      </c>
      <c r="H49" s="18" t="n">
        <f aca="false">ROUND(G49-'Cohort Data'!H49,Assumptions!$B$10)</f>
        <v>5869.2</v>
      </c>
      <c r="I49" s="18" t="n">
        <f aca="false">CEILING(G49,Assumptions!$B$12)</f>
        <v>36700</v>
      </c>
      <c r="J49" s="18" t="n">
        <f aca="false">FLOOR(G49,Assumptions!$B$12)</f>
        <v>36600</v>
      </c>
      <c r="K49" s="18" t="n">
        <f aca="false">ROUNDUP(G49,Assumptions!$B$10)</f>
        <v>36615</v>
      </c>
      <c r="L49" s="18" t="n">
        <f aca="false">ROUNDDOWN(G49,Assumptions!$B$10)</f>
        <v>36615</v>
      </c>
      <c r="M49" s="19" t="n">
        <f aca="false">INT('Cohort Data'!E49/Assumptions!$B$11)</f>
        <v>1</v>
      </c>
    </row>
    <row r="50" customFormat="false" ht="15" hidden="false" customHeight="false" outlineLevel="0" collapsed="false">
      <c r="A50" s="2" t="s">
        <v>150</v>
      </c>
      <c r="B50" s="18" t="n">
        <f aca="false">IF('Cohort Data'!D50=Assumptions!$B$16,ROUND('Cohort Data'!L50*'Cohort Data'!J50*Assumptions!$F$4,Assumptions!$B$10),Assumptions!$B$13)</f>
        <v>16298.98</v>
      </c>
      <c r="C50" s="18" t="n">
        <f aca="false">IF('Cohort Data'!D50=Assumptions!$B$16,ROUND('Cohort Data'!E50*Assumptions!$B$6,Assumptions!$B$10),Assumptions!$B$13)</f>
        <v>2425</v>
      </c>
      <c r="D50" s="18" t="n">
        <f aca="false">SUM(B50:C50)</f>
        <v>18723.98</v>
      </c>
      <c r="E50" s="18" t="n">
        <f aca="false">ROUND(D50/Assumptions!$F$6,Assumptions!$B$10)</f>
        <v>18178.62</v>
      </c>
      <c r="F50" s="18" t="n">
        <f aca="false">ROUND(E50*Assumptions!$B$7,Assumptions!$B$10)</f>
        <v>727.14</v>
      </c>
      <c r="G50" s="18" t="n">
        <f aca="false">SUM(E50:F50)</f>
        <v>18905.76</v>
      </c>
      <c r="H50" s="18" t="n">
        <f aca="false">ROUND(G50-'Cohort Data'!H50,Assumptions!$B$10)</f>
        <v>4001.9</v>
      </c>
      <c r="I50" s="18" t="n">
        <f aca="false">CEILING(G50,Assumptions!$B$12)</f>
        <v>19000</v>
      </c>
      <c r="J50" s="18" t="n">
        <f aca="false">FLOOR(G50,Assumptions!$B$12)</f>
        <v>18900</v>
      </c>
      <c r="K50" s="18" t="n">
        <f aca="false">ROUNDUP(G50,Assumptions!$B$10)</f>
        <v>18905.76</v>
      </c>
      <c r="L50" s="18" t="n">
        <f aca="false">ROUNDDOWN(G50,Assumptions!$B$10)</f>
        <v>18905.76</v>
      </c>
      <c r="M50" s="19" t="n">
        <f aca="false">INT('Cohort Data'!E50/Assumptions!$B$11)</f>
        <v>0</v>
      </c>
    </row>
    <row r="51" customFormat="false" ht="15" hidden="false" customHeight="false" outlineLevel="0" collapsed="false">
      <c r="A51" s="2" t="s">
        <v>151</v>
      </c>
      <c r="B51" s="18" t="n">
        <f aca="false">IF('Cohort Data'!D51=Assumptions!$B$16,ROUND('Cohort Data'!L51*'Cohort Data'!J51*Assumptions!$F$4,Assumptions!$B$10),Assumptions!$B$13)</f>
        <v>32384.1</v>
      </c>
      <c r="C51" s="18" t="n">
        <f aca="false">IF('Cohort Data'!D51=Assumptions!$B$16,ROUND('Cohort Data'!E51*Assumptions!$B$6,Assumptions!$B$10),Assumptions!$B$13)</f>
        <v>2600</v>
      </c>
      <c r="D51" s="18" t="n">
        <f aca="false">SUM(B51:C51)</f>
        <v>34984.1</v>
      </c>
      <c r="E51" s="18" t="n">
        <f aca="false">ROUND(D51/Assumptions!$F$6,Assumptions!$B$10)</f>
        <v>33965.15</v>
      </c>
      <c r="F51" s="18" t="n">
        <f aca="false">ROUND(E51*Assumptions!$B$7,Assumptions!$B$10)</f>
        <v>1358.61</v>
      </c>
      <c r="G51" s="18" t="n">
        <f aca="false">SUM(E51:F51)</f>
        <v>35323.76</v>
      </c>
      <c r="H51" s="18" t="n">
        <f aca="false">ROUND(G51-'Cohort Data'!H51,Assumptions!$B$10)</f>
        <v>5371.76</v>
      </c>
      <c r="I51" s="18" t="n">
        <f aca="false">CEILING(G51,Assumptions!$B$12)</f>
        <v>35400</v>
      </c>
      <c r="J51" s="18" t="n">
        <f aca="false">FLOOR(G51,Assumptions!$B$12)</f>
        <v>35300</v>
      </c>
      <c r="K51" s="18" t="n">
        <f aca="false">ROUNDUP(G51,Assumptions!$B$10)</f>
        <v>35323.76</v>
      </c>
      <c r="L51" s="18" t="n">
        <f aca="false">ROUNDDOWN(G51,Assumptions!$B$10)</f>
        <v>35323.76</v>
      </c>
      <c r="M51" s="19" t="n">
        <f aca="false">INT('Cohort Data'!E51/Assumptions!$B$11)</f>
        <v>1</v>
      </c>
    </row>
    <row r="52" customFormat="false" ht="15" hidden="false" customHeight="false" outlineLevel="0" collapsed="false">
      <c r="A52" s="2" t="s">
        <v>152</v>
      </c>
      <c r="B52" s="18" t="n">
        <f aca="false">IF('Cohort Data'!D52=Assumptions!$B$16,ROUND('Cohort Data'!L52*'Cohort Data'!J52*Assumptions!$F$4,Assumptions!$B$10),Assumptions!$B$13)</f>
        <v>12871.2</v>
      </c>
      <c r="C52" s="18" t="n">
        <f aca="false">IF('Cohort Data'!D52=Assumptions!$B$16,ROUND('Cohort Data'!E52*Assumptions!$B$6,Assumptions!$B$10),Assumptions!$B$13)</f>
        <v>1975</v>
      </c>
      <c r="D52" s="18" t="n">
        <f aca="false">SUM(B52:C52)</f>
        <v>14846.2</v>
      </c>
      <c r="E52" s="18" t="n">
        <f aca="false">ROUND(D52/Assumptions!$F$6,Assumptions!$B$10)</f>
        <v>14413.79</v>
      </c>
      <c r="F52" s="18" t="n">
        <f aca="false">ROUND(E52*Assumptions!$B$7,Assumptions!$B$10)</f>
        <v>576.55</v>
      </c>
      <c r="G52" s="18" t="n">
        <f aca="false">SUM(E52:F52)</f>
        <v>14990.34</v>
      </c>
      <c r="H52" s="18" t="n">
        <f aca="false">ROUND(G52-'Cohort Data'!H52,Assumptions!$B$10)</f>
        <v>3484.94</v>
      </c>
      <c r="I52" s="18" t="n">
        <f aca="false">CEILING(G52,Assumptions!$B$12)</f>
        <v>15000</v>
      </c>
      <c r="J52" s="18" t="n">
        <f aca="false">FLOOR(G52,Assumptions!$B$12)</f>
        <v>14900</v>
      </c>
      <c r="K52" s="18" t="n">
        <f aca="false">ROUNDUP(G52,Assumptions!$B$10)</f>
        <v>14990.34</v>
      </c>
      <c r="L52" s="18" t="n">
        <f aca="false">ROUNDDOWN(G52,Assumptions!$B$10)</f>
        <v>14990.34</v>
      </c>
      <c r="M52" s="19" t="n">
        <f aca="false">INT('Cohort Data'!E52/Assumptions!$B$11)</f>
        <v>0</v>
      </c>
    </row>
    <row r="53" customFormat="false" ht="15" hidden="false" customHeight="false" outlineLevel="0" collapsed="false">
      <c r="A53" s="2" t="s">
        <v>153</v>
      </c>
      <c r="B53" s="18" t="n">
        <f aca="false">IF('Cohort Data'!D53=Assumptions!$B$16,ROUND('Cohort Data'!L53*'Cohort Data'!J53*Assumptions!$F$4,Assumptions!$B$10),Assumptions!$B$13)</f>
        <v>32723.98</v>
      </c>
      <c r="C53" s="18" t="n">
        <f aca="false">IF('Cohort Data'!D53=Assumptions!$B$16,ROUND('Cohort Data'!E53*Assumptions!$B$6,Assumptions!$B$10),Assumptions!$B$13)</f>
        <v>2850</v>
      </c>
      <c r="D53" s="18" t="n">
        <f aca="false">SUM(B53:C53)</f>
        <v>35573.98</v>
      </c>
      <c r="E53" s="18" t="n">
        <f aca="false">ROUND(D53/Assumptions!$F$6,Assumptions!$B$10)</f>
        <v>34537.84</v>
      </c>
      <c r="F53" s="18" t="n">
        <f aca="false">ROUND(E53*Assumptions!$B$7,Assumptions!$B$10)</f>
        <v>1381.51</v>
      </c>
      <c r="G53" s="18" t="n">
        <f aca="false">SUM(E53:F53)</f>
        <v>35919.35</v>
      </c>
      <c r="H53" s="18" t="n">
        <f aca="false">ROUND(G53-'Cohort Data'!H53,Assumptions!$B$10)</f>
        <v>5687.92</v>
      </c>
      <c r="I53" s="18" t="n">
        <f aca="false">CEILING(G53,Assumptions!$B$12)</f>
        <v>36000</v>
      </c>
      <c r="J53" s="18" t="n">
        <f aca="false">FLOOR(G53,Assumptions!$B$12)</f>
        <v>35900</v>
      </c>
      <c r="K53" s="18" t="n">
        <f aca="false">ROUNDUP(G53,Assumptions!$B$10)</f>
        <v>35919.35</v>
      </c>
      <c r="L53" s="18" t="n">
        <f aca="false">ROUNDDOWN(G53,Assumptions!$B$10)</f>
        <v>35919.35</v>
      </c>
      <c r="M53" s="19" t="n">
        <f aca="false">INT('Cohort Data'!E53/Assumptions!$B$11)</f>
        <v>1</v>
      </c>
    </row>
    <row r="54" customFormat="false" ht="15" hidden="false" customHeight="false" outlineLevel="0" collapsed="false">
      <c r="A54" s="2" t="s">
        <v>154</v>
      </c>
      <c r="B54" s="18" t="n">
        <f aca="false">IF('Cohort Data'!D54=Assumptions!$B$16,ROUND('Cohort Data'!L54*'Cohort Data'!J54*Assumptions!$F$4,Assumptions!$B$10),Assumptions!$B$13)</f>
        <v>43593.98</v>
      </c>
      <c r="C54" s="18" t="n">
        <f aca="false">IF('Cohort Data'!D54=Assumptions!$B$16,ROUND('Cohort Data'!E54*Assumptions!$B$6,Assumptions!$B$10),Assumptions!$B$13)</f>
        <v>3500</v>
      </c>
      <c r="D54" s="18" t="n">
        <f aca="false">SUM(B54:C54)</f>
        <v>47093.98</v>
      </c>
      <c r="E54" s="18" t="n">
        <f aca="false">ROUND(D54/Assumptions!$F$6,Assumptions!$B$10)</f>
        <v>45722.31</v>
      </c>
      <c r="F54" s="18" t="n">
        <f aca="false">ROUND(E54*Assumptions!$B$7,Assumptions!$B$10)</f>
        <v>1828.89</v>
      </c>
      <c r="G54" s="18" t="n">
        <f aca="false">SUM(E54:F54)</f>
        <v>47551.2</v>
      </c>
      <c r="H54" s="18" t="n">
        <f aca="false">ROUND(G54-'Cohort Data'!H54,Assumptions!$B$10)</f>
        <v>8844</v>
      </c>
      <c r="I54" s="18" t="n">
        <f aca="false">CEILING(G54,Assumptions!$B$12)</f>
        <v>47600</v>
      </c>
      <c r="J54" s="18" t="n">
        <f aca="false">FLOOR(G54,Assumptions!$B$12)</f>
        <v>47500</v>
      </c>
      <c r="K54" s="18" t="n">
        <f aca="false">ROUNDUP(G54,Assumptions!$B$10)</f>
        <v>47551.2</v>
      </c>
      <c r="L54" s="18" t="n">
        <f aca="false">ROUNDDOWN(G54,Assumptions!$B$10)</f>
        <v>47551.2</v>
      </c>
      <c r="M54" s="19" t="n">
        <f aca="false">INT('Cohort Data'!E54/Assumptions!$B$11)</f>
        <v>1</v>
      </c>
    </row>
    <row r="55" customFormat="false" ht="15" hidden="false" customHeight="false" outlineLevel="0" collapsed="false">
      <c r="A55" s="2" t="s">
        <v>155</v>
      </c>
      <c r="B55" s="18" t="n">
        <f aca="false">IF('Cohort Data'!D55=Assumptions!$B$16,ROUND('Cohort Data'!L55*'Cohort Data'!J55*Assumptions!$F$4,Assumptions!$B$10),Assumptions!$B$13)</f>
        <v>23895.91</v>
      </c>
      <c r="C55" s="18" t="n">
        <f aca="false">IF('Cohort Data'!D55=Assumptions!$B$16,ROUND('Cohort Data'!E55*Assumptions!$B$6,Assumptions!$B$10),Assumptions!$B$13)</f>
        <v>4500</v>
      </c>
      <c r="D55" s="18" t="n">
        <f aca="false">SUM(B55:C55)</f>
        <v>28395.91</v>
      </c>
      <c r="E55" s="18" t="n">
        <f aca="false">ROUND(D55/Assumptions!$F$6,Assumptions!$B$10)</f>
        <v>27568.84</v>
      </c>
      <c r="F55" s="18" t="n">
        <f aca="false">ROUND(E55*Assumptions!$B$7,Assumptions!$B$10)</f>
        <v>1102.75</v>
      </c>
      <c r="G55" s="18" t="n">
        <f aca="false">SUM(E55:F55)</f>
        <v>28671.59</v>
      </c>
      <c r="H55" s="18" t="n">
        <f aca="false">ROUND(G55-'Cohort Data'!H55,Assumptions!$B$10)</f>
        <v>7311.35</v>
      </c>
      <c r="I55" s="18" t="n">
        <f aca="false">CEILING(G55,Assumptions!$B$12)</f>
        <v>28700</v>
      </c>
      <c r="J55" s="18" t="n">
        <f aca="false">FLOOR(G55,Assumptions!$B$12)</f>
        <v>28600</v>
      </c>
      <c r="K55" s="18" t="n">
        <f aca="false">ROUNDUP(G55,Assumptions!$B$10)</f>
        <v>28671.59</v>
      </c>
      <c r="L55" s="18" t="n">
        <f aca="false">ROUNDDOWN(G55,Assumptions!$B$10)</f>
        <v>28671.59</v>
      </c>
      <c r="M55" s="19" t="n">
        <f aca="false">INT('Cohort Data'!E55/Assumptions!$B$11)</f>
        <v>1</v>
      </c>
    </row>
    <row r="56" customFormat="false" ht="15" hidden="false" customHeight="false" outlineLevel="0" collapsed="false">
      <c r="A56" s="2" t="s">
        <v>156</v>
      </c>
      <c r="B56" s="18" t="n">
        <f aca="false">IF('Cohort Data'!D56=Assumptions!$B$16,ROUND('Cohort Data'!L56*'Cohort Data'!J56*Assumptions!$F$4,Assumptions!$B$10),Assumptions!$B$13)</f>
        <v>43793.01</v>
      </c>
      <c r="C56" s="18" t="n">
        <f aca="false">IF('Cohort Data'!D56=Assumptions!$B$16,ROUND('Cohort Data'!E56*Assumptions!$B$6,Assumptions!$B$10),Assumptions!$B$13)</f>
        <v>3475</v>
      </c>
      <c r="D56" s="18" t="n">
        <f aca="false">SUM(B56:C56)</f>
        <v>47268.01</v>
      </c>
      <c r="E56" s="18" t="n">
        <f aca="false">ROUND(D56/Assumptions!$F$6,Assumptions!$B$10)</f>
        <v>45891.27</v>
      </c>
      <c r="F56" s="18" t="n">
        <f aca="false">ROUND(E56*Assumptions!$B$7,Assumptions!$B$10)</f>
        <v>1835.65</v>
      </c>
      <c r="G56" s="18" t="n">
        <f aca="false">SUM(E56:F56)</f>
        <v>47726.92</v>
      </c>
      <c r="H56" s="18" t="n">
        <f aca="false">ROUND(G56-'Cohort Data'!H56,Assumptions!$B$10)</f>
        <v>9333.73</v>
      </c>
      <c r="I56" s="18" t="n">
        <f aca="false">CEILING(G56,Assumptions!$B$12)</f>
        <v>47800</v>
      </c>
      <c r="J56" s="18" t="n">
        <f aca="false">FLOOR(G56,Assumptions!$B$12)</f>
        <v>47700</v>
      </c>
      <c r="K56" s="18" t="n">
        <f aca="false">ROUNDUP(G56,Assumptions!$B$10)</f>
        <v>47726.92</v>
      </c>
      <c r="L56" s="18" t="n">
        <f aca="false">ROUNDDOWN(G56,Assumptions!$B$10)</f>
        <v>47726.92</v>
      </c>
      <c r="M56" s="19" t="n">
        <f aca="false">INT('Cohort Data'!E56/Assumptions!$B$11)</f>
        <v>1</v>
      </c>
    </row>
    <row r="57" customFormat="false" ht="15" hidden="false" customHeight="false" outlineLevel="0" collapsed="false">
      <c r="A57" s="2" t="s">
        <v>157</v>
      </c>
      <c r="B57" s="18" t="n">
        <f aca="false">IF('Cohort Data'!D57=Assumptions!$B$16,ROUND('Cohort Data'!L57*'Cohort Data'!J57*Assumptions!$F$4,Assumptions!$B$10),Assumptions!$B$13)</f>
        <v>74312.17</v>
      </c>
      <c r="C57" s="18" t="n">
        <f aca="false">IF('Cohort Data'!D57=Assumptions!$B$16,ROUND('Cohort Data'!E57*Assumptions!$B$6,Assumptions!$B$10),Assumptions!$B$13)</f>
        <v>5550</v>
      </c>
      <c r="D57" s="18" t="n">
        <f aca="false">SUM(B57:C57)</f>
        <v>79862.17</v>
      </c>
      <c r="E57" s="18" t="n">
        <f aca="false">ROUND(D57/Assumptions!$F$6,Assumptions!$B$10)</f>
        <v>77536.09</v>
      </c>
      <c r="F57" s="18" t="n">
        <f aca="false">ROUND(E57*Assumptions!$B$7,Assumptions!$B$10)</f>
        <v>3101.44</v>
      </c>
      <c r="G57" s="18" t="n">
        <f aca="false">SUM(E57:F57)</f>
        <v>80637.53</v>
      </c>
      <c r="H57" s="18" t="n">
        <f aca="false">ROUND(G57-'Cohort Data'!H57,Assumptions!$B$10)</f>
        <v>14655.58</v>
      </c>
      <c r="I57" s="18" t="n">
        <f aca="false">CEILING(G57,Assumptions!$B$12)</f>
        <v>80700</v>
      </c>
      <c r="J57" s="18" t="n">
        <f aca="false">FLOOR(G57,Assumptions!$B$12)</f>
        <v>80600</v>
      </c>
      <c r="K57" s="18" t="n">
        <f aca="false">ROUNDUP(G57,Assumptions!$B$10)</f>
        <v>80637.53</v>
      </c>
      <c r="L57" s="18" t="n">
        <f aca="false">ROUNDDOWN(G57,Assumptions!$B$10)</f>
        <v>80637.53</v>
      </c>
      <c r="M57" s="19" t="n">
        <f aca="false">INT('Cohort Data'!E57/Assumptions!$B$11)</f>
        <v>2</v>
      </c>
    </row>
    <row r="58" customFormat="false" ht="15" hidden="false" customHeight="false" outlineLevel="0" collapsed="false">
      <c r="A58" s="2" t="s">
        <v>158</v>
      </c>
      <c r="B58" s="18" t="n">
        <f aca="false">IF('Cohort Data'!D58=Assumptions!$B$16,ROUND('Cohort Data'!L58*'Cohort Data'!J58*Assumptions!$F$4,Assumptions!$B$10),Assumptions!$B$13)</f>
        <v>41817.84</v>
      </c>
      <c r="C58" s="18" t="n">
        <f aca="false">IF('Cohort Data'!D58=Assumptions!$B$16,ROUND('Cohort Data'!E58*Assumptions!$B$6,Assumptions!$B$10),Assumptions!$B$13)</f>
        <v>4125</v>
      </c>
      <c r="D58" s="18" t="n">
        <f aca="false">SUM(B58:C58)</f>
        <v>45942.84</v>
      </c>
      <c r="E58" s="18" t="n">
        <f aca="false">ROUND(D58/Assumptions!$F$6,Assumptions!$B$10)</f>
        <v>44604.7</v>
      </c>
      <c r="F58" s="18" t="n">
        <f aca="false">ROUND(E58*Assumptions!$B$7,Assumptions!$B$10)</f>
        <v>1784.19</v>
      </c>
      <c r="G58" s="18" t="n">
        <f aca="false">SUM(E58:F58)</f>
        <v>46388.89</v>
      </c>
      <c r="H58" s="18" t="n">
        <f aca="false">ROUND(G58-'Cohort Data'!H58,Assumptions!$B$10)</f>
        <v>6596.83</v>
      </c>
      <c r="I58" s="18" t="n">
        <f aca="false">CEILING(G58,Assumptions!$B$12)</f>
        <v>46400</v>
      </c>
      <c r="J58" s="18" t="n">
        <f aca="false">FLOOR(G58,Assumptions!$B$12)</f>
        <v>46300</v>
      </c>
      <c r="K58" s="18" t="n">
        <f aca="false">ROUNDUP(G58,Assumptions!$B$10)</f>
        <v>46388.89</v>
      </c>
      <c r="L58" s="18" t="n">
        <f aca="false">ROUNDDOWN(G58,Assumptions!$B$10)</f>
        <v>46388.89</v>
      </c>
      <c r="M58" s="19" t="n">
        <f aca="false">INT('Cohort Data'!E58/Assumptions!$B$11)</f>
        <v>1</v>
      </c>
    </row>
    <row r="59" customFormat="false" ht="15" hidden="false" customHeight="false" outlineLevel="0" collapsed="false">
      <c r="A59" s="2" t="s">
        <v>159</v>
      </c>
      <c r="B59" s="18" t="n">
        <f aca="false">IF('Cohort Data'!D59=Assumptions!$B$16,ROUND('Cohort Data'!L59*'Cohort Data'!J59*Assumptions!$F$4,Assumptions!$B$10),Assumptions!$B$13)</f>
        <v>48938.95</v>
      </c>
      <c r="C59" s="18" t="n">
        <f aca="false">IF('Cohort Data'!D59=Assumptions!$B$16,ROUND('Cohort Data'!E59*Assumptions!$B$6,Assumptions!$B$10),Assumptions!$B$13)</f>
        <v>5825</v>
      </c>
      <c r="D59" s="18" t="n">
        <f aca="false">SUM(B59:C59)</f>
        <v>54763.95</v>
      </c>
      <c r="E59" s="18" t="n">
        <f aca="false">ROUND(D59/Assumptions!$F$6,Assumptions!$B$10)</f>
        <v>53168.88</v>
      </c>
      <c r="F59" s="18" t="n">
        <f aca="false">ROUND(E59*Assumptions!$B$7,Assumptions!$B$10)</f>
        <v>2126.76</v>
      </c>
      <c r="G59" s="18" t="n">
        <f aca="false">SUM(E59:F59)</f>
        <v>55295.64</v>
      </c>
      <c r="H59" s="18" t="n">
        <f aca="false">ROUND(G59-'Cohort Data'!H59,Assumptions!$B$10)</f>
        <v>13775.04</v>
      </c>
      <c r="I59" s="18" t="n">
        <f aca="false">CEILING(G59,Assumptions!$B$12)</f>
        <v>55300</v>
      </c>
      <c r="J59" s="18" t="n">
        <f aca="false">FLOOR(G59,Assumptions!$B$12)</f>
        <v>55200</v>
      </c>
      <c r="K59" s="18" t="n">
        <f aca="false">ROUNDUP(G59,Assumptions!$B$10)</f>
        <v>55295.64</v>
      </c>
      <c r="L59" s="18" t="n">
        <f aca="false">ROUNDDOWN(G59,Assumptions!$B$10)</f>
        <v>55295.64</v>
      </c>
      <c r="M59" s="19" t="n">
        <f aca="false">INT('Cohort Data'!E59/Assumptions!$B$11)</f>
        <v>2</v>
      </c>
    </row>
    <row r="60" customFormat="false" ht="15" hidden="false" customHeight="false" outlineLevel="0" collapsed="false">
      <c r="A60" s="2" t="s">
        <v>160</v>
      </c>
      <c r="B60" s="18" t="n">
        <f aca="false">IF('Cohort Data'!D60=Assumptions!$B$16,ROUND('Cohort Data'!L60*'Cohort Data'!J60*Assumptions!$F$4,Assumptions!$B$10),Assumptions!$B$13)</f>
        <v>0</v>
      </c>
      <c r="C60" s="18" t="n">
        <f aca="false">IF('Cohort Data'!D60=Assumptions!$B$16,ROUND('Cohort Data'!E60*Assumptions!$B$6,Assumptions!$B$10),Assumptions!$B$13)</f>
        <v>0</v>
      </c>
      <c r="D60" s="18" t="n">
        <f aca="false">SUM(B60:C60)</f>
        <v>0</v>
      </c>
      <c r="E60" s="18" t="n">
        <f aca="false">ROUND(D60/Assumptions!$F$6,Assumptions!$B$10)</f>
        <v>0</v>
      </c>
      <c r="F60" s="18" t="n">
        <f aca="false">ROUND(E60*Assumptions!$B$7,Assumptions!$B$10)</f>
        <v>0</v>
      </c>
      <c r="G60" s="18" t="n">
        <f aca="false">SUM(E60:F60)</f>
        <v>0</v>
      </c>
      <c r="H60" s="18" t="n">
        <f aca="false">ROUND(G60-'Cohort Data'!H60,Assumptions!$B$10)</f>
        <v>-53184.1</v>
      </c>
      <c r="I60" s="18" t="n">
        <f aca="false">CEILING(G60,Assumptions!$B$12)</f>
        <v>0</v>
      </c>
      <c r="J60" s="18" t="n">
        <f aca="false">FLOOR(G60,Assumptions!$B$12)</f>
        <v>0</v>
      </c>
      <c r="K60" s="18" t="n">
        <f aca="false">ROUNDUP(G60,Assumptions!$B$10)</f>
        <v>0</v>
      </c>
      <c r="L60" s="18" t="n">
        <f aca="false">ROUNDDOWN(G60,Assumptions!$B$10)</f>
        <v>0</v>
      </c>
      <c r="M60" s="19" t="n">
        <f aca="false">INT('Cohort Data'!E60/Assumptions!$B$11)</f>
        <v>2</v>
      </c>
    </row>
    <row r="61" customFormat="false" ht="15" hidden="false" customHeight="false" outlineLevel="0" collapsed="false">
      <c r="A61" s="2" t="s">
        <v>161</v>
      </c>
      <c r="B61" s="18" t="n">
        <f aca="false">IF('Cohort Data'!D61=Assumptions!$B$16,ROUND('Cohort Data'!L61*'Cohort Data'!J61*Assumptions!$F$4,Assumptions!$B$10),Assumptions!$B$13)</f>
        <v>18851.22</v>
      </c>
      <c r="C61" s="18" t="n">
        <f aca="false">IF('Cohort Data'!D61=Assumptions!$B$16,ROUND('Cohort Data'!E61*Assumptions!$B$6,Assumptions!$B$10),Assumptions!$B$13)</f>
        <v>1775</v>
      </c>
      <c r="D61" s="18" t="n">
        <f aca="false">SUM(B61:C61)</f>
        <v>20626.22</v>
      </c>
      <c r="E61" s="18" t="n">
        <f aca="false">ROUND(D61/Assumptions!$F$6,Assumptions!$B$10)</f>
        <v>20025.46</v>
      </c>
      <c r="F61" s="18" t="n">
        <f aca="false">ROUND(E61*Assumptions!$B$7,Assumptions!$B$10)</f>
        <v>801.02</v>
      </c>
      <c r="G61" s="18" t="n">
        <f aca="false">SUM(E61:F61)</f>
        <v>20826.48</v>
      </c>
      <c r="H61" s="18" t="n">
        <f aca="false">ROUND(G61-'Cohort Data'!H61,Assumptions!$B$10)</f>
        <v>3975.62</v>
      </c>
      <c r="I61" s="18" t="n">
        <f aca="false">CEILING(G61,Assumptions!$B$12)</f>
        <v>20900</v>
      </c>
      <c r="J61" s="18" t="n">
        <f aca="false">FLOOR(G61,Assumptions!$B$12)</f>
        <v>20800</v>
      </c>
      <c r="K61" s="18" t="n">
        <f aca="false">ROUNDUP(G61,Assumptions!$B$10)</f>
        <v>20826.48</v>
      </c>
      <c r="L61" s="18" t="n">
        <f aca="false">ROUNDDOWN(G61,Assumptions!$B$10)</f>
        <v>20826.48</v>
      </c>
      <c r="M61" s="19" t="n">
        <f aca="false">INT('Cohort Data'!E61/Assumptions!$B$11)</f>
        <v>0</v>
      </c>
    </row>
    <row r="62" customFormat="false" ht="15" hidden="false" customHeight="false" outlineLevel="0" collapsed="false">
      <c r="A62" s="2" t="s">
        <v>162</v>
      </c>
      <c r="B62" s="18" t="n">
        <f aca="false">IF('Cohort Data'!D62=Assumptions!$B$16,ROUND('Cohort Data'!L62*'Cohort Data'!J62*Assumptions!$F$4,Assumptions!$B$10),Assumptions!$B$13)</f>
        <v>40922.48</v>
      </c>
      <c r="C62" s="18" t="n">
        <f aca="false">IF('Cohort Data'!D62=Assumptions!$B$16,ROUND('Cohort Data'!E62*Assumptions!$B$6,Assumptions!$B$10),Assumptions!$B$13)</f>
        <v>4175</v>
      </c>
      <c r="D62" s="18" t="n">
        <f aca="false">SUM(B62:C62)</f>
        <v>45097.48</v>
      </c>
      <c r="E62" s="18" t="n">
        <f aca="false">ROUND(D62/Assumptions!$F$6,Assumptions!$B$10)</f>
        <v>43783.96</v>
      </c>
      <c r="F62" s="18" t="n">
        <f aca="false">ROUND(E62*Assumptions!$B$7,Assumptions!$B$10)</f>
        <v>1751.36</v>
      </c>
      <c r="G62" s="18" t="n">
        <f aca="false">SUM(E62:F62)</f>
        <v>45535.32</v>
      </c>
      <c r="H62" s="18" t="n">
        <f aca="false">ROUND(G62-'Cohort Data'!H62,Assumptions!$B$10)</f>
        <v>7344.09</v>
      </c>
      <c r="I62" s="18" t="n">
        <f aca="false">CEILING(G62,Assumptions!$B$12)</f>
        <v>45600</v>
      </c>
      <c r="J62" s="18" t="n">
        <f aca="false">FLOOR(G62,Assumptions!$B$12)</f>
        <v>45500</v>
      </c>
      <c r="K62" s="18" t="n">
        <f aca="false">ROUNDUP(G62,Assumptions!$B$10)</f>
        <v>45535.32</v>
      </c>
      <c r="L62" s="18" t="n">
        <f aca="false">ROUNDDOWN(G62,Assumptions!$B$10)</f>
        <v>45535.32</v>
      </c>
      <c r="M62" s="19" t="n">
        <f aca="false">INT('Cohort Data'!E62/Assumptions!$B$11)</f>
        <v>1</v>
      </c>
    </row>
    <row r="63" customFormat="false" ht="15" hidden="false" customHeight="false" outlineLevel="0" collapsed="false">
      <c r="A63" s="2" t="s">
        <v>163</v>
      </c>
      <c r="B63" s="18" t="n">
        <f aca="false">IF('Cohort Data'!D63=Assumptions!$B$16,ROUND('Cohort Data'!L63*'Cohort Data'!J63*Assumptions!$F$4,Assumptions!$B$10),Assumptions!$B$13)</f>
        <v>20925.11</v>
      </c>
      <c r="C63" s="18" t="n">
        <f aca="false">IF('Cohort Data'!D63=Assumptions!$B$16,ROUND('Cohort Data'!E63*Assumptions!$B$6,Assumptions!$B$10),Assumptions!$B$13)</f>
        <v>2100</v>
      </c>
      <c r="D63" s="18" t="n">
        <f aca="false">SUM(B63:C63)</f>
        <v>23025.11</v>
      </c>
      <c r="E63" s="18" t="n">
        <f aca="false">ROUND(D63/Assumptions!$F$6,Assumptions!$B$10)</f>
        <v>22354.48</v>
      </c>
      <c r="F63" s="18" t="n">
        <f aca="false">ROUND(E63*Assumptions!$B$7,Assumptions!$B$10)</f>
        <v>894.18</v>
      </c>
      <c r="G63" s="18" t="n">
        <f aca="false">SUM(E63:F63)</f>
        <v>23248.66</v>
      </c>
      <c r="H63" s="18" t="n">
        <f aca="false">ROUND(G63-'Cohort Data'!H63,Assumptions!$B$10)</f>
        <v>5056.28</v>
      </c>
      <c r="I63" s="18" t="n">
        <f aca="false">CEILING(G63,Assumptions!$B$12)</f>
        <v>23300</v>
      </c>
      <c r="J63" s="18" t="n">
        <f aca="false">FLOOR(G63,Assumptions!$B$12)</f>
        <v>23200</v>
      </c>
      <c r="K63" s="18" t="n">
        <f aca="false">ROUNDUP(G63,Assumptions!$B$10)</f>
        <v>23248.66</v>
      </c>
      <c r="L63" s="18" t="n">
        <f aca="false">ROUNDDOWN(G63,Assumptions!$B$10)</f>
        <v>23248.66</v>
      </c>
      <c r="M63" s="19" t="n">
        <f aca="false">INT('Cohort Data'!E63/Assumptions!$B$11)</f>
        <v>0</v>
      </c>
    </row>
    <row r="64" customFormat="false" ht="15" hidden="false" customHeight="false" outlineLevel="0" collapsed="false">
      <c r="A64" s="2" t="s">
        <v>164</v>
      </c>
      <c r="B64" s="18" t="n">
        <f aca="false">IF('Cohort Data'!D64=Assumptions!$B$16,ROUND('Cohort Data'!L64*'Cohort Data'!J64*Assumptions!$F$4,Assumptions!$B$10),Assumptions!$B$13)</f>
        <v>19189.14</v>
      </c>
      <c r="C64" s="18" t="n">
        <f aca="false">IF('Cohort Data'!D64=Assumptions!$B$16,ROUND('Cohort Data'!E64*Assumptions!$B$6,Assumptions!$B$10),Assumptions!$B$13)</f>
        <v>3975</v>
      </c>
      <c r="D64" s="18" t="n">
        <f aca="false">SUM(B64:C64)</f>
        <v>23164.14</v>
      </c>
      <c r="E64" s="18" t="n">
        <f aca="false">ROUND(D64/Assumptions!$F$6,Assumptions!$B$10)</f>
        <v>22489.46</v>
      </c>
      <c r="F64" s="18" t="n">
        <f aca="false">ROUND(E64*Assumptions!$B$7,Assumptions!$B$10)</f>
        <v>899.58</v>
      </c>
      <c r="G64" s="18" t="n">
        <f aca="false">SUM(E64:F64)</f>
        <v>23389.04</v>
      </c>
      <c r="H64" s="18" t="n">
        <f aca="false">ROUND(G64-'Cohort Data'!H64,Assumptions!$B$10)</f>
        <v>5867.24</v>
      </c>
      <c r="I64" s="18" t="n">
        <f aca="false">CEILING(G64,Assumptions!$B$12)</f>
        <v>23400</v>
      </c>
      <c r="J64" s="18" t="n">
        <f aca="false">FLOOR(G64,Assumptions!$B$12)</f>
        <v>23300</v>
      </c>
      <c r="K64" s="18" t="n">
        <f aca="false">ROUNDUP(G64,Assumptions!$B$10)</f>
        <v>23389.04</v>
      </c>
      <c r="L64" s="18" t="n">
        <f aca="false">ROUNDDOWN(G64,Assumptions!$B$10)</f>
        <v>23389.04</v>
      </c>
      <c r="M64" s="19" t="n">
        <f aca="false">INT('Cohort Data'!E64/Assumptions!$B$11)</f>
        <v>1</v>
      </c>
    </row>
    <row r="65" customFormat="false" ht="15" hidden="false" customHeight="false" outlineLevel="0" collapsed="false">
      <c r="A65" s="2" t="s">
        <v>165</v>
      </c>
      <c r="B65" s="18" t="n">
        <f aca="false">IF('Cohort Data'!D65=Assumptions!$B$16,ROUND('Cohort Data'!L65*'Cohort Data'!J65*Assumptions!$F$4,Assumptions!$B$10),Assumptions!$B$13)</f>
        <v>61611.26</v>
      </c>
      <c r="C65" s="18" t="n">
        <f aca="false">IF('Cohort Data'!D65=Assumptions!$B$16,ROUND('Cohort Data'!E65*Assumptions!$B$6,Assumptions!$B$10),Assumptions!$B$13)</f>
        <v>5500</v>
      </c>
      <c r="D65" s="18" t="n">
        <f aca="false">SUM(B65:C65)</f>
        <v>67111.26</v>
      </c>
      <c r="E65" s="18" t="n">
        <f aca="false">ROUND(D65/Assumptions!$F$6,Assumptions!$B$10)</f>
        <v>65156.56</v>
      </c>
      <c r="F65" s="18" t="n">
        <f aca="false">ROUND(E65*Assumptions!$B$7,Assumptions!$B$10)</f>
        <v>2606.26</v>
      </c>
      <c r="G65" s="18" t="n">
        <f aca="false">SUM(E65:F65)</f>
        <v>67762.82</v>
      </c>
      <c r="H65" s="18" t="n">
        <f aca="false">ROUND(G65-'Cohort Data'!H65,Assumptions!$B$10)</f>
        <v>13167.62</v>
      </c>
      <c r="I65" s="18" t="n">
        <f aca="false">CEILING(G65,Assumptions!$B$12)</f>
        <v>67800</v>
      </c>
      <c r="J65" s="18" t="n">
        <f aca="false">FLOOR(G65,Assumptions!$B$12)</f>
        <v>67700</v>
      </c>
      <c r="K65" s="18" t="n">
        <f aca="false">ROUNDUP(G65,Assumptions!$B$10)</f>
        <v>67762.82</v>
      </c>
      <c r="L65" s="18" t="n">
        <f aca="false">ROUNDDOWN(G65,Assumptions!$B$10)</f>
        <v>67762.81</v>
      </c>
      <c r="M65" s="19" t="n">
        <f aca="false">INT('Cohort Data'!E65/Assumptions!$B$11)</f>
        <v>2</v>
      </c>
    </row>
    <row r="66" customFormat="false" ht="15" hidden="false" customHeight="false" outlineLevel="0" collapsed="false">
      <c r="A66" s="2" t="s">
        <v>166</v>
      </c>
      <c r="B66" s="18" t="n">
        <f aca="false">IF('Cohort Data'!D66=Assumptions!$B$16,ROUND('Cohort Data'!L66*'Cohort Data'!J66*Assumptions!$F$4,Assumptions!$B$10),Assumptions!$B$13)</f>
        <v>62876.54</v>
      </c>
      <c r="C66" s="18" t="n">
        <f aca="false">IF('Cohort Data'!D66=Assumptions!$B$16,ROUND('Cohort Data'!E66*Assumptions!$B$6,Assumptions!$B$10),Assumptions!$B$13)</f>
        <v>4925</v>
      </c>
      <c r="D66" s="18" t="n">
        <f aca="false">SUM(B66:C66)</f>
        <v>67801.54</v>
      </c>
      <c r="E66" s="18" t="n">
        <f aca="false">ROUND(D66/Assumptions!$F$6,Assumptions!$B$10)</f>
        <v>65826.74</v>
      </c>
      <c r="F66" s="18" t="n">
        <f aca="false">ROUND(E66*Assumptions!$B$7,Assumptions!$B$10)</f>
        <v>2633.07</v>
      </c>
      <c r="G66" s="18" t="n">
        <f aca="false">SUM(E66:F66)</f>
        <v>68459.81</v>
      </c>
      <c r="H66" s="18" t="n">
        <f aca="false">ROUND(G66-'Cohort Data'!H66,Assumptions!$B$10)</f>
        <v>13213.13</v>
      </c>
      <c r="I66" s="18" t="n">
        <f aca="false">CEILING(G66,Assumptions!$B$12)</f>
        <v>68500</v>
      </c>
      <c r="J66" s="18" t="n">
        <f aca="false">FLOOR(G66,Assumptions!$B$12)</f>
        <v>68400</v>
      </c>
      <c r="K66" s="18" t="n">
        <f aca="false">ROUNDUP(G66,Assumptions!$B$10)</f>
        <v>68459.82</v>
      </c>
      <c r="L66" s="18" t="n">
        <f aca="false">ROUNDDOWN(G66,Assumptions!$B$10)</f>
        <v>68459.81</v>
      </c>
      <c r="M66" s="19" t="n">
        <f aca="false">INT('Cohort Data'!E66/Assumptions!$B$11)</f>
        <v>1</v>
      </c>
    </row>
    <row r="67" customFormat="false" ht="15" hidden="false" customHeight="false" outlineLevel="0" collapsed="false">
      <c r="A67" s="2" t="s">
        <v>167</v>
      </c>
      <c r="B67" s="18" t="n">
        <f aca="false">IF('Cohort Data'!D67=Assumptions!$B$16,ROUND('Cohort Data'!L67*'Cohort Data'!J67*Assumptions!$F$4,Assumptions!$B$10),Assumptions!$B$13)</f>
        <v>15640.96</v>
      </c>
      <c r="C67" s="18" t="n">
        <f aca="false">IF('Cohort Data'!D67=Assumptions!$B$16,ROUND('Cohort Data'!E67*Assumptions!$B$6,Assumptions!$B$10),Assumptions!$B$13)</f>
        <v>2400</v>
      </c>
      <c r="D67" s="18" t="n">
        <f aca="false">SUM(B67:C67)</f>
        <v>18040.96</v>
      </c>
      <c r="E67" s="18" t="n">
        <f aca="false">ROUND(D67/Assumptions!$F$6,Assumptions!$B$10)</f>
        <v>17515.5</v>
      </c>
      <c r="F67" s="18" t="n">
        <f aca="false">ROUND(E67*Assumptions!$B$7,Assumptions!$B$10)</f>
        <v>700.62</v>
      </c>
      <c r="G67" s="18" t="n">
        <f aca="false">SUM(E67:F67)</f>
        <v>18216.12</v>
      </c>
      <c r="H67" s="18" t="n">
        <f aca="false">ROUND(G67-'Cohort Data'!H67,Assumptions!$B$10)</f>
        <v>3633.53</v>
      </c>
      <c r="I67" s="18" t="n">
        <f aca="false">CEILING(G67,Assumptions!$B$12)</f>
        <v>18300</v>
      </c>
      <c r="J67" s="18" t="n">
        <f aca="false">FLOOR(G67,Assumptions!$B$12)</f>
        <v>18200</v>
      </c>
      <c r="K67" s="18" t="n">
        <f aca="false">ROUNDUP(G67,Assumptions!$B$10)</f>
        <v>18216.12</v>
      </c>
      <c r="L67" s="18" t="n">
        <f aca="false">ROUNDDOWN(G67,Assumptions!$B$10)</f>
        <v>18216.12</v>
      </c>
      <c r="M67" s="19" t="n">
        <f aca="false">INT('Cohort Data'!E67/Assumptions!$B$11)</f>
        <v>0</v>
      </c>
    </row>
    <row r="68" customFormat="false" ht="15" hidden="false" customHeight="false" outlineLevel="0" collapsed="false">
      <c r="A68" s="2" t="s">
        <v>168</v>
      </c>
      <c r="B68" s="18" t="n">
        <f aca="false">IF('Cohort Data'!D68=Assumptions!$B$16,ROUND('Cohort Data'!L68*'Cohort Data'!J68*Assumptions!$F$4,Assumptions!$B$10),Assumptions!$B$13)</f>
        <v>64075.71</v>
      </c>
      <c r="C68" s="18" t="n">
        <f aca="false">IF('Cohort Data'!D68=Assumptions!$B$16,ROUND('Cohort Data'!E68*Assumptions!$B$6,Assumptions!$B$10),Assumptions!$B$13)</f>
        <v>5200</v>
      </c>
      <c r="D68" s="18" t="n">
        <f aca="false">SUM(B68:C68)</f>
        <v>69275.71</v>
      </c>
      <c r="E68" s="18" t="n">
        <f aca="false">ROUND(D68/Assumptions!$F$6,Assumptions!$B$10)</f>
        <v>67257.97</v>
      </c>
      <c r="F68" s="18" t="n">
        <f aca="false">ROUND(E68*Assumptions!$B$7,Assumptions!$B$10)</f>
        <v>2690.32</v>
      </c>
      <c r="G68" s="18" t="n">
        <f aca="false">SUM(E68:F68)</f>
        <v>69948.29</v>
      </c>
      <c r="H68" s="18" t="n">
        <f aca="false">ROUND(G68-'Cohort Data'!H68,Assumptions!$B$10)</f>
        <v>12565.25</v>
      </c>
      <c r="I68" s="18" t="n">
        <f aca="false">CEILING(G68,Assumptions!$B$12)</f>
        <v>70000</v>
      </c>
      <c r="J68" s="18" t="n">
        <f aca="false">FLOOR(G68,Assumptions!$B$12)</f>
        <v>69900</v>
      </c>
      <c r="K68" s="18" t="n">
        <f aca="false">ROUNDUP(G68,Assumptions!$B$10)</f>
        <v>69948.3</v>
      </c>
      <c r="L68" s="18" t="n">
        <f aca="false">ROUNDDOWN(G68,Assumptions!$B$10)</f>
        <v>69948.29</v>
      </c>
      <c r="M68" s="19" t="n">
        <f aca="false">INT('Cohort Data'!E68/Assumptions!$B$11)</f>
        <v>2</v>
      </c>
    </row>
    <row r="69" customFormat="false" ht="15" hidden="false" customHeight="false" outlineLevel="0" collapsed="false">
      <c r="A69" s="2" t="s">
        <v>169</v>
      </c>
      <c r="B69" s="18" t="n">
        <f aca="false">IF('Cohort Data'!D69=Assumptions!$B$16,ROUND('Cohort Data'!L69*'Cohort Data'!J69*Assumptions!$F$4,Assumptions!$B$10),Assumptions!$B$13)</f>
        <v>53223.58</v>
      </c>
      <c r="C69" s="18" t="n">
        <f aca="false">IF('Cohort Data'!D69=Assumptions!$B$16,ROUND('Cohort Data'!E69*Assumptions!$B$6,Assumptions!$B$10),Assumptions!$B$13)</f>
        <v>3975</v>
      </c>
      <c r="D69" s="18" t="n">
        <f aca="false">SUM(B69:C69)</f>
        <v>57198.58</v>
      </c>
      <c r="E69" s="18" t="n">
        <f aca="false">ROUND(D69/Assumptions!$F$6,Assumptions!$B$10)</f>
        <v>55532.6</v>
      </c>
      <c r="F69" s="18" t="n">
        <f aca="false">ROUND(E69*Assumptions!$B$7,Assumptions!$B$10)</f>
        <v>2221.3</v>
      </c>
      <c r="G69" s="18" t="n">
        <f aca="false">SUM(E69:F69)</f>
        <v>57753.9</v>
      </c>
      <c r="H69" s="18" t="n">
        <f aca="false">ROUND(G69-'Cohort Data'!H69,Assumptions!$B$10)</f>
        <v>12957.88</v>
      </c>
      <c r="I69" s="18" t="n">
        <f aca="false">CEILING(G69,Assumptions!$B$12)</f>
        <v>57800</v>
      </c>
      <c r="J69" s="18" t="n">
        <f aca="false">FLOOR(G69,Assumptions!$B$12)</f>
        <v>57700</v>
      </c>
      <c r="K69" s="18" t="n">
        <f aca="false">ROUNDUP(G69,Assumptions!$B$10)</f>
        <v>57753.9</v>
      </c>
      <c r="L69" s="18" t="n">
        <f aca="false">ROUNDDOWN(G69,Assumptions!$B$10)</f>
        <v>57753.9</v>
      </c>
      <c r="M69" s="19" t="n">
        <f aca="false">INT('Cohort Data'!E69/Assumptions!$B$11)</f>
        <v>1</v>
      </c>
    </row>
    <row r="70" customFormat="false" ht="15" hidden="false" customHeight="false" outlineLevel="0" collapsed="false">
      <c r="A70" s="2" t="s">
        <v>170</v>
      </c>
      <c r="B70" s="18" t="n">
        <f aca="false">IF('Cohort Data'!D70=Assumptions!$B$16,ROUND('Cohort Data'!L70*'Cohort Data'!J70*Assumptions!$F$4,Assumptions!$B$10),Assumptions!$B$13)</f>
        <v>12074.67</v>
      </c>
      <c r="C70" s="18" t="n">
        <f aca="false">IF('Cohort Data'!D70=Assumptions!$B$16,ROUND('Cohort Data'!E70*Assumptions!$B$6,Assumptions!$B$10),Assumptions!$B$13)</f>
        <v>2175</v>
      </c>
      <c r="D70" s="18" t="n">
        <f aca="false">SUM(B70:C70)</f>
        <v>14249.67</v>
      </c>
      <c r="E70" s="18" t="n">
        <f aca="false">ROUND(D70/Assumptions!$F$6,Assumptions!$B$10)</f>
        <v>13834.63</v>
      </c>
      <c r="F70" s="18" t="n">
        <f aca="false">ROUND(E70*Assumptions!$B$7,Assumptions!$B$10)</f>
        <v>553.39</v>
      </c>
      <c r="G70" s="18" t="n">
        <f aca="false">SUM(E70:F70)</f>
        <v>14388.02</v>
      </c>
      <c r="H70" s="18" t="n">
        <f aca="false">ROUND(G70-'Cohort Data'!H70,Assumptions!$B$10)</f>
        <v>3130.39</v>
      </c>
      <c r="I70" s="18" t="n">
        <f aca="false">CEILING(G70,Assumptions!$B$12)</f>
        <v>14400</v>
      </c>
      <c r="J70" s="18" t="n">
        <f aca="false">FLOOR(G70,Assumptions!$B$12)</f>
        <v>14300</v>
      </c>
      <c r="K70" s="18" t="n">
        <f aca="false">ROUNDUP(G70,Assumptions!$B$10)</f>
        <v>14388.02</v>
      </c>
      <c r="L70" s="18" t="n">
        <f aca="false">ROUNDDOWN(G70,Assumptions!$B$10)</f>
        <v>14388.02</v>
      </c>
      <c r="M70" s="19" t="n">
        <f aca="false">INT('Cohort Data'!E70/Assumptions!$B$11)</f>
        <v>0</v>
      </c>
    </row>
    <row r="71" customFormat="false" ht="15" hidden="false" customHeight="false" outlineLevel="0" collapsed="false">
      <c r="A71" s="2" t="s">
        <v>171</v>
      </c>
      <c r="B71" s="18" t="n">
        <f aca="false">IF('Cohort Data'!D71=Assumptions!$B$16,ROUND('Cohort Data'!L71*'Cohort Data'!J71*Assumptions!$F$4,Assumptions!$B$10),Assumptions!$B$13)</f>
        <v>29517.4</v>
      </c>
      <c r="C71" s="18" t="n">
        <f aca="false">IF('Cohort Data'!D71=Assumptions!$B$16,ROUND('Cohort Data'!E71*Assumptions!$B$6,Assumptions!$B$10),Assumptions!$B$13)</f>
        <v>3100</v>
      </c>
      <c r="D71" s="18" t="n">
        <f aca="false">SUM(B71:C71)</f>
        <v>32617.4</v>
      </c>
      <c r="E71" s="18" t="n">
        <f aca="false">ROUND(D71/Assumptions!$F$6,Assumptions!$B$10)</f>
        <v>31667.38</v>
      </c>
      <c r="F71" s="18" t="n">
        <f aca="false">ROUND(E71*Assumptions!$B$7,Assumptions!$B$10)</f>
        <v>1266.7</v>
      </c>
      <c r="G71" s="18" t="n">
        <f aca="false">SUM(E71:F71)</f>
        <v>32934.08</v>
      </c>
      <c r="H71" s="18" t="n">
        <f aca="false">ROUND(G71-'Cohort Data'!H71,Assumptions!$B$10)</f>
        <v>5664.99</v>
      </c>
      <c r="I71" s="18" t="n">
        <f aca="false">CEILING(G71,Assumptions!$B$12)</f>
        <v>33000</v>
      </c>
      <c r="J71" s="18" t="n">
        <f aca="false">FLOOR(G71,Assumptions!$B$12)</f>
        <v>32900</v>
      </c>
      <c r="K71" s="18" t="n">
        <f aca="false">ROUNDUP(G71,Assumptions!$B$10)</f>
        <v>32934.08</v>
      </c>
      <c r="L71" s="18" t="n">
        <f aca="false">ROUNDDOWN(G71,Assumptions!$B$10)</f>
        <v>32934.08</v>
      </c>
      <c r="M71" s="19" t="n">
        <f aca="false">INT('Cohort Data'!E71/Assumptions!$B$11)</f>
        <v>1</v>
      </c>
    </row>
    <row r="72" customFormat="false" ht="15" hidden="false" customHeight="false" outlineLevel="0" collapsed="false">
      <c r="A72" s="2" t="s">
        <v>172</v>
      </c>
      <c r="B72" s="18" t="n">
        <f aca="false">IF('Cohort Data'!D72=Assumptions!$B$16,ROUND('Cohort Data'!L72*'Cohort Data'!J72*Assumptions!$F$4,Assumptions!$B$10),Assumptions!$B$13)</f>
        <v>66138.3</v>
      </c>
      <c r="C72" s="18" t="n">
        <f aca="false">IF('Cohort Data'!D72=Assumptions!$B$16,ROUND('Cohort Data'!E72*Assumptions!$B$6,Assumptions!$B$10),Assumptions!$B$13)</f>
        <v>4425</v>
      </c>
      <c r="D72" s="18" t="n">
        <f aca="false">SUM(B72:C72)</f>
        <v>70563.3</v>
      </c>
      <c r="E72" s="18" t="n">
        <f aca="false">ROUND(D72/Assumptions!$F$6,Assumptions!$B$10)</f>
        <v>68508.06</v>
      </c>
      <c r="F72" s="18" t="n">
        <f aca="false">ROUND(E72*Assumptions!$B$7,Assumptions!$B$10)</f>
        <v>2740.32</v>
      </c>
      <c r="G72" s="18" t="n">
        <f aca="false">SUM(E72:F72)</f>
        <v>71248.38</v>
      </c>
      <c r="H72" s="18" t="n">
        <f aca="false">ROUND(G72-'Cohort Data'!H72,Assumptions!$B$10)</f>
        <v>14359.16</v>
      </c>
      <c r="I72" s="18" t="n">
        <f aca="false">CEILING(G72,Assumptions!$B$12)</f>
        <v>71300</v>
      </c>
      <c r="J72" s="18" t="n">
        <f aca="false">FLOOR(G72,Assumptions!$B$12)</f>
        <v>71200</v>
      </c>
      <c r="K72" s="18" t="n">
        <f aca="false">ROUNDUP(G72,Assumptions!$B$10)</f>
        <v>71248.38</v>
      </c>
      <c r="L72" s="18" t="n">
        <f aca="false">ROUNDDOWN(G72,Assumptions!$B$10)</f>
        <v>71248.38</v>
      </c>
      <c r="M72" s="19" t="n">
        <f aca="false">INT('Cohort Data'!E72/Assumptions!$B$11)</f>
        <v>1</v>
      </c>
    </row>
    <row r="73" customFormat="false" ht="15" hidden="false" customHeight="false" outlineLevel="0" collapsed="false">
      <c r="A73" s="2" t="s">
        <v>173</v>
      </c>
      <c r="B73" s="18" t="n">
        <f aca="false">IF('Cohort Data'!D73=Assumptions!$B$16,ROUND('Cohort Data'!L73*'Cohort Data'!J73*Assumptions!$F$4,Assumptions!$B$10),Assumptions!$B$13)</f>
        <v>39072.22</v>
      </c>
      <c r="C73" s="18" t="n">
        <f aca="false">IF('Cohort Data'!D73=Assumptions!$B$16,ROUND('Cohort Data'!E73*Assumptions!$B$6,Assumptions!$B$10),Assumptions!$B$13)</f>
        <v>4375</v>
      </c>
      <c r="D73" s="18" t="n">
        <f aca="false">SUM(B73:C73)</f>
        <v>43447.22</v>
      </c>
      <c r="E73" s="18" t="n">
        <f aca="false">ROUND(D73/Assumptions!$F$6,Assumptions!$B$10)</f>
        <v>42181.77</v>
      </c>
      <c r="F73" s="18" t="n">
        <f aca="false">ROUND(E73*Assumptions!$B$7,Assumptions!$B$10)</f>
        <v>1687.27</v>
      </c>
      <c r="G73" s="18" t="n">
        <f aca="false">SUM(E73:F73)</f>
        <v>43869.04</v>
      </c>
      <c r="H73" s="18" t="n">
        <f aca="false">ROUND(G73-'Cohort Data'!H73,Assumptions!$B$10)</f>
        <v>7816.24</v>
      </c>
      <c r="I73" s="18" t="n">
        <f aca="false">CEILING(G73,Assumptions!$B$12)</f>
        <v>43900</v>
      </c>
      <c r="J73" s="18" t="n">
        <f aca="false">FLOOR(G73,Assumptions!$B$12)</f>
        <v>43800</v>
      </c>
      <c r="K73" s="18" t="n">
        <f aca="false">ROUNDUP(G73,Assumptions!$B$10)</f>
        <v>43869.04</v>
      </c>
      <c r="L73" s="18" t="n">
        <f aca="false">ROUNDDOWN(G73,Assumptions!$B$10)</f>
        <v>43869.03</v>
      </c>
      <c r="M73" s="19" t="n">
        <f aca="false">INT('Cohort Data'!E73/Assumptions!$B$11)</f>
        <v>1</v>
      </c>
    </row>
    <row r="74" customFormat="false" ht="15" hidden="false" customHeight="false" outlineLevel="0" collapsed="false">
      <c r="A74" s="2" t="s">
        <v>174</v>
      </c>
      <c r="B74" s="18" t="n">
        <f aca="false">IF('Cohort Data'!D74=Assumptions!$B$16,ROUND('Cohort Data'!L74*'Cohort Data'!J74*Assumptions!$F$4,Assumptions!$B$10),Assumptions!$B$13)</f>
        <v>59230.83</v>
      </c>
      <c r="C74" s="18" t="n">
        <f aca="false">IF('Cohort Data'!D74=Assumptions!$B$16,ROUND('Cohort Data'!E74*Assumptions!$B$6,Assumptions!$B$10),Assumptions!$B$13)</f>
        <v>5875</v>
      </c>
      <c r="D74" s="18" t="n">
        <f aca="false">SUM(B74:C74)</f>
        <v>65105.83</v>
      </c>
      <c r="E74" s="18" t="n">
        <f aca="false">ROUND(D74/Assumptions!$F$6,Assumptions!$B$10)</f>
        <v>63209.54</v>
      </c>
      <c r="F74" s="18" t="n">
        <f aca="false">ROUND(E74*Assumptions!$B$7,Assumptions!$B$10)</f>
        <v>2528.38</v>
      </c>
      <c r="G74" s="18" t="n">
        <f aca="false">SUM(E74:F74)</f>
        <v>65737.92</v>
      </c>
      <c r="H74" s="18" t="n">
        <f aca="false">ROUND(G74-'Cohort Data'!H74,Assumptions!$B$10)</f>
        <v>11577</v>
      </c>
      <c r="I74" s="18" t="n">
        <f aca="false">CEILING(G74,Assumptions!$B$12)</f>
        <v>65800</v>
      </c>
      <c r="J74" s="18" t="n">
        <f aca="false">FLOOR(G74,Assumptions!$B$12)</f>
        <v>65700</v>
      </c>
      <c r="K74" s="18" t="n">
        <f aca="false">ROUNDUP(G74,Assumptions!$B$10)</f>
        <v>65737.92</v>
      </c>
      <c r="L74" s="18" t="n">
        <f aca="false">ROUNDDOWN(G74,Assumptions!$B$10)</f>
        <v>65737.92</v>
      </c>
      <c r="M74" s="19" t="n">
        <f aca="false">INT('Cohort Data'!E74/Assumptions!$B$11)</f>
        <v>2</v>
      </c>
    </row>
    <row r="75" customFormat="false" ht="15" hidden="false" customHeight="false" outlineLevel="0" collapsed="false">
      <c r="A75" s="2" t="s">
        <v>175</v>
      </c>
      <c r="B75" s="18" t="n">
        <f aca="false">IF('Cohort Data'!D75=Assumptions!$B$16,ROUND('Cohort Data'!L75*'Cohort Data'!J75*Assumptions!$F$4,Assumptions!$B$10),Assumptions!$B$13)</f>
        <v>26156.39</v>
      </c>
      <c r="C75" s="18" t="n">
        <f aca="false">IF('Cohort Data'!D75=Assumptions!$B$16,ROUND('Cohort Data'!E75*Assumptions!$B$6,Assumptions!$B$10),Assumptions!$B$13)</f>
        <v>1750</v>
      </c>
      <c r="D75" s="18" t="n">
        <f aca="false">SUM(B75:C75)</f>
        <v>27906.39</v>
      </c>
      <c r="E75" s="18" t="n">
        <f aca="false">ROUND(D75/Assumptions!$F$6,Assumptions!$B$10)</f>
        <v>27093.58</v>
      </c>
      <c r="F75" s="18" t="n">
        <f aca="false">ROUND(E75*Assumptions!$B$7,Assumptions!$B$10)</f>
        <v>1083.74</v>
      </c>
      <c r="G75" s="18" t="n">
        <f aca="false">SUM(E75:F75)</f>
        <v>28177.32</v>
      </c>
      <c r="H75" s="18" t="n">
        <f aca="false">ROUND(G75-'Cohort Data'!H75,Assumptions!$B$10)</f>
        <v>4227.24</v>
      </c>
      <c r="I75" s="18" t="n">
        <f aca="false">CEILING(G75,Assumptions!$B$12)</f>
        <v>28200</v>
      </c>
      <c r="J75" s="18" t="n">
        <f aca="false">FLOOR(G75,Assumptions!$B$12)</f>
        <v>28100</v>
      </c>
      <c r="K75" s="18" t="n">
        <f aca="false">ROUNDUP(G75,Assumptions!$B$10)</f>
        <v>28177.33</v>
      </c>
      <c r="L75" s="18" t="n">
        <f aca="false">ROUNDDOWN(G75,Assumptions!$B$10)</f>
        <v>28177.32</v>
      </c>
      <c r="M75" s="19" t="n">
        <f aca="false">INT('Cohort Data'!E75/Assumptions!$B$11)</f>
        <v>0</v>
      </c>
    </row>
    <row r="76" customFormat="false" ht="15" hidden="false" customHeight="false" outlineLevel="0" collapsed="false">
      <c r="A76" s="2" t="s">
        <v>176</v>
      </c>
      <c r="B76" s="18" t="n">
        <f aca="false">IF('Cohort Data'!D76=Assumptions!$B$16,ROUND('Cohort Data'!L76*'Cohort Data'!J76*Assumptions!$F$4,Assumptions!$B$10),Assumptions!$B$13)</f>
        <v>41636.81</v>
      </c>
      <c r="C76" s="18" t="n">
        <f aca="false">IF('Cohort Data'!D76=Assumptions!$B$16,ROUND('Cohort Data'!E76*Assumptions!$B$6,Assumptions!$B$10),Assumptions!$B$13)</f>
        <v>5750</v>
      </c>
      <c r="D76" s="18" t="n">
        <f aca="false">SUM(B76:C76)</f>
        <v>47386.81</v>
      </c>
      <c r="E76" s="18" t="n">
        <f aca="false">ROUND(D76/Assumptions!$F$6,Assumptions!$B$10)</f>
        <v>46006.61</v>
      </c>
      <c r="F76" s="18" t="n">
        <f aca="false">ROUND(E76*Assumptions!$B$7,Assumptions!$B$10)</f>
        <v>1840.26</v>
      </c>
      <c r="G76" s="18" t="n">
        <f aca="false">SUM(E76:F76)</f>
        <v>47846.87</v>
      </c>
      <c r="H76" s="18" t="n">
        <f aca="false">ROUND(G76-'Cohort Data'!H76,Assumptions!$B$10)</f>
        <v>10228.07</v>
      </c>
      <c r="I76" s="18" t="n">
        <f aca="false">CEILING(G76,Assumptions!$B$12)</f>
        <v>47900</v>
      </c>
      <c r="J76" s="18" t="n">
        <f aca="false">FLOOR(G76,Assumptions!$B$12)</f>
        <v>47800</v>
      </c>
      <c r="K76" s="18" t="n">
        <f aca="false">ROUNDUP(G76,Assumptions!$B$10)</f>
        <v>47846.87</v>
      </c>
      <c r="L76" s="18" t="n">
        <f aca="false">ROUNDDOWN(G76,Assumptions!$B$10)</f>
        <v>47846.87</v>
      </c>
      <c r="M76" s="19" t="n">
        <f aca="false">INT('Cohort Data'!E76/Assumptions!$B$11)</f>
        <v>2</v>
      </c>
    </row>
    <row r="77" customFormat="false" ht="15" hidden="false" customHeight="false" outlineLevel="0" collapsed="false">
      <c r="A77" s="2" t="s">
        <v>177</v>
      </c>
      <c r="B77" s="18" t="n">
        <f aca="false">IF('Cohort Data'!D77=Assumptions!$B$16,ROUND('Cohort Data'!L77*'Cohort Data'!J77*Assumptions!$F$4,Assumptions!$B$10),Assumptions!$B$13)</f>
        <v>36021.59</v>
      </c>
      <c r="C77" s="18" t="n">
        <f aca="false">IF('Cohort Data'!D77=Assumptions!$B$16,ROUND('Cohort Data'!E77*Assumptions!$B$6,Assumptions!$B$10),Assumptions!$B$13)</f>
        <v>6125</v>
      </c>
      <c r="D77" s="18" t="n">
        <f aca="false">SUM(B77:C77)</f>
        <v>42146.59</v>
      </c>
      <c r="E77" s="18" t="n">
        <f aca="false">ROUND(D77/Assumptions!$F$6,Assumptions!$B$10)</f>
        <v>40919.02</v>
      </c>
      <c r="F77" s="18" t="n">
        <f aca="false">ROUND(E77*Assumptions!$B$7,Assumptions!$B$10)</f>
        <v>1636.76</v>
      </c>
      <c r="G77" s="18" t="n">
        <f aca="false">SUM(E77:F77)</f>
        <v>42555.78</v>
      </c>
      <c r="H77" s="18" t="n">
        <f aca="false">ROUND(G77-'Cohort Data'!H77,Assumptions!$B$10)</f>
        <v>9277.92</v>
      </c>
      <c r="I77" s="18" t="n">
        <f aca="false">CEILING(G77,Assumptions!$B$12)</f>
        <v>42600</v>
      </c>
      <c r="J77" s="18" t="n">
        <f aca="false">FLOOR(G77,Assumptions!$B$12)</f>
        <v>42500</v>
      </c>
      <c r="K77" s="18" t="n">
        <f aca="false">ROUNDUP(G77,Assumptions!$B$10)</f>
        <v>42555.78</v>
      </c>
      <c r="L77" s="18" t="n">
        <f aca="false">ROUNDDOWN(G77,Assumptions!$B$10)</f>
        <v>42555.78</v>
      </c>
      <c r="M77" s="19" t="n">
        <f aca="false">INT('Cohort Data'!E77/Assumptions!$B$11)</f>
        <v>2</v>
      </c>
    </row>
    <row r="78" customFormat="false" ht="15" hidden="false" customHeight="false" outlineLevel="0" collapsed="false">
      <c r="A78" s="2" t="s">
        <v>178</v>
      </c>
      <c r="B78" s="18" t="n">
        <f aca="false">IF('Cohort Data'!D78=Assumptions!$B$16,ROUND('Cohort Data'!L78*'Cohort Data'!J78*Assumptions!$F$4,Assumptions!$B$10),Assumptions!$B$13)</f>
        <v>76632</v>
      </c>
      <c r="C78" s="18" t="n">
        <f aca="false">IF('Cohort Data'!D78=Assumptions!$B$16,ROUND('Cohort Data'!E78*Assumptions!$B$6,Assumptions!$B$10),Assumptions!$B$13)</f>
        <v>5350</v>
      </c>
      <c r="D78" s="18" t="n">
        <f aca="false">SUM(B78:C78)</f>
        <v>81982</v>
      </c>
      <c r="E78" s="18" t="n">
        <f aca="false">ROUND(D78/Assumptions!$F$6,Assumptions!$B$10)</f>
        <v>79594.17</v>
      </c>
      <c r="F78" s="18" t="n">
        <f aca="false">ROUND(E78*Assumptions!$B$7,Assumptions!$B$10)</f>
        <v>3183.77</v>
      </c>
      <c r="G78" s="18" t="n">
        <f aca="false">SUM(E78:F78)</f>
        <v>82777.94</v>
      </c>
      <c r="H78" s="18" t="n">
        <f aca="false">ROUND(G78-'Cohort Data'!H78,Assumptions!$B$10)</f>
        <v>14027.44</v>
      </c>
      <c r="I78" s="18" t="n">
        <f aca="false">CEILING(G78,Assumptions!$B$12)</f>
        <v>82800</v>
      </c>
      <c r="J78" s="18" t="n">
        <f aca="false">FLOOR(G78,Assumptions!$B$12)</f>
        <v>82700</v>
      </c>
      <c r="K78" s="18" t="n">
        <f aca="false">ROUNDUP(G78,Assumptions!$B$10)</f>
        <v>82777.94</v>
      </c>
      <c r="L78" s="18" t="n">
        <f aca="false">ROUNDDOWN(G78,Assumptions!$B$10)</f>
        <v>82777.94</v>
      </c>
      <c r="M78" s="19" t="n">
        <f aca="false">INT('Cohort Data'!E78/Assumptions!$B$11)</f>
        <v>2</v>
      </c>
    </row>
    <row r="79" customFormat="false" ht="15" hidden="false" customHeight="false" outlineLevel="0" collapsed="false">
      <c r="A79" s="2" t="s">
        <v>179</v>
      </c>
      <c r="B79" s="18" t="n">
        <f aca="false">IF('Cohort Data'!D79=Assumptions!$B$16,ROUND('Cohort Data'!L79*'Cohort Data'!J79*Assumptions!$F$4,Assumptions!$B$10),Assumptions!$B$13)</f>
        <v>0</v>
      </c>
      <c r="C79" s="18" t="n">
        <f aca="false">IF('Cohort Data'!D79=Assumptions!$B$16,ROUND('Cohort Data'!E79*Assumptions!$B$6,Assumptions!$B$10),Assumptions!$B$13)</f>
        <v>0</v>
      </c>
      <c r="D79" s="18" t="n">
        <f aca="false">SUM(B79:C79)</f>
        <v>0</v>
      </c>
      <c r="E79" s="18" t="n">
        <f aca="false">ROUND(D79/Assumptions!$F$6,Assumptions!$B$10)</f>
        <v>0</v>
      </c>
      <c r="F79" s="18" t="n">
        <f aca="false">ROUND(E79*Assumptions!$B$7,Assumptions!$B$10)</f>
        <v>0</v>
      </c>
      <c r="G79" s="18" t="n">
        <f aca="false">SUM(E79:F79)</f>
        <v>0</v>
      </c>
      <c r="H79" s="18" t="n">
        <f aca="false">ROUND(G79-'Cohort Data'!H79,Assumptions!$B$10)</f>
        <v>-37618.8</v>
      </c>
      <c r="I79" s="18" t="n">
        <f aca="false">CEILING(G79,Assumptions!$B$12)</f>
        <v>0</v>
      </c>
      <c r="J79" s="18" t="n">
        <f aca="false">FLOOR(G79,Assumptions!$B$12)</f>
        <v>0</v>
      </c>
      <c r="K79" s="18" t="n">
        <f aca="false">ROUNDUP(G79,Assumptions!$B$10)</f>
        <v>0</v>
      </c>
      <c r="L79" s="18" t="n">
        <f aca="false">ROUNDDOWN(G79,Assumptions!$B$10)</f>
        <v>0</v>
      </c>
      <c r="M79" s="19" t="n">
        <f aca="false">INT('Cohort Data'!E79/Assumptions!$B$11)</f>
        <v>1</v>
      </c>
    </row>
    <row r="80" customFormat="false" ht="15" hidden="false" customHeight="false" outlineLevel="0" collapsed="false">
      <c r="A80" s="2" t="s">
        <v>180</v>
      </c>
      <c r="B80" s="18" t="n">
        <f aca="false">IF('Cohort Data'!D80=Assumptions!$B$16,ROUND('Cohort Data'!L80*'Cohort Data'!J80*Assumptions!$F$4,Assumptions!$B$10),Assumptions!$B$13)</f>
        <v>20191.69</v>
      </c>
      <c r="C80" s="18" t="n">
        <f aca="false">IF('Cohort Data'!D80=Assumptions!$B$16,ROUND('Cohort Data'!E80*Assumptions!$B$6,Assumptions!$B$10),Assumptions!$B$13)</f>
        <v>2575</v>
      </c>
      <c r="D80" s="18" t="n">
        <f aca="false">SUM(B80:C80)</f>
        <v>22766.69</v>
      </c>
      <c r="E80" s="18" t="n">
        <f aca="false">ROUND(D80/Assumptions!$F$6,Assumptions!$B$10)</f>
        <v>22103.58</v>
      </c>
      <c r="F80" s="18" t="n">
        <f aca="false">ROUND(E80*Assumptions!$B$7,Assumptions!$B$10)</f>
        <v>884.14</v>
      </c>
      <c r="G80" s="18" t="n">
        <f aca="false">SUM(E80:F80)</f>
        <v>22987.72</v>
      </c>
      <c r="H80" s="18" t="n">
        <f aca="false">ROUND(G80-'Cohort Data'!H80,Assumptions!$B$10)</f>
        <v>4905.04</v>
      </c>
      <c r="I80" s="18" t="n">
        <f aca="false">CEILING(G80,Assumptions!$B$12)</f>
        <v>23000</v>
      </c>
      <c r="J80" s="18" t="n">
        <f aca="false">FLOOR(G80,Assumptions!$B$12)</f>
        <v>22900</v>
      </c>
      <c r="K80" s="18" t="n">
        <f aca="false">ROUNDUP(G80,Assumptions!$B$10)</f>
        <v>22987.72</v>
      </c>
      <c r="L80" s="18" t="n">
        <f aca="false">ROUNDDOWN(G80,Assumptions!$B$10)</f>
        <v>22987.72</v>
      </c>
      <c r="M80" s="19" t="n">
        <f aca="false">INT('Cohort Data'!E80/Assumptions!$B$11)</f>
        <v>1</v>
      </c>
    </row>
    <row r="81" customFormat="false" ht="15" hidden="false" customHeight="false" outlineLevel="0" collapsed="false">
      <c r="A81" s="2" t="s">
        <v>181</v>
      </c>
      <c r="B81" s="18" t="n">
        <f aca="false">IF('Cohort Data'!D81=Assumptions!$B$16,ROUND('Cohort Data'!L81*'Cohort Data'!J81*Assumptions!$F$4,Assumptions!$B$10),Assumptions!$B$13)</f>
        <v>39732.8</v>
      </c>
      <c r="C81" s="18" t="n">
        <f aca="false">IF('Cohort Data'!D81=Assumptions!$B$16,ROUND('Cohort Data'!E81*Assumptions!$B$6,Assumptions!$B$10),Assumptions!$B$13)</f>
        <v>4400</v>
      </c>
      <c r="D81" s="18" t="n">
        <f aca="false">SUM(B81:C81)</f>
        <v>44132.8</v>
      </c>
      <c r="E81" s="18" t="n">
        <f aca="false">ROUND(D81/Assumptions!$F$6,Assumptions!$B$10)</f>
        <v>42847.38</v>
      </c>
      <c r="F81" s="18" t="n">
        <f aca="false">ROUND(E81*Assumptions!$B$7,Assumptions!$B$10)</f>
        <v>1713.9</v>
      </c>
      <c r="G81" s="18" t="n">
        <f aca="false">SUM(E81:F81)</f>
        <v>44561.28</v>
      </c>
      <c r="H81" s="18" t="n">
        <f aca="false">ROUND(G81-'Cohort Data'!H81,Assumptions!$B$10)</f>
        <v>11487.36</v>
      </c>
      <c r="I81" s="18" t="n">
        <f aca="false">CEILING(G81,Assumptions!$B$12)</f>
        <v>44600</v>
      </c>
      <c r="J81" s="18" t="n">
        <f aca="false">FLOOR(G81,Assumptions!$B$12)</f>
        <v>44500</v>
      </c>
      <c r="K81" s="18" t="n">
        <f aca="false">ROUNDUP(G81,Assumptions!$B$10)</f>
        <v>44561.28</v>
      </c>
      <c r="L81" s="18" t="n">
        <f aca="false">ROUNDDOWN(G81,Assumptions!$B$10)</f>
        <v>44561.28</v>
      </c>
      <c r="M81" s="19" t="n">
        <f aca="false">INT('Cohort Data'!E81/Assumptions!$B$11)</f>
        <v>1</v>
      </c>
    </row>
    <row r="82" customFormat="false" ht="15" hidden="false" customHeight="false" outlineLevel="0" collapsed="false">
      <c r="A82" s="2" t="s">
        <v>182</v>
      </c>
      <c r="B82" s="18" t="n">
        <f aca="false">IF('Cohort Data'!D82=Assumptions!$B$16,ROUND('Cohort Data'!L82*'Cohort Data'!J82*Assumptions!$F$4,Assumptions!$B$10),Assumptions!$B$13)</f>
        <v>35614.56</v>
      </c>
      <c r="C82" s="18" t="n">
        <f aca="false">IF('Cohort Data'!D82=Assumptions!$B$16,ROUND('Cohort Data'!E82*Assumptions!$B$6,Assumptions!$B$10),Assumptions!$B$13)</f>
        <v>5675</v>
      </c>
      <c r="D82" s="18" t="n">
        <f aca="false">SUM(B82:C82)</f>
        <v>41289.56</v>
      </c>
      <c r="E82" s="18" t="n">
        <f aca="false">ROUND(D82/Assumptions!$F$6,Assumptions!$B$10)</f>
        <v>40086.95</v>
      </c>
      <c r="F82" s="18" t="n">
        <f aca="false">ROUND(E82*Assumptions!$B$7,Assumptions!$B$10)</f>
        <v>1603.48</v>
      </c>
      <c r="G82" s="18" t="n">
        <f aca="false">SUM(E82:F82)</f>
        <v>41690.43</v>
      </c>
      <c r="H82" s="18" t="n">
        <f aca="false">ROUND(G82-'Cohort Data'!H82,Assumptions!$B$10)</f>
        <v>7801.15</v>
      </c>
      <c r="I82" s="18" t="n">
        <f aca="false">CEILING(G82,Assumptions!$B$12)</f>
        <v>41700</v>
      </c>
      <c r="J82" s="18" t="n">
        <f aca="false">FLOOR(G82,Assumptions!$B$12)</f>
        <v>41600</v>
      </c>
      <c r="K82" s="18" t="n">
        <f aca="false">ROUNDUP(G82,Assumptions!$B$10)</f>
        <v>41690.43</v>
      </c>
      <c r="L82" s="18" t="n">
        <f aca="false">ROUNDDOWN(G82,Assumptions!$B$10)</f>
        <v>41690.43</v>
      </c>
      <c r="M82" s="19" t="n">
        <f aca="false">INT('Cohort Data'!E82/Assumptions!$B$11)</f>
        <v>2</v>
      </c>
    </row>
    <row r="83" customFormat="false" ht="15" hidden="false" customHeight="false" outlineLevel="0" collapsed="false">
      <c r="A83" s="2" t="s">
        <v>183</v>
      </c>
      <c r="B83" s="18" t="n">
        <f aca="false">IF('Cohort Data'!D83=Assumptions!$B$16,ROUND('Cohort Data'!L83*'Cohort Data'!J83*Assumptions!$F$4,Assumptions!$B$10),Assumptions!$B$13)</f>
        <v>18987.47</v>
      </c>
      <c r="C83" s="18" t="n">
        <f aca="false">IF('Cohort Data'!D83=Assumptions!$B$16,ROUND('Cohort Data'!E83*Assumptions!$B$6,Assumptions!$B$10),Assumptions!$B$13)</f>
        <v>2825</v>
      </c>
      <c r="D83" s="18" t="n">
        <f aca="false">SUM(B83:C83)</f>
        <v>21812.47</v>
      </c>
      <c r="E83" s="18" t="n">
        <f aca="false">ROUND(D83/Assumptions!$F$6,Assumptions!$B$10)</f>
        <v>21177.16</v>
      </c>
      <c r="F83" s="18" t="n">
        <f aca="false">ROUND(E83*Assumptions!$B$7,Assumptions!$B$10)</f>
        <v>847.09</v>
      </c>
      <c r="G83" s="18" t="n">
        <f aca="false">SUM(E83:F83)</f>
        <v>22024.25</v>
      </c>
      <c r="H83" s="18" t="n">
        <f aca="false">ROUND(G83-'Cohort Data'!H83,Assumptions!$B$10)</f>
        <v>4304.04</v>
      </c>
      <c r="I83" s="18" t="n">
        <f aca="false">CEILING(G83,Assumptions!$B$12)</f>
        <v>22100</v>
      </c>
      <c r="J83" s="18" t="n">
        <f aca="false">FLOOR(G83,Assumptions!$B$12)</f>
        <v>22000</v>
      </c>
      <c r="K83" s="18" t="n">
        <f aca="false">ROUNDUP(G83,Assumptions!$B$10)</f>
        <v>22024.25</v>
      </c>
      <c r="L83" s="18" t="n">
        <f aca="false">ROUNDDOWN(G83,Assumptions!$B$10)</f>
        <v>22024.25</v>
      </c>
      <c r="M83" s="19" t="n">
        <f aca="false">INT('Cohort Data'!E83/Assumptions!$B$11)</f>
        <v>1</v>
      </c>
    </row>
    <row r="84" customFormat="false" ht="15" hidden="false" customHeight="false" outlineLevel="0" collapsed="false">
      <c r="A84" s="2" t="s">
        <v>184</v>
      </c>
      <c r="B84" s="18" t="n">
        <f aca="false">IF('Cohort Data'!D84=Assumptions!$B$16,ROUND('Cohort Data'!L84*'Cohort Data'!J84*Assumptions!$F$4,Assumptions!$B$10),Assumptions!$B$13)</f>
        <v>51845.7</v>
      </c>
      <c r="C84" s="18" t="n">
        <f aca="false">IF('Cohort Data'!D84=Assumptions!$B$16,ROUND('Cohort Data'!E84*Assumptions!$B$6,Assumptions!$B$10),Assumptions!$B$13)</f>
        <v>4500</v>
      </c>
      <c r="D84" s="18" t="n">
        <f aca="false">SUM(B84:C84)</f>
        <v>56345.7</v>
      </c>
      <c r="E84" s="18" t="n">
        <f aca="false">ROUND(D84/Assumptions!$F$6,Assumptions!$B$10)</f>
        <v>54704.56</v>
      </c>
      <c r="F84" s="18" t="n">
        <f aca="false">ROUND(E84*Assumptions!$B$7,Assumptions!$B$10)</f>
        <v>2188.18</v>
      </c>
      <c r="G84" s="18" t="n">
        <f aca="false">SUM(E84:F84)</f>
        <v>56892.74</v>
      </c>
      <c r="H84" s="18" t="n">
        <f aca="false">ROUND(G84-'Cohort Data'!H84,Assumptions!$B$10)</f>
        <v>13256.42</v>
      </c>
      <c r="I84" s="18" t="n">
        <f aca="false">CEILING(G84,Assumptions!$B$12)</f>
        <v>56900</v>
      </c>
      <c r="J84" s="18" t="n">
        <f aca="false">FLOOR(G84,Assumptions!$B$12)</f>
        <v>56800</v>
      </c>
      <c r="K84" s="18" t="n">
        <f aca="false">ROUNDUP(G84,Assumptions!$B$10)</f>
        <v>56892.74</v>
      </c>
      <c r="L84" s="18" t="n">
        <f aca="false">ROUNDDOWN(G84,Assumptions!$B$10)</f>
        <v>56892.74</v>
      </c>
      <c r="M84" s="19" t="n">
        <f aca="false">INT('Cohort Data'!E84/Assumptions!$B$11)</f>
        <v>1</v>
      </c>
    </row>
    <row r="85" customFormat="false" ht="15" hidden="false" customHeight="false" outlineLevel="0" collapsed="false">
      <c r="A85" s="2" t="s">
        <v>185</v>
      </c>
      <c r="B85" s="18" t="n">
        <f aca="false">IF('Cohort Data'!D85=Assumptions!$B$16,ROUND('Cohort Data'!L85*'Cohort Data'!J85*Assumptions!$F$4,Assumptions!$B$10),Assumptions!$B$13)</f>
        <v>35602.49</v>
      </c>
      <c r="C85" s="18" t="n">
        <f aca="false">IF('Cohort Data'!D85=Assumptions!$B$16,ROUND('Cohort Data'!E85*Assumptions!$B$6,Assumptions!$B$10),Assumptions!$B$13)</f>
        <v>5900</v>
      </c>
      <c r="D85" s="18" t="n">
        <f aca="false">SUM(B85:C85)</f>
        <v>41502.49</v>
      </c>
      <c r="E85" s="18" t="n">
        <f aca="false">ROUND(D85/Assumptions!$F$6,Assumptions!$B$10)</f>
        <v>40293.68</v>
      </c>
      <c r="F85" s="18" t="n">
        <f aca="false">ROUND(E85*Assumptions!$B$7,Assumptions!$B$10)</f>
        <v>1611.75</v>
      </c>
      <c r="G85" s="18" t="n">
        <f aca="false">SUM(E85:F85)</f>
        <v>41905.43</v>
      </c>
      <c r="H85" s="18" t="n">
        <f aca="false">ROUND(G85-'Cohort Data'!H85,Assumptions!$B$10)</f>
        <v>8027.63</v>
      </c>
      <c r="I85" s="18" t="n">
        <f aca="false">CEILING(G85,Assumptions!$B$12)</f>
        <v>42000</v>
      </c>
      <c r="J85" s="18" t="n">
        <f aca="false">FLOOR(G85,Assumptions!$B$12)</f>
        <v>41900</v>
      </c>
      <c r="K85" s="18" t="n">
        <f aca="false">ROUNDUP(G85,Assumptions!$B$10)</f>
        <v>41905.43</v>
      </c>
      <c r="L85" s="18" t="n">
        <f aca="false">ROUNDDOWN(G85,Assumptions!$B$10)</f>
        <v>41905.43</v>
      </c>
      <c r="M85" s="19" t="n">
        <f aca="false">INT('Cohort Data'!E85/Assumptions!$B$11)</f>
        <v>2</v>
      </c>
    </row>
    <row r="86" customFormat="false" ht="15" hidden="false" customHeight="false" outlineLevel="0" collapsed="false">
      <c r="A86" s="2" t="s">
        <v>186</v>
      </c>
      <c r="B86" s="18" t="n">
        <f aca="false">IF('Cohort Data'!D86=Assumptions!$B$16,ROUND('Cohort Data'!L86*'Cohort Data'!J86*Assumptions!$F$4,Assumptions!$B$10),Assumptions!$B$13)</f>
        <v>15682.87</v>
      </c>
      <c r="C86" s="18" t="n">
        <f aca="false">IF('Cohort Data'!D86=Assumptions!$B$16,ROUND('Cohort Data'!E86*Assumptions!$B$6,Assumptions!$B$10),Assumptions!$B$13)</f>
        <v>1600</v>
      </c>
      <c r="D86" s="18" t="n">
        <f aca="false">SUM(B86:C86)</f>
        <v>17282.87</v>
      </c>
      <c r="E86" s="18" t="n">
        <f aca="false">ROUND(D86/Assumptions!$F$6,Assumptions!$B$10)</f>
        <v>16779.49</v>
      </c>
      <c r="F86" s="18" t="n">
        <f aca="false">ROUND(E86*Assumptions!$B$7,Assumptions!$B$10)</f>
        <v>671.18</v>
      </c>
      <c r="G86" s="18" t="n">
        <f aca="false">SUM(E86:F86)</f>
        <v>17450.67</v>
      </c>
      <c r="H86" s="18" t="n">
        <f aca="false">ROUND(G86-'Cohort Data'!H86,Assumptions!$B$10)</f>
        <v>2666.67</v>
      </c>
      <c r="I86" s="18" t="n">
        <f aca="false">CEILING(G86,Assumptions!$B$12)</f>
        <v>17500</v>
      </c>
      <c r="J86" s="18" t="n">
        <f aca="false">FLOOR(G86,Assumptions!$B$12)</f>
        <v>17400</v>
      </c>
      <c r="K86" s="18" t="n">
        <f aca="false">ROUNDUP(G86,Assumptions!$B$10)</f>
        <v>17450.68</v>
      </c>
      <c r="L86" s="18" t="n">
        <f aca="false">ROUNDDOWN(G86,Assumptions!$B$10)</f>
        <v>17450.67</v>
      </c>
      <c r="M86" s="19" t="n">
        <f aca="false">INT('Cohort Data'!E86/Assumptions!$B$11)</f>
        <v>0</v>
      </c>
    </row>
    <row r="87" customFormat="false" ht="15" hidden="false" customHeight="false" outlineLevel="0" collapsed="false">
      <c r="A87" s="2" t="s">
        <v>187</v>
      </c>
      <c r="B87" s="18" t="n">
        <f aca="false">IF('Cohort Data'!D87=Assumptions!$B$16,ROUND('Cohort Data'!L87*'Cohort Data'!J87*Assumptions!$F$4,Assumptions!$B$10),Assumptions!$B$13)</f>
        <v>21905.98</v>
      </c>
      <c r="C87" s="18" t="n">
        <f aca="false">IF('Cohort Data'!D87=Assumptions!$B$16,ROUND('Cohort Data'!E87*Assumptions!$B$6,Assumptions!$B$10),Assumptions!$B$13)</f>
        <v>1675</v>
      </c>
      <c r="D87" s="18" t="n">
        <f aca="false">SUM(B87:C87)</f>
        <v>23580.98</v>
      </c>
      <c r="E87" s="18" t="n">
        <f aca="false">ROUND(D87/Assumptions!$F$6,Assumptions!$B$10)</f>
        <v>22894.16</v>
      </c>
      <c r="F87" s="18" t="n">
        <f aca="false">ROUND(E87*Assumptions!$B$7,Assumptions!$B$10)</f>
        <v>915.77</v>
      </c>
      <c r="G87" s="18" t="n">
        <f aca="false">SUM(E87:F87)</f>
        <v>23809.93</v>
      </c>
      <c r="H87" s="18" t="n">
        <f aca="false">ROUND(G87-'Cohort Data'!H87,Assumptions!$B$10)</f>
        <v>3549.13</v>
      </c>
      <c r="I87" s="18" t="n">
        <f aca="false">CEILING(G87,Assumptions!$B$12)</f>
        <v>23900</v>
      </c>
      <c r="J87" s="18" t="n">
        <f aca="false">FLOOR(G87,Assumptions!$B$12)</f>
        <v>23800</v>
      </c>
      <c r="K87" s="18" t="n">
        <f aca="false">ROUNDUP(G87,Assumptions!$B$10)</f>
        <v>23809.93</v>
      </c>
      <c r="L87" s="18" t="n">
        <f aca="false">ROUNDDOWN(G87,Assumptions!$B$10)</f>
        <v>23809.93</v>
      </c>
      <c r="M87" s="19" t="n">
        <f aca="false">INT('Cohort Data'!E87/Assumptions!$B$11)</f>
        <v>0</v>
      </c>
    </row>
    <row r="88" customFormat="false" ht="15" hidden="false" customHeight="false" outlineLevel="0" collapsed="false">
      <c r="A88" s="2" t="s">
        <v>188</v>
      </c>
      <c r="B88" s="18" t="n">
        <f aca="false">IF('Cohort Data'!D88=Assumptions!$B$16,ROUND('Cohort Data'!L88*'Cohort Data'!J88*Assumptions!$F$4,Assumptions!$B$10),Assumptions!$B$13)</f>
        <v>29694.89</v>
      </c>
      <c r="C88" s="18" t="n">
        <f aca="false">IF('Cohort Data'!D88=Assumptions!$B$16,ROUND('Cohort Data'!E88*Assumptions!$B$6,Assumptions!$B$10),Assumptions!$B$13)</f>
        <v>3325</v>
      </c>
      <c r="D88" s="18" t="n">
        <f aca="false">SUM(B88:C88)</f>
        <v>33019.89</v>
      </c>
      <c r="E88" s="18" t="n">
        <f aca="false">ROUND(D88/Assumptions!$F$6,Assumptions!$B$10)</f>
        <v>32058.15</v>
      </c>
      <c r="F88" s="18" t="n">
        <f aca="false">ROUND(E88*Assumptions!$B$7,Assumptions!$B$10)</f>
        <v>1282.33</v>
      </c>
      <c r="G88" s="18" t="n">
        <f aca="false">SUM(E88:F88)</f>
        <v>33340.48</v>
      </c>
      <c r="H88" s="18" t="n">
        <f aca="false">ROUND(G88-'Cohort Data'!H88,Assumptions!$B$10)</f>
        <v>6225.77</v>
      </c>
      <c r="I88" s="18" t="n">
        <f aca="false">CEILING(G88,Assumptions!$B$12)</f>
        <v>33400</v>
      </c>
      <c r="J88" s="18" t="n">
        <f aca="false">FLOOR(G88,Assumptions!$B$12)</f>
        <v>33300</v>
      </c>
      <c r="K88" s="18" t="n">
        <f aca="false">ROUNDUP(G88,Assumptions!$B$10)</f>
        <v>33340.48</v>
      </c>
      <c r="L88" s="18" t="n">
        <f aca="false">ROUNDDOWN(G88,Assumptions!$B$10)</f>
        <v>33340.48</v>
      </c>
      <c r="M88" s="19" t="n">
        <f aca="false">INT('Cohort Data'!E88/Assumptions!$B$11)</f>
        <v>1</v>
      </c>
    </row>
    <row r="89" customFormat="false" ht="15" hidden="false" customHeight="false" outlineLevel="0" collapsed="false">
      <c r="A89" s="2" t="s">
        <v>189</v>
      </c>
      <c r="B89" s="18" t="n">
        <f aca="false">IF('Cohort Data'!D89=Assumptions!$B$16,ROUND('Cohort Data'!L89*'Cohort Data'!J89*Assumptions!$F$4,Assumptions!$B$10),Assumptions!$B$13)</f>
        <v>13442.46</v>
      </c>
      <c r="C89" s="18" t="n">
        <f aca="false">IF('Cohort Data'!D89=Assumptions!$B$16,ROUND('Cohort Data'!E89*Assumptions!$B$6,Assumptions!$B$10),Assumptions!$B$13)</f>
        <v>2400</v>
      </c>
      <c r="D89" s="18" t="n">
        <f aca="false">SUM(B89:C89)</f>
        <v>15842.46</v>
      </c>
      <c r="E89" s="18" t="n">
        <f aca="false">ROUND(D89/Assumptions!$F$6,Assumptions!$B$10)</f>
        <v>15381.03</v>
      </c>
      <c r="F89" s="18" t="n">
        <f aca="false">ROUND(E89*Assumptions!$B$7,Assumptions!$B$10)</f>
        <v>615.24</v>
      </c>
      <c r="G89" s="18" t="n">
        <f aca="false">SUM(E89:F89)</f>
        <v>15996.27</v>
      </c>
      <c r="H89" s="18" t="n">
        <f aca="false">ROUND(G89-'Cohort Data'!H89,Assumptions!$B$10)</f>
        <v>4591.47</v>
      </c>
      <c r="I89" s="18" t="n">
        <f aca="false">CEILING(G89,Assumptions!$B$12)</f>
        <v>16000</v>
      </c>
      <c r="J89" s="18" t="n">
        <f aca="false">FLOOR(G89,Assumptions!$B$12)</f>
        <v>15900</v>
      </c>
      <c r="K89" s="18" t="n">
        <f aca="false">ROUNDUP(G89,Assumptions!$B$10)</f>
        <v>15996.27</v>
      </c>
      <c r="L89" s="18" t="n">
        <f aca="false">ROUNDDOWN(G89,Assumptions!$B$10)</f>
        <v>15996.27</v>
      </c>
      <c r="M89" s="19" t="n">
        <f aca="false">INT('Cohort Data'!E89/Assumptions!$B$11)</f>
        <v>0</v>
      </c>
    </row>
    <row r="90" customFormat="false" ht="15" hidden="false" customHeight="false" outlineLevel="0" collapsed="false">
      <c r="A90" s="2" t="s">
        <v>190</v>
      </c>
      <c r="B90" s="18" t="n">
        <f aca="false">IF('Cohort Data'!D90=Assumptions!$B$16,ROUND('Cohort Data'!L90*'Cohort Data'!J90*Assumptions!$F$4,Assumptions!$B$10),Assumptions!$B$13)</f>
        <v>30142.13</v>
      </c>
      <c r="C90" s="18" t="n">
        <f aca="false">IF('Cohort Data'!D90=Assumptions!$B$16,ROUND('Cohort Data'!E90*Assumptions!$B$6,Assumptions!$B$10),Assumptions!$B$13)</f>
        <v>3025</v>
      </c>
      <c r="D90" s="18" t="n">
        <f aca="false">SUM(B90:C90)</f>
        <v>33167.13</v>
      </c>
      <c r="E90" s="18" t="n">
        <f aca="false">ROUND(D90/Assumptions!$F$6,Assumptions!$B$10)</f>
        <v>32201.1</v>
      </c>
      <c r="F90" s="18" t="n">
        <f aca="false">ROUND(E90*Assumptions!$B$7,Assumptions!$B$10)</f>
        <v>1288.04</v>
      </c>
      <c r="G90" s="18" t="n">
        <f aca="false">SUM(E90:F90)</f>
        <v>33489.14</v>
      </c>
      <c r="H90" s="18" t="n">
        <f aca="false">ROUND(G90-'Cohort Data'!H90,Assumptions!$B$10)</f>
        <v>5610.74</v>
      </c>
      <c r="I90" s="18" t="n">
        <f aca="false">CEILING(G90,Assumptions!$B$12)</f>
        <v>33500</v>
      </c>
      <c r="J90" s="18" t="n">
        <f aca="false">FLOOR(G90,Assumptions!$B$12)</f>
        <v>33400</v>
      </c>
      <c r="K90" s="18" t="n">
        <f aca="false">ROUNDUP(G90,Assumptions!$B$10)</f>
        <v>33489.14</v>
      </c>
      <c r="L90" s="18" t="n">
        <f aca="false">ROUNDDOWN(G90,Assumptions!$B$10)</f>
        <v>33489.14</v>
      </c>
      <c r="M90" s="19" t="n">
        <f aca="false">INT('Cohort Data'!E90/Assumptions!$B$11)</f>
        <v>1</v>
      </c>
    </row>
    <row r="91" customFormat="false" ht="15" hidden="false" customHeight="false" outlineLevel="0" collapsed="false">
      <c r="A91" s="2" t="s">
        <v>191</v>
      </c>
      <c r="B91" s="18" t="n">
        <f aca="false">IF('Cohort Data'!D91=Assumptions!$B$16,ROUND('Cohort Data'!L91*'Cohort Data'!J91*Assumptions!$F$4,Assumptions!$B$10),Assumptions!$B$13)</f>
        <v>28813.88</v>
      </c>
      <c r="C91" s="18" t="n">
        <f aca="false">IF('Cohort Data'!D91=Assumptions!$B$16,ROUND('Cohort Data'!E91*Assumptions!$B$6,Assumptions!$B$10),Assumptions!$B$13)</f>
        <v>4775</v>
      </c>
      <c r="D91" s="18" t="n">
        <f aca="false">SUM(B91:C91)</f>
        <v>33588.88</v>
      </c>
      <c r="E91" s="18" t="n">
        <f aca="false">ROUND(D91/Assumptions!$F$6,Assumptions!$B$10)</f>
        <v>32610.56</v>
      </c>
      <c r="F91" s="18" t="n">
        <f aca="false">ROUND(E91*Assumptions!$B$7,Assumptions!$B$10)</f>
        <v>1304.42</v>
      </c>
      <c r="G91" s="18" t="n">
        <f aca="false">SUM(E91:F91)</f>
        <v>33914.98</v>
      </c>
      <c r="H91" s="18" t="n">
        <f aca="false">ROUND(G91-'Cohort Data'!H91,Assumptions!$B$10)</f>
        <v>7050.83</v>
      </c>
      <c r="I91" s="18" t="n">
        <f aca="false">CEILING(G91,Assumptions!$B$12)</f>
        <v>34000</v>
      </c>
      <c r="J91" s="18" t="n">
        <f aca="false">FLOOR(G91,Assumptions!$B$12)</f>
        <v>33900</v>
      </c>
      <c r="K91" s="18" t="n">
        <f aca="false">ROUNDUP(G91,Assumptions!$B$10)</f>
        <v>33914.98</v>
      </c>
      <c r="L91" s="18" t="n">
        <f aca="false">ROUNDDOWN(G91,Assumptions!$B$10)</f>
        <v>33914.98</v>
      </c>
      <c r="M91" s="19" t="n">
        <f aca="false">INT('Cohort Data'!E91/Assumptions!$B$11)</f>
        <v>1</v>
      </c>
    </row>
    <row r="92" customFormat="false" ht="15" hidden="false" customHeight="false" outlineLevel="0" collapsed="false">
      <c r="A92" s="2" t="s">
        <v>192</v>
      </c>
      <c r="B92" s="18" t="n">
        <f aca="false">IF('Cohort Data'!D92=Assumptions!$B$16,ROUND('Cohort Data'!L92*'Cohort Data'!J92*Assumptions!$F$4,Assumptions!$B$10),Assumptions!$B$13)</f>
        <v>26464.84</v>
      </c>
      <c r="C92" s="18" t="n">
        <f aca="false">IF('Cohort Data'!D92=Assumptions!$B$16,ROUND('Cohort Data'!E92*Assumptions!$B$6,Assumptions!$B$10),Assumptions!$B$13)</f>
        <v>2625</v>
      </c>
      <c r="D92" s="18" t="n">
        <f aca="false">SUM(B92:C92)</f>
        <v>29089.84</v>
      </c>
      <c r="E92" s="18" t="n">
        <f aca="false">ROUND(D92/Assumptions!$F$6,Assumptions!$B$10)</f>
        <v>28242.56</v>
      </c>
      <c r="F92" s="18" t="n">
        <f aca="false">ROUND(E92*Assumptions!$B$7,Assumptions!$B$10)</f>
        <v>1129.7</v>
      </c>
      <c r="G92" s="18" t="n">
        <f aca="false">SUM(E92:F92)</f>
        <v>29372.26</v>
      </c>
      <c r="H92" s="18" t="n">
        <f aca="false">ROUND(G92-'Cohort Data'!H92,Assumptions!$B$10)</f>
        <v>5172.7</v>
      </c>
      <c r="I92" s="18" t="n">
        <f aca="false">CEILING(G92,Assumptions!$B$12)</f>
        <v>29400</v>
      </c>
      <c r="J92" s="18" t="n">
        <f aca="false">FLOOR(G92,Assumptions!$B$12)</f>
        <v>29300</v>
      </c>
      <c r="K92" s="18" t="n">
        <f aca="false">ROUNDUP(G92,Assumptions!$B$10)</f>
        <v>29372.26</v>
      </c>
      <c r="L92" s="18" t="n">
        <f aca="false">ROUNDDOWN(G92,Assumptions!$B$10)</f>
        <v>29372.26</v>
      </c>
      <c r="M92" s="19" t="n">
        <f aca="false">INT('Cohort Data'!E92/Assumptions!$B$11)</f>
        <v>1</v>
      </c>
    </row>
    <row r="93" customFormat="false" ht="15" hidden="false" customHeight="false" outlineLevel="0" collapsed="false">
      <c r="A93" s="2" t="s">
        <v>193</v>
      </c>
      <c r="B93" s="18" t="n">
        <f aca="false">IF('Cohort Data'!D93=Assumptions!$B$16,ROUND('Cohort Data'!L93*'Cohort Data'!J93*Assumptions!$F$4,Assumptions!$B$10),Assumptions!$B$13)</f>
        <v>21407.76</v>
      </c>
      <c r="C93" s="18" t="n">
        <f aca="false">IF('Cohort Data'!D93=Assumptions!$B$16,ROUND('Cohort Data'!E93*Assumptions!$B$6,Assumptions!$B$10),Assumptions!$B$13)</f>
        <v>2750</v>
      </c>
      <c r="D93" s="18" t="n">
        <f aca="false">SUM(B93:C93)</f>
        <v>24157.76</v>
      </c>
      <c r="E93" s="18" t="n">
        <f aca="false">ROUND(D93/Assumptions!$F$6,Assumptions!$B$10)</f>
        <v>23454.14</v>
      </c>
      <c r="F93" s="18" t="n">
        <f aca="false">ROUND(E93*Assumptions!$B$7,Assumptions!$B$10)</f>
        <v>938.17</v>
      </c>
      <c r="G93" s="18" t="n">
        <f aca="false">SUM(E93:F93)</f>
        <v>24392.31</v>
      </c>
      <c r="H93" s="18" t="n">
        <f aca="false">ROUND(G93-'Cohort Data'!H93,Assumptions!$B$10)</f>
        <v>5978.31</v>
      </c>
      <c r="I93" s="18" t="n">
        <f aca="false">CEILING(G93,Assumptions!$B$12)</f>
        <v>24400</v>
      </c>
      <c r="J93" s="18" t="n">
        <f aca="false">FLOOR(G93,Assumptions!$B$12)</f>
        <v>24300</v>
      </c>
      <c r="K93" s="18" t="n">
        <f aca="false">ROUNDUP(G93,Assumptions!$B$10)</f>
        <v>24392.31</v>
      </c>
      <c r="L93" s="18" t="n">
        <f aca="false">ROUNDDOWN(G93,Assumptions!$B$10)</f>
        <v>24392.31</v>
      </c>
      <c r="M93" s="19" t="n">
        <f aca="false">INT('Cohort Data'!E93/Assumptions!$B$11)</f>
        <v>1</v>
      </c>
    </row>
    <row r="94" customFormat="false" ht="15" hidden="false" customHeight="false" outlineLevel="0" collapsed="false">
      <c r="A94" s="2" t="s">
        <v>194</v>
      </c>
      <c r="B94" s="18" t="n">
        <f aca="false">IF('Cohort Data'!D94=Assumptions!$B$16,ROUND('Cohort Data'!L94*'Cohort Data'!J94*Assumptions!$F$4,Assumptions!$B$10),Assumptions!$B$13)</f>
        <v>38812.75</v>
      </c>
      <c r="C94" s="18" t="n">
        <f aca="false">IF('Cohort Data'!D94=Assumptions!$B$16,ROUND('Cohort Data'!E94*Assumptions!$B$6,Assumptions!$B$10),Assumptions!$B$13)</f>
        <v>5025</v>
      </c>
      <c r="D94" s="18" t="n">
        <f aca="false">SUM(B94:C94)</f>
        <v>43837.75</v>
      </c>
      <c r="E94" s="18" t="n">
        <f aca="false">ROUND(D94/Assumptions!$F$6,Assumptions!$B$10)</f>
        <v>42560.92</v>
      </c>
      <c r="F94" s="18" t="n">
        <f aca="false">ROUND(E94*Assumptions!$B$7,Assumptions!$B$10)</f>
        <v>1702.44</v>
      </c>
      <c r="G94" s="18" t="n">
        <f aca="false">SUM(E94:F94)</f>
        <v>44263.36</v>
      </c>
      <c r="H94" s="18" t="n">
        <f aca="false">ROUND(G94-'Cohort Data'!H94,Assumptions!$B$10)</f>
        <v>10315.26</v>
      </c>
      <c r="I94" s="18" t="n">
        <f aca="false">CEILING(G94,Assumptions!$B$12)</f>
        <v>44300</v>
      </c>
      <c r="J94" s="18" t="n">
        <f aca="false">FLOOR(G94,Assumptions!$B$12)</f>
        <v>44200</v>
      </c>
      <c r="K94" s="18" t="n">
        <f aca="false">ROUNDUP(G94,Assumptions!$B$10)</f>
        <v>44263.36</v>
      </c>
      <c r="L94" s="18" t="n">
        <f aca="false">ROUNDDOWN(G94,Assumptions!$B$10)</f>
        <v>44263.36</v>
      </c>
      <c r="M94" s="19" t="n">
        <f aca="false">INT('Cohort Data'!E94/Assumptions!$B$11)</f>
        <v>2</v>
      </c>
    </row>
    <row r="95" customFormat="false" ht="15" hidden="false" customHeight="false" outlineLevel="0" collapsed="false">
      <c r="A95" s="2" t="s">
        <v>195</v>
      </c>
      <c r="B95" s="18" t="n">
        <f aca="false">IF('Cohort Data'!D95=Assumptions!$B$16,ROUND('Cohort Data'!L95*'Cohort Data'!J95*Assumptions!$F$4,Assumptions!$B$10),Assumptions!$B$13)</f>
        <v>28229.16</v>
      </c>
      <c r="C95" s="18" t="n">
        <f aca="false">IF('Cohort Data'!D95=Assumptions!$B$16,ROUND('Cohort Data'!E95*Assumptions!$B$6,Assumptions!$B$10),Assumptions!$B$13)</f>
        <v>2100</v>
      </c>
      <c r="D95" s="18" t="n">
        <f aca="false">SUM(B95:C95)</f>
        <v>30329.16</v>
      </c>
      <c r="E95" s="18" t="n">
        <f aca="false">ROUND(D95/Assumptions!$F$6,Assumptions!$B$10)</f>
        <v>29445.79</v>
      </c>
      <c r="F95" s="18" t="n">
        <f aca="false">ROUND(E95*Assumptions!$B$7,Assumptions!$B$10)</f>
        <v>1177.83</v>
      </c>
      <c r="G95" s="18" t="n">
        <f aca="false">SUM(E95:F95)</f>
        <v>30623.62</v>
      </c>
      <c r="H95" s="18" t="n">
        <f aca="false">ROUND(G95-'Cohort Data'!H95,Assumptions!$B$10)</f>
        <v>6407.43</v>
      </c>
      <c r="I95" s="18" t="n">
        <f aca="false">CEILING(G95,Assumptions!$B$12)</f>
        <v>30700</v>
      </c>
      <c r="J95" s="18" t="n">
        <f aca="false">FLOOR(G95,Assumptions!$B$12)</f>
        <v>30600</v>
      </c>
      <c r="K95" s="18" t="n">
        <f aca="false">ROUNDUP(G95,Assumptions!$B$10)</f>
        <v>30623.63</v>
      </c>
      <c r="L95" s="18" t="n">
        <f aca="false">ROUNDDOWN(G95,Assumptions!$B$10)</f>
        <v>30623.62</v>
      </c>
      <c r="M95" s="19" t="n">
        <f aca="false">INT('Cohort Data'!E95/Assumptions!$B$11)</f>
        <v>0</v>
      </c>
    </row>
    <row r="96" customFormat="false" ht="15" hidden="false" customHeight="false" outlineLevel="0" collapsed="false">
      <c r="A96" s="2" t="s">
        <v>196</v>
      </c>
      <c r="B96" s="18" t="n">
        <f aca="false">IF('Cohort Data'!D96=Assumptions!$B$16,ROUND('Cohort Data'!L96*'Cohort Data'!J96*Assumptions!$F$4,Assumptions!$B$10),Assumptions!$B$13)</f>
        <v>54601.46</v>
      </c>
      <c r="C96" s="18" t="n">
        <f aca="false">IF('Cohort Data'!D96=Assumptions!$B$16,ROUND('Cohort Data'!E96*Assumptions!$B$6,Assumptions!$B$10),Assumptions!$B$13)</f>
        <v>4175</v>
      </c>
      <c r="D96" s="18" t="n">
        <f aca="false">SUM(B96:C96)</f>
        <v>58776.46</v>
      </c>
      <c r="E96" s="18" t="n">
        <f aca="false">ROUND(D96/Assumptions!$F$6,Assumptions!$B$10)</f>
        <v>57064.52</v>
      </c>
      <c r="F96" s="18" t="n">
        <f aca="false">ROUND(E96*Assumptions!$B$7,Assumptions!$B$10)</f>
        <v>2282.58</v>
      </c>
      <c r="G96" s="18" t="n">
        <f aca="false">SUM(E96:F96)</f>
        <v>59347.1</v>
      </c>
      <c r="H96" s="18" t="n">
        <f aca="false">ROUND(G96-'Cohort Data'!H96,Assumptions!$B$10)</f>
        <v>13896.38</v>
      </c>
      <c r="I96" s="18" t="n">
        <f aca="false">CEILING(G96,Assumptions!$B$12)</f>
        <v>59400</v>
      </c>
      <c r="J96" s="18" t="n">
        <f aca="false">FLOOR(G96,Assumptions!$B$12)</f>
        <v>59300</v>
      </c>
      <c r="K96" s="18" t="n">
        <f aca="false">ROUNDUP(G96,Assumptions!$B$10)</f>
        <v>59347.1</v>
      </c>
      <c r="L96" s="18" t="n">
        <f aca="false">ROUNDDOWN(G96,Assumptions!$B$10)</f>
        <v>59347.1</v>
      </c>
      <c r="M96" s="19" t="n">
        <f aca="false">INT('Cohort Data'!E96/Assumptions!$B$11)</f>
        <v>1</v>
      </c>
    </row>
    <row r="97" customFormat="false" ht="15" hidden="false" customHeight="false" outlineLevel="0" collapsed="false">
      <c r="A97" s="2" t="s">
        <v>197</v>
      </c>
      <c r="B97" s="18" t="n">
        <f aca="false">IF('Cohort Data'!D97=Assumptions!$B$16,ROUND('Cohort Data'!L97*'Cohort Data'!J97*Assumptions!$F$4,Assumptions!$B$10),Assumptions!$B$13)</f>
        <v>21180.46</v>
      </c>
      <c r="C97" s="18" t="n">
        <f aca="false">IF('Cohort Data'!D97=Assumptions!$B$16,ROUND('Cohort Data'!E97*Assumptions!$B$6,Assumptions!$B$10),Assumptions!$B$13)</f>
        <v>2925</v>
      </c>
      <c r="D97" s="18" t="n">
        <f aca="false">SUM(B97:C97)</f>
        <v>24105.46</v>
      </c>
      <c r="E97" s="18" t="n">
        <f aca="false">ROUND(D97/Assumptions!$F$6,Assumptions!$B$10)</f>
        <v>23403.36</v>
      </c>
      <c r="F97" s="18" t="n">
        <f aca="false">ROUND(E97*Assumptions!$B$7,Assumptions!$B$10)</f>
        <v>936.13</v>
      </c>
      <c r="G97" s="18" t="n">
        <f aca="false">SUM(E97:F97)</f>
        <v>24339.49</v>
      </c>
      <c r="H97" s="18" t="n">
        <f aca="false">ROUND(G97-'Cohort Data'!H97,Assumptions!$B$10)</f>
        <v>4185.07</v>
      </c>
      <c r="I97" s="18" t="n">
        <f aca="false">CEILING(G97,Assumptions!$B$12)</f>
        <v>24400</v>
      </c>
      <c r="J97" s="18" t="n">
        <f aca="false">FLOOR(G97,Assumptions!$B$12)</f>
        <v>24300</v>
      </c>
      <c r="K97" s="18" t="n">
        <f aca="false">ROUNDUP(G97,Assumptions!$B$10)</f>
        <v>24339.49</v>
      </c>
      <c r="L97" s="18" t="n">
        <f aca="false">ROUNDDOWN(G97,Assumptions!$B$10)</f>
        <v>24339.49</v>
      </c>
      <c r="M97" s="19" t="n">
        <f aca="false">INT('Cohort Data'!E97/Assumptions!$B$11)</f>
        <v>1</v>
      </c>
    </row>
    <row r="98" customFormat="false" ht="15" hidden="false" customHeight="false" outlineLevel="0" collapsed="false">
      <c r="A98" s="2" t="s">
        <v>198</v>
      </c>
      <c r="B98" s="18" t="n">
        <f aca="false">IF('Cohort Data'!D98=Assumptions!$B$16,ROUND('Cohort Data'!L98*'Cohort Data'!J98*Assumptions!$F$4,Assumptions!$B$10),Assumptions!$B$13)</f>
        <v>0</v>
      </c>
      <c r="C98" s="18" t="n">
        <f aca="false">IF('Cohort Data'!D98=Assumptions!$B$16,ROUND('Cohort Data'!E98*Assumptions!$B$6,Assumptions!$B$10),Assumptions!$B$13)</f>
        <v>0</v>
      </c>
      <c r="D98" s="18" t="n">
        <f aca="false">SUM(B98:C98)</f>
        <v>0</v>
      </c>
      <c r="E98" s="18" t="n">
        <f aca="false">ROUND(D98/Assumptions!$F$6,Assumptions!$B$10)</f>
        <v>0</v>
      </c>
      <c r="F98" s="18" t="n">
        <f aca="false">ROUND(E98*Assumptions!$B$7,Assumptions!$B$10)</f>
        <v>0</v>
      </c>
      <c r="G98" s="18" t="n">
        <f aca="false">SUM(E98:F98)</f>
        <v>0</v>
      </c>
      <c r="H98" s="18" t="n">
        <f aca="false">ROUND(G98-'Cohort Data'!H98,Assumptions!$B$10)</f>
        <v>-42542.48</v>
      </c>
      <c r="I98" s="18" t="n">
        <f aca="false">CEILING(G98,Assumptions!$B$12)</f>
        <v>0</v>
      </c>
      <c r="J98" s="18" t="n">
        <f aca="false">FLOOR(G98,Assumptions!$B$12)</f>
        <v>0</v>
      </c>
      <c r="K98" s="18" t="n">
        <f aca="false">ROUNDUP(G98,Assumptions!$B$10)</f>
        <v>0</v>
      </c>
      <c r="L98" s="18" t="n">
        <f aca="false">ROUNDDOWN(G98,Assumptions!$B$10)</f>
        <v>0</v>
      </c>
      <c r="M98" s="19" t="n">
        <f aca="false">INT('Cohort Data'!E98/Assumptions!$B$11)</f>
        <v>2</v>
      </c>
    </row>
    <row r="99" customFormat="false" ht="15" hidden="false" customHeight="false" outlineLevel="0" collapsed="false">
      <c r="A99" s="2" t="s">
        <v>199</v>
      </c>
      <c r="B99" s="18" t="n">
        <f aca="false">IF('Cohort Data'!D99=Assumptions!$B$16,ROUND('Cohort Data'!L99*'Cohort Data'!J99*Assumptions!$F$4,Assumptions!$B$10),Assumptions!$B$13)</f>
        <v>30998.44</v>
      </c>
      <c r="C99" s="18" t="n">
        <f aca="false">IF('Cohort Data'!D99=Assumptions!$B$16,ROUND('Cohort Data'!E99*Assumptions!$B$6,Assumptions!$B$10),Assumptions!$B$13)</f>
        <v>4525</v>
      </c>
      <c r="D99" s="18" t="n">
        <f aca="false">SUM(B99:C99)</f>
        <v>35523.44</v>
      </c>
      <c r="E99" s="18" t="n">
        <f aca="false">ROUND(D99/Assumptions!$F$6,Assumptions!$B$10)</f>
        <v>34488.78</v>
      </c>
      <c r="F99" s="18" t="n">
        <f aca="false">ROUND(E99*Assumptions!$B$7,Assumptions!$B$10)</f>
        <v>1379.55</v>
      </c>
      <c r="G99" s="18" t="n">
        <f aca="false">SUM(E99:F99)</f>
        <v>35868.33</v>
      </c>
      <c r="H99" s="18" t="n">
        <f aca="false">ROUND(G99-'Cohort Data'!H99,Assumptions!$B$10)</f>
        <v>9778.27</v>
      </c>
      <c r="I99" s="18" t="n">
        <f aca="false">CEILING(G99,Assumptions!$B$12)</f>
        <v>35900</v>
      </c>
      <c r="J99" s="18" t="n">
        <f aca="false">FLOOR(G99,Assumptions!$B$12)</f>
        <v>35800</v>
      </c>
      <c r="K99" s="18" t="n">
        <f aca="false">ROUNDUP(G99,Assumptions!$B$10)</f>
        <v>35868.33</v>
      </c>
      <c r="L99" s="18" t="n">
        <f aca="false">ROUNDDOWN(G99,Assumptions!$B$10)</f>
        <v>35868.33</v>
      </c>
      <c r="M99" s="19" t="n">
        <f aca="false">INT('Cohort Data'!E99/Assumptions!$B$11)</f>
        <v>1</v>
      </c>
    </row>
    <row r="100" customFormat="false" ht="15" hidden="false" customHeight="false" outlineLevel="0" collapsed="false">
      <c r="A100" s="2" t="s">
        <v>200</v>
      </c>
      <c r="B100" s="18" t="n">
        <f aca="false">IF('Cohort Data'!D100=Assumptions!$B$16,ROUND('Cohort Data'!L100*'Cohort Data'!J100*Assumptions!$F$4,Assumptions!$B$10),Assumptions!$B$13)</f>
        <v>29990.57</v>
      </c>
      <c r="C100" s="18" t="n">
        <f aca="false">IF('Cohort Data'!D100=Assumptions!$B$16,ROUND('Cohort Data'!E100*Assumptions!$B$6,Assumptions!$B$10),Assumptions!$B$13)</f>
        <v>3550</v>
      </c>
      <c r="D100" s="18" t="n">
        <f aca="false">SUM(B100:C100)</f>
        <v>33540.57</v>
      </c>
      <c r="E100" s="18" t="n">
        <f aca="false">ROUND(D100/Assumptions!$F$6,Assumptions!$B$10)</f>
        <v>32563.66</v>
      </c>
      <c r="F100" s="18" t="n">
        <f aca="false">ROUND(E100*Assumptions!$B$7,Assumptions!$B$10)</f>
        <v>1302.55</v>
      </c>
      <c r="G100" s="18" t="n">
        <f aca="false">SUM(E100:F100)</f>
        <v>33866.21</v>
      </c>
      <c r="H100" s="18" t="n">
        <f aca="false">ROUND(G100-'Cohort Data'!H100,Assumptions!$B$10)</f>
        <v>7058.03</v>
      </c>
      <c r="I100" s="18" t="n">
        <f aca="false">CEILING(G100,Assumptions!$B$12)</f>
        <v>33900</v>
      </c>
      <c r="J100" s="18" t="n">
        <f aca="false">FLOOR(G100,Assumptions!$B$12)</f>
        <v>33800</v>
      </c>
      <c r="K100" s="18" t="n">
        <f aca="false">ROUNDUP(G100,Assumptions!$B$10)</f>
        <v>33866.21</v>
      </c>
      <c r="L100" s="18" t="n">
        <f aca="false">ROUNDDOWN(G100,Assumptions!$B$10)</f>
        <v>33866.21</v>
      </c>
      <c r="M100" s="19" t="n">
        <f aca="false">INT('Cohort Data'!E100/Assumptions!$B$11)</f>
        <v>1</v>
      </c>
    </row>
    <row r="101" customFormat="false" ht="15" hidden="false" customHeight="false" outlineLevel="0" collapsed="false">
      <c r="A101" s="2" t="s">
        <v>201</v>
      </c>
      <c r="B101" s="18" t="n">
        <f aca="false">IF('Cohort Data'!D101=Assumptions!$B$16,ROUND('Cohort Data'!L101*'Cohort Data'!J101*Assumptions!$F$4,Assumptions!$B$10),Assumptions!$B$13)</f>
        <v>20219.7</v>
      </c>
      <c r="C101" s="18" t="n">
        <f aca="false">IF('Cohort Data'!D101=Assumptions!$B$16,ROUND('Cohort Data'!E101*Assumptions!$B$6,Assumptions!$B$10),Assumptions!$B$13)</f>
        <v>1900</v>
      </c>
      <c r="D101" s="18" t="n">
        <f aca="false">SUM(B101:C101)</f>
        <v>22119.7</v>
      </c>
      <c r="E101" s="18" t="n">
        <f aca="false">ROUND(D101/Assumptions!$F$6,Assumptions!$B$10)</f>
        <v>21475.44</v>
      </c>
      <c r="F101" s="18" t="n">
        <f aca="false">ROUND(E101*Assumptions!$B$7,Assumptions!$B$10)</f>
        <v>859.02</v>
      </c>
      <c r="G101" s="18" t="n">
        <f aca="false">SUM(E101:F101)</f>
        <v>22334.46</v>
      </c>
      <c r="H101" s="18" t="n">
        <f aca="false">ROUND(G101-'Cohort Data'!H101,Assumptions!$B$10)</f>
        <v>4417.31</v>
      </c>
      <c r="I101" s="18" t="n">
        <f aca="false">CEILING(G101,Assumptions!$B$12)</f>
        <v>22400</v>
      </c>
      <c r="J101" s="18" t="n">
        <f aca="false">FLOOR(G101,Assumptions!$B$12)</f>
        <v>22300</v>
      </c>
      <c r="K101" s="18" t="n">
        <f aca="false">ROUNDUP(G101,Assumptions!$B$10)</f>
        <v>22334.46</v>
      </c>
      <c r="L101" s="18" t="n">
        <f aca="false">ROUNDDOWN(G101,Assumptions!$B$10)</f>
        <v>22334.46</v>
      </c>
      <c r="M101" s="19" t="n">
        <f aca="false">INT('Cohort Data'!E101/Assumptions!$B$11)</f>
        <v>0</v>
      </c>
    </row>
    <row r="102" customFormat="false" ht="15" hidden="false" customHeight="false" outlineLevel="0" collapsed="false">
      <c r="A102" s="2" t="s">
        <v>202</v>
      </c>
      <c r="B102" s="18" t="n">
        <f aca="false">IF('Cohort Data'!D102=Assumptions!$B$16,ROUND('Cohort Data'!L102*'Cohort Data'!J102*Assumptions!$F$4,Assumptions!$B$10),Assumptions!$B$13)</f>
        <v>64223.28</v>
      </c>
      <c r="C102" s="18" t="n">
        <f aca="false">IF('Cohort Data'!D102=Assumptions!$B$16,ROUND('Cohort Data'!E102*Assumptions!$B$6,Assumptions!$B$10),Assumptions!$B$13)</f>
        <v>6250</v>
      </c>
      <c r="D102" s="18" t="n">
        <f aca="false">SUM(B102:C102)</f>
        <v>70473.28</v>
      </c>
      <c r="E102" s="18" t="n">
        <f aca="false">ROUND(D102/Assumptions!$F$6,Assumptions!$B$10)</f>
        <v>68420.66</v>
      </c>
      <c r="F102" s="18" t="n">
        <f aca="false">ROUND(E102*Assumptions!$B$7,Assumptions!$B$10)</f>
        <v>2736.83</v>
      </c>
      <c r="G102" s="18" t="n">
        <f aca="false">SUM(E102:F102)</f>
        <v>71157.49</v>
      </c>
      <c r="H102" s="18" t="n">
        <f aca="false">ROUND(G102-'Cohort Data'!H102,Assumptions!$B$10)</f>
        <v>15915.49</v>
      </c>
      <c r="I102" s="18" t="n">
        <f aca="false">CEILING(G102,Assumptions!$B$12)</f>
        <v>71200</v>
      </c>
      <c r="J102" s="18" t="n">
        <f aca="false">FLOOR(G102,Assumptions!$B$12)</f>
        <v>71100</v>
      </c>
      <c r="K102" s="18" t="n">
        <f aca="false">ROUNDUP(G102,Assumptions!$B$10)</f>
        <v>71157.49</v>
      </c>
      <c r="L102" s="18" t="n">
        <f aca="false">ROUNDDOWN(G102,Assumptions!$B$10)</f>
        <v>71157.49</v>
      </c>
      <c r="M102" s="19" t="n">
        <f aca="false">INT('Cohort Data'!E102/Assumptions!$B$11)</f>
        <v>2</v>
      </c>
    </row>
    <row r="103" customFormat="false" ht="15" hidden="false" customHeight="false" outlineLevel="0" collapsed="false">
      <c r="A103" s="2" t="s">
        <v>203</v>
      </c>
      <c r="B103" s="18" t="n">
        <f aca="false">IF('Cohort Data'!D103=Assumptions!$B$16,ROUND('Cohort Data'!L103*'Cohort Data'!J103*Assumptions!$F$4,Assumptions!$B$10),Assumptions!$B$13)</f>
        <v>26876.86</v>
      </c>
      <c r="C103" s="18" t="n">
        <f aca="false">IF('Cohort Data'!D103=Assumptions!$B$16,ROUND('Cohort Data'!E103*Assumptions!$B$6,Assumptions!$B$10),Assumptions!$B$13)</f>
        <v>3275</v>
      </c>
      <c r="D103" s="18" t="n">
        <f aca="false">SUM(B103:C103)</f>
        <v>30151.86</v>
      </c>
      <c r="E103" s="18" t="n">
        <f aca="false">ROUND(D103/Assumptions!$F$6,Assumptions!$B$10)</f>
        <v>29273.65</v>
      </c>
      <c r="F103" s="18" t="n">
        <f aca="false">ROUND(E103*Assumptions!$B$7,Assumptions!$B$10)</f>
        <v>1170.95</v>
      </c>
      <c r="G103" s="18" t="n">
        <f aca="false">SUM(E103:F103)</f>
        <v>30444.6</v>
      </c>
      <c r="H103" s="18" t="n">
        <f aca="false">ROUND(G103-'Cohort Data'!H103,Assumptions!$B$10)</f>
        <v>5903.06</v>
      </c>
      <c r="I103" s="18" t="n">
        <f aca="false">CEILING(G103,Assumptions!$B$12)</f>
        <v>30500</v>
      </c>
      <c r="J103" s="18" t="n">
        <f aca="false">FLOOR(G103,Assumptions!$B$12)</f>
        <v>30400</v>
      </c>
      <c r="K103" s="18" t="n">
        <f aca="false">ROUNDUP(G103,Assumptions!$B$10)</f>
        <v>30444.6</v>
      </c>
      <c r="L103" s="18" t="n">
        <f aca="false">ROUNDDOWN(G103,Assumptions!$B$10)</f>
        <v>30444.6</v>
      </c>
      <c r="M103" s="19" t="n">
        <f aca="false">INT('Cohort Data'!E103/Assumptions!$B$11)</f>
        <v>1</v>
      </c>
    </row>
    <row r="104" customFormat="false" ht="15" hidden="false" customHeight="false" outlineLevel="0" collapsed="false">
      <c r="A104" s="2" t="s">
        <v>204</v>
      </c>
      <c r="B104" s="18" t="n">
        <f aca="false">IF('Cohort Data'!D104=Assumptions!$B$16,ROUND('Cohort Data'!L104*'Cohort Data'!J104*Assumptions!$F$4,Assumptions!$B$10),Assumptions!$B$13)</f>
        <v>57529.52</v>
      </c>
      <c r="C104" s="18" t="n">
        <f aca="false">IF('Cohort Data'!D104=Assumptions!$B$16,ROUND('Cohort Data'!E104*Assumptions!$B$6,Assumptions!$B$10),Assumptions!$B$13)</f>
        <v>6225</v>
      </c>
      <c r="D104" s="18" t="n">
        <f aca="false">SUM(B104:C104)</f>
        <v>63754.52</v>
      </c>
      <c r="E104" s="18" t="n">
        <f aca="false">ROUND(D104/Assumptions!$F$6,Assumptions!$B$10)</f>
        <v>61897.59</v>
      </c>
      <c r="F104" s="18" t="n">
        <f aca="false">ROUND(E104*Assumptions!$B$7,Assumptions!$B$10)</f>
        <v>2475.9</v>
      </c>
      <c r="G104" s="18" t="n">
        <f aca="false">SUM(E104:F104)</f>
        <v>64373.49</v>
      </c>
      <c r="H104" s="18" t="n">
        <f aca="false">ROUND(G104-'Cohort Data'!H104,Assumptions!$B$10)</f>
        <v>10683.61</v>
      </c>
      <c r="I104" s="18" t="n">
        <f aca="false">CEILING(G104,Assumptions!$B$12)</f>
        <v>64400</v>
      </c>
      <c r="J104" s="18" t="n">
        <f aca="false">FLOOR(G104,Assumptions!$B$12)</f>
        <v>64300</v>
      </c>
      <c r="K104" s="18" t="n">
        <f aca="false">ROUNDUP(G104,Assumptions!$B$10)</f>
        <v>64373.49</v>
      </c>
      <c r="L104" s="18" t="n">
        <f aca="false">ROUNDDOWN(G104,Assumptions!$B$10)</f>
        <v>64373.49</v>
      </c>
      <c r="M104" s="19" t="n">
        <f aca="false">INT('Cohort Data'!E104/Assumptions!$B$11)</f>
        <v>2</v>
      </c>
    </row>
    <row r="105" customFormat="false" ht="15" hidden="false" customHeight="false" outlineLevel="0" collapsed="false">
      <c r="A105" s="2" t="s">
        <v>205</v>
      </c>
      <c r="B105" s="18" t="n">
        <f aca="false">IF('Cohort Data'!D105=Assumptions!$B$16,ROUND('Cohort Data'!L105*'Cohort Data'!J105*Assumptions!$F$4,Assumptions!$B$10),Assumptions!$B$13)</f>
        <v>15693.83</v>
      </c>
      <c r="C105" s="18" t="n">
        <f aca="false">IF('Cohort Data'!D105=Assumptions!$B$16,ROUND('Cohort Data'!E105*Assumptions!$B$6,Assumptions!$B$10),Assumptions!$B$13)</f>
        <v>1575</v>
      </c>
      <c r="D105" s="18" t="n">
        <f aca="false">SUM(B105:C105)</f>
        <v>17268.83</v>
      </c>
      <c r="E105" s="18" t="n">
        <f aca="false">ROUND(D105/Assumptions!$F$6,Assumptions!$B$10)</f>
        <v>16765.85</v>
      </c>
      <c r="F105" s="18" t="n">
        <f aca="false">ROUND(E105*Assumptions!$B$7,Assumptions!$B$10)</f>
        <v>670.63</v>
      </c>
      <c r="G105" s="18" t="n">
        <f aca="false">SUM(E105:F105)</f>
        <v>17436.48</v>
      </c>
      <c r="H105" s="18" t="n">
        <f aca="false">ROUND(G105-'Cohort Data'!H105,Assumptions!$B$10)</f>
        <v>3211.58</v>
      </c>
      <c r="I105" s="18" t="n">
        <f aca="false">CEILING(G105,Assumptions!$B$12)</f>
        <v>17500</v>
      </c>
      <c r="J105" s="18" t="n">
        <f aca="false">FLOOR(G105,Assumptions!$B$12)</f>
        <v>17400</v>
      </c>
      <c r="K105" s="18" t="n">
        <f aca="false">ROUNDUP(G105,Assumptions!$B$10)</f>
        <v>17436.48</v>
      </c>
      <c r="L105" s="18" t="n">
        <f aca="false">ROUNDDOWN(G105,Assumptions!$B$10)</f>
        <v>17436.48</v>
      </c>
      <c r="M105" s="19" t="n">
        <f aca="false">INT('Cohort Data'!E105/Assumptions!$B$11)</f>
        <v>0</v>
      </c>
    </row>
    <row r="106" customFormat="false" ht="15" hidden="false" customHeight="false" outlineLevel="0" collapsed="false">
      <c r="A106" s="2" t="s">
        <v>206</v>
      </c>
      <c r="B106" s="18" t="n">
        <f aca="false">IF('Cohort Data'!D106=Assumptions!$B$16,ROUND('Cohort Data'!L106*'Cohort Data'!J106*Assumptions!$F$4,Assumptions!$B$10),Assumptions!$B$13)</f>
        <v>23316.61</v>
      </c>
      <c r="C106" s="18" t="n">
        <f aca="false">IF('Cohort Data'!D106=Assumptions!$B$16,ROUND('Cohort Data'!E106*Assumptions!$B$6,Assumptions!$B$10),Assumptions!$B$13)</f>
        <v>4200</v>
      </c>
      <c r="D106" s="18" t="n">
        <f aca="false">SUM(B106:C106)</f>
        <v>27516.61</v>
      </c>
      <c r="E106" s="18" t="n">
        <f aca="false">ROUND(D106/Assumptions!$F$6,Assumptions!$B$10)</f>
        <v>26715.16</v>
      </c>
      <c r="F106" s="18" t="n">
        <f aca="false">ROUND(E106*Assumptions!$B$7,Assumptions!$B$10)</f>
        <v>1068.61</v>
      </c>
      <c r="G106" s="18" t="n">
        <f aca="false">SUM(E106:F106)</f>
        <v>27783.77</v>
      </c>
      <c r="H106" s="18" t="n">
        <f aca="false">ROUND(G106-'Cohort Data'!H106,Assumptions!$B$10)</f>
        <v>5820.79</v>
      </c>
      <c r="I106" s="18" t="n">
        <f aca="false">CEILING(G106,Assumptions!$B$12)</f>
        <v>27800</v>
      </c>
      <c r="J106" s="18" t="n">
        <f aca="false">FLOOR(G106,Assumptions!$B$12)</f>
        <v>27700</v>
      </c>
      <c r="K106" s="18" t="n">
        <f aca="false">ROUNDUP(G106,Assumptions!$B$10)</f>
        <v>27783.77</v>
      </c>
      <c r="L106" s="18" t="n">
        <f aca="false">ROUNDDOWN(G106,Assumptions!$B$10)</f>
        <v>27783.77</v>
      </c>
      <c r="M106" s="19" t="n">
        <f aca="false">INT('Cohort Data'!E106/Assumptions!$B$11)</f>
        <v>1</v>
      </c>
    </row>
    <row r="107" customFormat="false" ht="15" hidden="false" customHeight="false" outlineLevel="0" collapsed="false">
      <c r="A107" s="2" t="s">
        <v>207</v>
      </c>
      <c r="B107" s="18" t="n">
        <f aca="false">IF('Cohort Data'!D107=Assumptions!$B$16,ROUND('Cohort Data'!L107*'Cohort Data'!J107*Assumptions!$F$4,Assumptions!$B$10),Assumptions!$B$13)</f>
        <v>30266.53</v>
      </c>
      <c r="C107" s="18" t="n">
        <f aca="false">IF('Cohort Data'!D107=Assumptions!$B$16,ROUND('Cohort Data'!E107*Assumptions!$B$6,Assumptions!$B$10),Assumptions!$B$13)</f>
        <v>3275</v>
      </c>
      <c r="D107" s="18" t="n">
        <f aca="false">SUM(B107:C107)</f>
        <v>33541.53</v>
      </c>
      <c r="E107" s="18" t="n">
        <f aca="false">ROUND(D107/Assumptions!$F$6,Assumptions!$B$10)</f>
        <v>32564.59</v>
      </c>
      <c r="F107" s="18" t="n">
        <f aca="false">ROUND(E107*Assumptions!$B$7,Assumptions!$B$10)</f>
        <v>1302.58</v>
      </c>
      <c r="G107" s="18" t="n">
        <f aca="false">SUM(E107:F107)</f>
        <v>33867.17</v>
      </c>
      <c r="H107" s="18" t="n">
        <f aca="false">ROUND(G107-'Cohort Data'!H107,Assumptions!$B$10)</f>
        <v>5335.37</v>
      </c>
      <c r="I107" s="18" t="n">
        <f aca="false">CEILING(G107,Assumptions!$B$12)</f>
        <v>33900</v>
      </c>
      <c r="J107" s="18" t="n">
        <f aca="false">FLOOR(G107,Assumptions!$B$12)</f>
        <v>33800</v>
      </c>
      <c r="K107" s="18" t="n">
        <f aca="false">ROUNDUP(G107,Assumptions!$B$10)</f>
        <v>33867.17</v>
      </c>
      <c r="L107" s="18" t="n">
        <f aca="false">ROUNDDOWN(G107,Assumptions!$B$10)</f>
        <v>33867.17</v>
      </c>
      <c r="M107" s="19" t="n">
        <f aca="false">INT('Cohort Data'!E107/Assumptions!$B$11)</f>
        <v>1</v>
      </c>
    </row>
    <row r="108" customFormat="false" ht="15" hidden="false" customHeight="false" outlineLevel="0" collapsed="false">
      <c r="A108" s="2" t="s">
        <v>208</v>
      </c>
      <c r="B108" s="18" t="n">
        <f aca="false">IF('Cohort Data'!D108=Assumptions!$B$16,ROUND('Cohort Data'!L108*'Cohort Data'!J108*Assumptions!$F$4,Assumptions!$B$10),Assumptions!$B$13)</f>
        <v>42130.47</v>
      </c>
      <c r="C108" s="18" t="n">
        <f aca="false">IF('Cohort Data'!D108=Assumptions!$B$16,ROUND('Cohort Data'!E108*Assumptions!$B$6,Assumptions!$B$10),Assumptions!$B$13)</f>
        <v>6150</v>
      </c>
      <c r="D108" s="18" t="n">
        <f aca="false">SUM(B108:C108)</f>
        <v>48280.47</v>
      </c>
      <c r="E108" s="18" t="n">
        <f aca="false">ROUND(D108/Assumptions!$F$6,Assumptions!$B$10)</f>
        <v>46874.24</v>
      </c>
      <c r="F108" s="18" t="n">
        <f aca="false">ROUND(E108*Assumptions!$B$7,Assumptions!$B$10)</f>
        <v>1874.97</v>
      </c>
      <c r="G108" s="18" t="n">
        <f aca="false">SUM(E108:F108)</f>
        <v>48749.21</v>
      </c>
      <c r="H108" s="18" t="n">
        <f aca="false">ROUND(G108-'Cohort Data'!H108,Assumptions!$B$10)</f>
        <v>13679.45</v>
      </c>
      <c r="I108" s="18" t="n">
        <f aca="false">CEILING(G108,Assumptions!$B$12)</f>
        <v>48800</v>
      </c>
      <c r="J108" s="18" t="n">
        <f aca="false">FLOOR(G108,Assumptions!$B$12)</f>
        <v>48700</v>
      </c>
      <c r="K108" s="18" t="n">
        <f aca="false">ROUNDUP(G108,Assumptions!$B$10)</f>
        <v>48749.21</v>
      </c>
      <c r="L108" s="18" t="n">
        <f aca="false">ROUNDDOWN(G108,Assumptions!$B$10)</f>
        <v>48749.21</v>
      </c>
      <c r="M108" s="19" t="n">
        <f aca="false">INT('Cohort Data'!E108/Assumptions!$B$11)</f>
        <v>2</v>
      </c>
    </row>
    <row r="109" customFormat="false" ht="15" hidden="false" customHeight="false" outlineLevel="0" collapsed="false">
      <c r="A109" s="2" t="s">
        <v>209</v>
      </c>
      <c r="B109" s="18" t="n">
        <f aca="false">IF('Cohort Data'!D109=Assumptions!$B$16,ROUND('Cohort Data'!L109*'Cohort Data'!J109*Assumptions!$F$4,Assumptions!$B$10),Assumptions!$B$13)</f>
        <v>31915.52</v>
      </c>
      <c r="C109" s="18" t="n">
        <f aca="false">IF('Cohort Data'!D109=Assumptions!$B$16,ROUND('Cohort Data'!E109*Assumptions!$B$6,Assumptions!$B$10),Assumptions!$B$13)</f>
        <v>3225</v>
      </c>
      <c r="D109" s="18" t="n">
        <f aca="false">SUM(B109:C109)</f>
        <v>35140.52</v>
      </c>
      <c r="E109" s="18" t="n">
        <f aca="false">ROUND(D109/Assumptions!$F$6,Assumptions!$B$10)</f>
        <v>34117.01</v>
      </c>
      <c r="F109" s="18" t="n">
        <f aca="false">ROUND(E109*Assumptions!$B$7,Assumptions!$B$10)</f>
        <v>1364.68</v>
      </c>
      <c r="G109" s="18" t="n">
        <f aca="false">SUM(E109:F109)</f>
        <v>35481.69</v>
      </c>
      <c r="H109" s="18" t="n">
        <f aca="false">ROUND(G109-'Cohort Data'!H109,Assumptions!$B$10)</f>
        <v>5112.25</v>
      </c>
      <c r="I109" s="18" t="n">
        <f aca="false">CEILING(G109,Assumptions!$B$12)</f>
        <v>35500</v>
      </c>
      <c r="J109" s="18" t="n">
        <f aca="false">FLOOR(G109,Assumptions!$B$12)</f>
        <v>35400</v>
      </c>
      <c r="K109" s="18" t="n">
        <f aca="false">ROUNDUP(G109,Assumptions!$B$10)</f>
        <v>35481.69</v>
      </c>
      <c r="L109" s="18" t="n">
        <f aca="false">ROUNDDOWN(G109,Assumptions!$B$10)</f>
        <v>35481.69</v>
      </c>
      <c r="M109" s="19" t="n">
        <f aca="false">INT('Cohort Data'!E109/Assumptions!$B$11)</f>
        <v>1</v>
      </c>
    </row>
    <row r="110" customFormat="false" ht="15" hidden="false" customHeight="false" outlineLevel="0" collapsed="false">
      <c r="A110" s="2" t="s">
        <v>210</v>
      </c>
      <c r="B110" s="18" t="n">
        <f aca="false">IF('Cohort Data'!D110=Assumptions!$B$16,ROUND('Cohort Data'!L110*'Cohort Data'!J110*Assumptions!$F$4,Assumptions!$B$10),Assumptions!$B$13)</f>
        <v>39277.18</v>
      </c>
      <c r="C110" s="18" t="n">
        <f aca="false">IF('Cohort Data'!D110=Assumptions!$B$16,ROUND('Cohort Data'!E110*Assumptions!$B$6,Assumptions!$B$10),Assumptions!$B$13)</f>
        <v>4675</v>
      </c>
      <c r="D110" s="18" t="n">
        <f aca="false">SUM(B110:C110)</f>
        <v>43952.18</v>
      </c>
      <c r="E110" s="18" t="n">
        <f aca="false">ROUND(D110/Assumptions!$F$6,Assumptions!$B$10)</f>
        <v>42672.02</v>
      </c>
      <c r="F110" s="18" t="n">
        <f aca="false">ROUND(E110*Assumptions!$B$7,Assumptions!$B$10)</f>
        <v>1706.88</v>
      </c>
      <c r="G110" s="18" t="n">
        <f aca="false">SUM(E110:F110)</f>
        <v>44378.9</v>
      </c>
      <c r="H110" s="18" t="n">
        <f aca="false">ROUND(G110-'Cohort Data'!H110,Assumptions!$B$10)</f>
        <v>9574.46</v>
      </c>
      <c r="I110" s="18" t="n">
        <f aca="false">CEILING(G110,Assumptions!$B$12)</f>
        <v>44400</v>
      </c>
      <c r="J110" s="18" t="n">
        <f aca="false">FLOOR(G110,Assumptions!$B$12)</f>
        <v>44300</v>
      </c>
      <c r="K110" s="18" t="n">
        <f aca="false">ROUNDUP(G110,Assumptions!$B$10)</f>
        <v>44378.9</v>
      </c>
      <c r="L110" s="18" t="n">
        <f aca="false">ROUNDDOWN(G110,Assumptions!$B$10)</f>
        <v>44378.89</v>
      </c>
      <c r="M110" s="19" t="n">
        <f aca="false">INT('Cohort Data'!E110/Assumptions!$B$11)</f>
        <v>1</v>
      </c>
    </row>
    <row r="111" customFormat="false" ht="15" hidden="false" customHeight="false" outlineLevel="0" collapsed="false">
      <c r="A111" s="2" t="s">
        <v>211</v>
      </c>
      <c r="B111" s="18" t="n">
        <f aca="false">IF('Cohort Data'!D111=Assumptions!$B$16,ROUND('Cohort Data'!L111*'Cohort Data'!J111*Assumptions!$F$4,Assumptions!$B$10),Assumptions!$B$13)</f>
        <v>68395.85</v>
      </c>
      <c r="C111" s="18" t="n">
        <f aca="false">IF('Cohort Data'!D111=Assumptions!$B$16,ROUND('Cohort Data'!E111*Assumptions!$B$6,Assumptions!$B$10),Assumptions!$B$13)</f>
        <v>4775</v>
      </c>
      <c r="D111" s="18" t="n">
        <f aca="false">SUM(B111:C111)</f>
        <v>73170.85</v>
      </c>
      <c r="E111" s="18" t="n">
        <f aca="false">ROUND(D111/Assumptions!$F$6,Assumptions!$B$10)</f>
        <v>71039.66</v>
      </c>
      <c r="F111" s="18" t="n">
        <f aca="false">ROUND(E111*Assumptions!$B$7,Assumptions!$B$10)</f>
        <v>2841.59</v>
      </c>
      <c r="G111" s="18" t="n">
        <f aca="false">SUM(E111:F111)</f>
        <v>73881.25</v>
      </c>
      <c r="H111" s="18" t="n">
        <f aca="false">ROUND(G111-'Cohort Data'!H111,Assumptions!$B$10)</f>
        <v>16947.97</v>
      </c>
      <c r="I111" s="18" t="n">
        <f aca="false">CEILING(G111,Assumptions!$B$12)</f>
        <v>73900</v>
      </c>
      <c r="J111" s="18" t="n">
        <f aca="false">FLOOR(G111,Assumptions!$B$12)</f>
        <v>73800</v>
      </c>
      <c r="K111" s="18" t="n">
        <f aca="false">ROUNDUP(G111,Assumptions!$B$10)</f>
        <v>73881.25</v>
      </c>
      <c r="L111" s="18" t="n">
        <f aca="false">ROUNDDOWN(G111,Assumptions!$B$10)</f>
        <v>73881.25</v>
      </c>
      <c r="M111" s="19" t="n">
        <f aca="false">INT('Cohort Data'!E111/Assumptions!$B$11)</f>
        <v>1</v>
      </c>
    </row>
    <row r="112" customFormat="false" ht="15" hidden="false" customHeight="false" outlineLevel="0" collapsed="false">
      <c r="A112" s="2" t="s">
        <v>212</v>
      </c>
      <c r="B112" s="18" t="n">
        <f aca="false">IF('Cohort Data'!D112=Assumptions!$B$16,ROUND('Cohort Data'!L112*'Cohort Data'!J112*Assumptions!$F$4,Assumptions!$B$10),Assumptions!$B$13)</f>
        <v>17571.94</v>
      </c>
      <c r="C112" s="18" t="n">
        <f aca="false">IF('Cohort Data'!D112=Assumptions!$B$16,ROUND('Cohort Data'!E112*Assumptions!$B$6,Assumptions!$B$10),Assumptions!$B$13)</f>
        <v>2600</v>
      </c>
      <c r="D112" s="18" t="n">
        <f aca="false">SUM(B112:C112)</f>
        <v>20171.94</v>
      </c>
      <c r="E112" s="18" t="n">
        <f aca="false">ROUND(D112/Assumptions!$F$6,Assumptions!$B$10)</f>
        <v>19584.41</v>
      </c>
      <c r="F112" s="18" t="n">
        <f aca="false">ROUND(E112*Assumptions!$B$7,Assumptions!$B$10)</f>
        <v>783.38</v>
      </c>
      <c r="G112" s="18" t="n">
        <f aca="false">SUM(E112:F112)</f>
        <v>20367.79</v>
      </c>
      <c r="H112" s="18" t="n">
        <f aca="false">ROUND(G112-'Cohort Data'!H112,Assumptions!$B$10)</f>
        <v>3984.88</v>
      </c>
      <c r="I112" s="18" t="n">
        <f aca="false">CEILING(G112,Assumptions!$B$12)</f>
        <v>20400</v>
      </c>
      <c r="J112" s="18" t="n">
        <f aca="false">FLOOR(G112,Assumptions!$B$12)</f>
        <v>20300</v>
      </c>
      <c r="K112" s="18" t="n">
        <f aca="false">ROUNDUP(G112,Assumptions!$B$10)</f>
        <v>20367.79</v>
      </c>
      <c r="L112" s="18" t="n">
        <f aca="false">ROUNDDOWN(G112,Assumptions!$B$10)</f>
        <v>20367.79</v>
      </c>
      <c r="M112" s="19" t="n">
        <f aca="false">INT('Cohort Data'!E112/Assumptions!$B$11)</f>
        <v>1</v>
      </c>
    </row>
    <row r="113" customFormat="false" ht="15" hidden="false" customHeight="false" outlineLevel="0" collapsed="false">
      <c r="A113" s="2" t="s">
        <v>213</v>
      </c>
      <c r="B113" s="18" t="n">
        <f aca="false">IF('Cohort Data'!D113=Assumptions!$B$16,ROUND('Cohort Data'!L113*'Cohort Data'!J113*Assumptions!$F$4,Assumptions!$B$10),Assumptions!$B$13)</f>
        <v>31575.77</v>
      </c>
      <c r="C113" s="18" t="n">
        <f aca="false">IF('Cohort Data'!D113=Assumptions!$B$16,ROUND('Cohort Data'!E113*Assumptions!$B$6,Assumptions!$B$10),Assumptions!$B$13)</f>
        <v>2750</v>
      </c>
      <c r="D113" s="18" t="n">
        <f aca="false">SUM(B113:C113)</f>
        <v>34325.77</v>
      </c>
      <c r="E113" s="18" t="n">
        <f aca="false">ROUND(D113/Assumptions!$F$6,Assumptions!$B$10)</f>
        <v>33325.99</v>
      </c>
      <c r="F113" s="18" t="n">
        <f aca="false">ROUND(E113*Assumptions!$B$7,Assumptions!$B$10)</f>
        <v>1333.04</v>
      </c>
      <c r="G113" s="18" t="n">
        <f aca="false">SUM(E113:F113)</f>
        <v>34659.03</v>
      </c>
      <c r="H113" s="18" t="n">
        <f aca="false">ROUND(G113-'Cohort Data'!H113,Assumptions!$B$10)</f>
        <v>7571.97</v>
      </c>
      <c r="I113" s="18" t="n">
        <f aca="false">CEILING(G113,Assumptions!$B$12)</f>
        <v>34700</v>
      </c>
      <c r="J113" s="18" t="n">
        <f aca="false">FLOOR(G113,Assumptions!$B$12)</f>
        <v>34600</v>
      </c>
      <c r="K113" s="18" t="n">
        <f aca="false">ROUNDUP(G113,Assumptions!$B$10)</f>
        <v>34659.03</v>
      </c>
      <c r="L113" s="18" t="n">
        <f aca="false">ROUNDDOWN(G113,Assumptions!$B$10)</f>
        <v>34659.03</v>
      </c>
      <c r="M113" s="19" t="n">
        <f aca="false">INT('Cohort Data'!E113/Assumptions!$B$11)</f>
        <v>1</v>
      </c>
    </row>
    <row r="114" customFormat="false" ht="15" hidden="false" customHeight="false" outlineLevel="0" collapsed="false">
      <c r="A114" s="2" t="s">
        <v>214</v>
      </c>
      <c r="B114" s="18" t="n">
        <f aca="false">IF('Cohort Data'!D114=Assumptions!$B$16,ROUND('Cohort Data'!L114*'Cohort Data'!J114*Assumptions!$F$4,Assumptions!$B$10),Assumptions!$B$13)</f>
        <v>38907.63</v>
      </c>
      <c r="C114" s="18" t="n">
        <f aca="false">IF('Cohort Data'!D114=Assumptions!$B$16,ROUND('Cohort Data'!E114*Assumptions!$B$6,Assumptions!$B$10),Assumptions!$B$13)</f>
        <v>5950</v>
      </c>
      <c r="D114" s="18" t="n">
        <f aca="false">SUM(B114:C114)</f>
        <v>44857.63</v>
      </c>
      <c r="E114" s="18" t="n">
        <f aca="false">ROUND(D114/Assumptions!$F$6,Assumptions!$B$10)</f>
        <v>43551.1</v>
      </c>
      <c r="F114" s="18" t="n">
        <f aca="false">ROUND(E114*Assumptions!$B$7,Assumptions!$B$10)</f>
        <v>1742.04</v>
      </c>
      <c r="G114" s="18" t="n">
        <f aca="false">SUM(E114:F114)</f>
        <v>45293.14</v>
      </c>
      <c r="H114" s="18" t="n">
        <f aca="false">ROUND(G114-'Cohort Data'!H114,Assumptions!$B$10)</f>
        <v>12186.39</v>
      </c>
      <c r="I114" s="18" t="n">
        <f aca="false">CEILING(G114,Assumptions!$B$12)</f>
        <v>45300</v>
      </c>
      <c r="J114" s="18" t="n">
        <f aca="false">FLOOR(G114,Assumptions!$B$12)</f>
        <v>45200</v>
      </c>
      <c r="K114" s="18" t="n">
        <f aca="false">ROUNDUP(G114,Assumptions!$B$10)</f>
        <v>45293.14</v>
      </c>
      <c r="L114" s="18" t="n">
        <f aca="false">ROUNDDOWN(G114,Assumptions!$B$10)</f>
        <v>45293.14</v>
      </c>
      <c r="M114" s="19" t="n">
        <f aca="false">INT('Cohort Data'!E114/Assumptions!$B$11)</f>
        <v>2</v>
      </c>
    </row>
    <row r="115" customFormat="false" ht="15" hidden="false" customHeight="false" outlineLevel="0" collapsed="false">
      <c r="A115" s="2" t="s">
        <v>215</v>
      </c>
      <c r="B115" s="18" t="n">
        <f aca="false">IF('Cohort Data'!D115=Assumptions!$B$16,ROUND('Cohort Data'!L115*'Cohort Data'!J115*Assumptions!$F$4,Assumptions!$B$10),Assumptions!$B$13)</f>
        <v>33454.27</v>
      </c>
      <c r="C115" s="18" t="n">
        <f aca="false">IF('Cohort Data'!D115=Assumptions!$B$16,ROUND('Cohort Data'!E115*Assumptions!$B$6,Assumptions!$B$10),Assumptions!$B$13)</f>
        <v>5775</v>
      </c>
      <c r="D115" s="18" t="n">
        <f aca="false">SUM(B115:C115)</f>
        <v>39229.27</v>
      </c>
      <c r="E115" s="18" t="n">
        <f aca="false">ROUND(D115/Assumptions!$F$6,Assumptions!$B$10)</f>
        <v>38086.67</v>
      </c>
      <c r="F115" s="18" t="n">
        <f aca="false">ROUND(E115*Assumptions!$B$7,Assumptions!$B$10)</f>
        <v>1523.47</v>
      </c>
      <c r="G115" s="18" t="n">
        <f aca="false">SUM(E115:F115)</f>
        <v>39610.14</v>
      </c>
      <c r="H115" s="18" t="n">
        <f aca="false">ROUND(G115-'Cohort Data'!H115,Assumptions!$B$10)</f>
        <v>10670.46</v>
      </c>
      <c r="I115" s="18" t="n">
        <f aca="false">CEILING(G115,Assumptions!$B$12)</f>
        <v>39700</v>
      </c>
      <c r="J115" s="18" t="n">
        <f aca="false">FLOOR(G115,Assumptions!$B$12)</f>
        <v>39600</v>
      </c>
      <c r="K115" s="18" t="n">
        <f aca="false">ROUNDUP(G115,Assumptions!$B$10)</f>
        <v>39610.14</v>
      </c>
      <c r="L115" s="18" t="n">
        <f aca="false">ROUNDDOWN(G115,Assumptions!$B$10)</f>
        <v>39610.14</v>
      </c>
      <c r="M115" s="19" t="n">
        <f aca="false">INT('Cohort Data'!E115/Assumptions!$B$11)</f>
        <v>2</v>
      </c>
    </row>
    <row r="116" customFormat="false" ht="15" hidden="false" customHeight="false" outlineLevel="0" collapsed="false">
      <c r="A116" s="2" t="s">
        <v>216</v>
      </c>
      <c r="B116" s="18" t="n">
        <f aca="false">IF('Cohort Data'!D116=Assumptions!$B$16,ROUND('Cohort Data'!L116*'Cohort Data'!J116*Assumptions!$F$4,Assumptions!$B$10),Assumptions!$B$13)</f>
        <v>53104.71</v>
      </c>
      <c r="C116" s="18" t="n">
        <f aca="false">IF('Cohort Data'!D116=Assumptions!$B$16,ROUND('Cohort Data'!E116*Assumptions!$B$6,Assumptions!$B$10),Assumptions!$B$13)</f>
        <v>5125</v>
      </c>
      <c r="D116" s="18" t="n">
        <f aca="false">SUM(B116:C116)</f>
        <v>58229.71</v>
      </c>
      <c r="E116" s="18" t="n">
        <f aca="false">ROUND(D116/Assumptions!$F$6,Assumptions!$B$10)</f>
        <v>56533.7</v>
      </c>
      <c r="F116" s="18" t="n">
        <f aca="false">ROUND(E116*Assumptions!$B$7,Assumptions!$B$10)</f>
        <v>2261.35</v>
      </c>
      <c r="G116" s="18" t="n">
        <f aca="false">SUM(E116:F116)</f>
        <v>58795.05</v>
      </c>
      <c r="H116" s="18" t="n">
        <f aca="false">ROUND(G116-'Cohort Data'!H116,Assumptions!$B$10)</f>
        <v>12238.32</v>
      </c>
      <c r="I116" s="18" t="n">
        <f aca="false">CEILING(G116,Assumptions!$B$12)</f>
        <v>58800</v>
      </c>
      <c r="J116" s="18" t="n">
        <f aca="false">FLOOR(G116,Assumptions!$B$12)</f>
        <v>58700</v>
      </c>
      <c r="K116" s="18" t="n">
        <f aca="false">ROUNDUP(G116,Assumptions!$B$10)</f>
        <v>58795.05</v>
      </c>
      <c r="L116" s="18" t="n">
        <f aca="false">ROUNDDOWN(G116,Assumptions!$B$10)</f>
        <v>58795.05</v>
      </c>
      <c r="M116" s="19" t="n">
        <f aca="false">INT('Cohort Data'!E116/Assumptions!$B$11)</f>
        <v>2</v>
      </c>
    </row>
    <row r="117" customFormat="false" ht="15" hidden="false" customHeight="false" outlineLevel="0" collapsed="false">
      <c r="A117" s="2" t="s">
        <v>217</v>
      </c>
      <c r="B117" s="18" t="n">
        <f aca="false">IF('Cohort Data'!D117=Assumptions!$B$16,ROUND('Cohort Data'!L117*'Cohort Data'!J117*Assumptions!$F$4,Assumptions!$B$10),Assumptions!$B$13)</f>
        <v>0</v>
      </c>
      <c r="C117" s="18" t="n">
        <f aca="false">IF('Cohort Data'!D117=Assumptions!$B$16,ROUND('Cohort Data'!E117*Assumptions!$B$6,Assumptions!$B$10),Assumptions!$B$13)</f>
        <v>0</v>
      </c>
      <c r="D117" s="18" t="n">
        <f aca="false">SUM(B117:C117)</f>
        <v>0</v>
      </c>
      <c r="E117" s="18" t="n">
        <f aca="false">ROUND(D117/Assumptions!$F$6,Assumptions!$B$10)</f>
        <v>0</v>
      </c>
      <c r="F117" s="18" t="n">
        <f aca="false">ROUND(E117*Assumptions!$B$7,Assumptions!$B$10)</f>
        <v>0</v>
      </c>
      <c r="G117" s="18" t="n">
        <f aca="false">SUM(E117:F117)</f>
        <v>0</v>
      </c>
      <c r="H117" s="18" t="n">
        <f aca="false">ROUND(G117-'Cohort Data'!H117,Assumptions!$B$10)</f>
        <v>-45298.44</v>
      </c>
      <c r="I117" s="18" t="n">
        <f aca="false">CEILING(G117,Assumptions!$B$12)</f>
        <v>0</v>
      </c>
      <c r="J117" s="18" t="n">
        <f aca="false">FLOOR(G117,Assumptions!$B$12)</f>
        <v>0</v>
      </c>
      <c r="K117" s="18" t="n">
        <f aca="false">ROUNDUP(G117,Assumptions!$B$10)</f>
        <v>0</v>
      </c>
      <c r="L117" s="18" t="n">
        <f aca="false">ROUNDDOWN(G117,Assumptions!$B$10)</f>
        <v>0</v>
      </c>
      <c r="M117" s="19" t="n">
        <f aca="false">INT('Cohort Data'!E117/Assumptions!$B$11)</f>
        <v>2</v>
      </c>
    </row>
    <row r="118" customFormat="false" ht="15" hidden="false" customHeight="false" outlineLevel="0" collapsed="false">
      <c r="A118" s="2" t="s">
        <v>218</v>
      </c>
      <c r="B118" s="18" t="n">
        <f aca="false">IF('Cohort Data'!D118=Assumptions!$B$16,ROUND('Cohort Data'!L118*'Cohort Data'!J118*Assumptions!$F$4,Assumptions!$B$10),Assumptions!$B$13)</f>
        <v>46597.02</v>
      </c>
      <c r="C118" s="18" t="n">
        <f aca="false">IF('Cohort Data'!D118=Assumptions!$B$16,ROUND('Cohort Data'!E118*Assumptions!$B$6,Assumptions!$B$10),Assumptions!$B$13)</f>
        <v>5850</v>
      </c>
      <c r="D118" s="18" t="n">
        <f aca="false">SUM(B118:C118)</f>
        <v>52447.02</v>
      </c>
      <c r="E118" s="18" t="n">
        <f aca="false">ROUND(D118/Assumptions!$F$6,Assumptions!$B$10)</f>
        <v>50919.44</v>
      </c>
      <c r="F118" s="18" t="n">
        <f aca="false">ROUND(E118*Assumptions!$B$7,Assumptions!$B$10)</f>
        <v>2036.78</v>
      </c>
      <c r="G118" s="18" t="n">
        <f aca="false">SUM(E118:F118)</f>
        <v>52956.22</v>
      </c>
      <c r="H118" s="18" t="n">
        <f aca="false">ROUND(G118-'Cohort Data'!H118,Assumptions!$B$10)</f>
        <v>9064.37</v>
      </c>
      <c r="I118" s="18" t="n">
        <f aca="false">CEILING(G118,Assumptions!$B$12)</f>
        <v>53000</v>
      </c>
      <c r="J118" s="18" t="n">
        <f aca="false">FLOOR(G118,Assumptions!$B$12)</f>
        <v>52900</v>
      </c>
      <c r="K118" s="18" t="n">
        <f aca="false">ROUNDUP(G118,Assumptions!$B$10)</f>
        <v>52956.22</v>
      </c>
      <c r="L118" s="18" t="n">
        <f aca="false">ROUNDDOWN(G118,Assumptions!$B$10)</f>
        <v>52956.22</v>
      </c>
      <c r="M118" s="19" t="n">
        <f aca="false">INT('Cohort Data'!E118/Assumptions!$B$11)</f>
        <v>2</v>
      </c>
    </row>
    <row r="119" customFormat="false" ht="15" hidden="false" customHeight="false" outlineLevel="0" collapsed="false">
      <c r="A119" s="2" t="s">
        <v>219</v>
      </c>
      <c r="B119" s="18" t="n">
        <f aca="false">IF('Cohort Data'!D119=Assumptions!$B$16,ROUND('Cohort Data'!L119*'Cohort Data'!J119*Assumptions!$F$4,Assumptions!$B$10),Assumptions!$B$13)</f>
        <v>58810.75</v>
      </c>
      <c r="C119" s="18" t="n">
        <f aca="false">IF('Cohort Data'!D119=Assumptions!$B$16,ROUND('Cohort Data'!E119*Assumptions!$B$6,Assumptions!$B$10),Assumptions!$B$13)</f>
        <v>6000</v>
      </c>
      <c r="D119" s="18" t="n">
        <f aca="false">SUM(B119:C119)</f>
        <v>64810.75</v>
      </c>
      <c r="E119" s="18" t="n">
        <f aca="false">ROUND(D119/Assumptions!$F$6,Assumptions!$B$10)</f>
        <v>62923.06</v>
      </c>
      <c r="F119" s="18" t="n">
        <f aca="false">ROUND(E119*Assumptions!$B$7,Assumptions!$B$10)</f>
        <v>2516.92</v>
      </c>
      <c r="G119" s="18" t="n">
        <f aca="false">SUM(E119:F119)</f>
        <v>65439.98</v>
      </c>
      <c r="H119" s="18" t="n">
        <f aca="false">ROUND(G119-'Cohort Data'!H119,Assumptions!$B$10)</f>
        <v>10554.38</v>
      </c>
      <c r="I119" s="18" t="n">
        <f aca="false">CEILING(G119,Assumptions!$B$12)</f>
        <v>65500</v>
      </c>
      <c r="J119" s="18" t="n">
        <f aca="false">FLOOR(G119,Assumptions!$B$12)</f>
        <v>65400</v>
      </c>
      <c r="K119" s="18" t="n">
        <f aca="false">ROUNDUP(G119,Assumptions!$B$10)</f>
        <v>65439.98</v>
      </c>
      <c r="L119" s="18" t="n">
        <f aca="false">ROUNDDOWN(G119,Assumptions!$B$10)</f>
        <v>65439.98</v>
      </c>
      <c r="M119" s="19" t="n">
        <f aca="false">INT('Cohort Data'!E119/Assumptions!$B$11)</f>
        <v>2</v>
      </c>
    </row>
    <row r="120" customFormat="false" ht="15" hidden="false" customHeight="false" outlineLevel="0" collapsed="false">
      <c r="A120" s="2" t="s">
        <v>220</v>
      </c>
      <c r="B120" s="18" t="n">
        <f aca="false">IF('Cohort Data'!D120=Assumptions!$B$16,ROUND('Cohort Data'!L120*'Cohort Data'!J120*Assumptions!$F$4,Assumptions!$B$10),Assumptions!$B$13)</f>
        <v>39880.71</v>
      </c>
      <c r="C120" s="18" t="n">
        <f aca="false">IF('Cohort Data'!D120=Assumptions!$B$16,ROUND('Cohort Data'!E120*Assumptions!$B$6,Assumptions!$B$10),Assumptions!$B$13)</f>
        <v>2725</v>
      </c>
      <c r="D120" s="18" t="n">
        <f aca="false">SUM(B120:C120)</f>
        <v>42605.71</v>
      </c>
      <c r="E120" s="18" t="n">
        <f aca="false">ROUND(D120/Assumptions!$F$6,Assumptions!$B$10)</f>
        <v>41364.77</v>
      </c>
      <c r="F120" s="18" t="n">
        <f aca="false">ROUND(E120*Assumptions!$B$7,Assumptions!$B$10)</f>
        <v>1654.59</v>
      </c>
      <c r="G120" s="18" t="n">
        <f aca="false">SUM(E120:F120)</f>
        <v>43019.36</v>
      </c>
      <c r="H120" s="18" t="n">
        <f aca="false">ROUND(G120-'Cohort Data'!H120,Assumptions!$B$10)</f>
        <v>7240.33</v>
      </c>
      <c r="I120" s="18" t="n">
        <f aca="false">CEILING(G120,Assumptions!$B$12)</f>
        <v>43100</v>
      </c>
      <c r="J120" s="18" t="n">
        <f aca="false">FLOOR(G120,Assumptions!$B$12)</f>
        <v>43000</v>
      </c>
      <c r="K120" s="18" t="n">
        <f aca="false">ROUNDUP(G120,Assumptions!$B$10)</f>
        <v>43019.36</v>
      </c>
      <c r="L120" s="18" t="n">
        <f aca="false">ROUNDDOWN(G120,Assumptions!$B$10)</f>
        <v>43019.35</v>
      </c>
      <c r="M120" s="19" t="n">
        <f aca="false">INT('Cohort Data'!E120/Assumptions!$B$11)</f>
        <v>1</v>
      </c>
    </row>
    <row r="121" customFormat="false" ht="15" hidden="false" customHeight="false" outlineLevel="0" collapsed="false">
      <c r="A121" s="2" t="s">
        <v>221</v>
      </c>
      <c r="B121" s="18" t="n">
        <f aca="false">IF('Cohort Data'!D121=Assumptions!$B$16,ROUND('Cohort Data'!L121*'Cohort Data'!J121*Assumptions!$F$4,Assumptions!$B$10),Assumptions!$B$13)</f>
        <v>29338.86</v>
      </c>
      <c r="C121" s="18" t="n">
        <f aca="false">IF('Cohort Data'!D121=Assumptions!$B$16,ROUND('Cohort Data'!E121*Assumptions!$B$6,Assumptions!$B$10),Assumptions!$B$13)</f>
        <v>4675</v>
      </c>
      <c r="D121" s="18" t="n">
        <f aca="false">SUM(B121:C121)</f>
        <v>34013.86</v>
      </c>
      <c r="E121" s="18" t="n">
        <f aca="false">ROUND(D121/Assumptions!$F$6,Assumptions!$B$10)</f>
        <v>33023.17</v>
      </c>
      <c r="F121" s="18" t="n">
        <f aca="false">ROUND(E121*Assumptions!$B$7,Assumptions!$B$10)</f>
        <v>1320.93</v>
      </c>
      <c r="G121" s="18" t="n">
        <f aca="false">SUM(E121:F121)</f>
        <v>34344.1</v>
      </c>
      <c r="H121" s="18" t="n">
        <f aca="false">ROUND(G121-'Cohort Data'!H121,Assumptions!$B$10)</f>
        <v>8118.47</v>
      </c>
      <c r="I121" s="18" t="n">
        <f aca="false">CEILING(G121,Assumptions!$B$12)</f>
        <v>34400</v>
      </c>
      <c r="J121" s="18" t="n">
        <f aca="false">FLOOR(G121,Assumptions!$B$12)</f>
        <v>34300</v>
      </c>
      <c r="K121" s="18" t="n">
        <f aca="false">ROUNDUP(G121,Assumptions!$B$10)</f>
        <v>34344.1</v>
      </c>
      <c r="L121" s="18" t="n">
        <f aca="false">ROUNDDOWN(G121,Assumptions!$B$10)</f>
        <v>34344.1</v>
      </c>
      <c r="M121" s="19" t="n">
        <f aca="false">INT('Cohort Data'!E121/Assumptions!$B$11)</f>
        <v>1</v>
      </c>
    </row>
    <row r="122" customFormat="false" ht="15" hidden="false" customHeight="false" outlineLevel="0" collapsed="false">
      <c r="A122" s="2" t="s">
        <v>222</v>
      </c>
      <c r="B122" s="18" t="n">
        <f aca="false">IF('Cohort Data'!D122=Assumptions!$B$16,ROUND('Cohort Data'!L122*'Cohort Data'!J122*Assumptions!$F$4,Assumptions!$B$10),Assumptions!$B$13)</f>
        <v>18665.41</v>
      </c>
      <c r="C122" s="18" t="n">
        <f aca="false">IF('Cohort Data'!D122=Assumptions!$B$16,ROUND('Cohort Data'!E122*Assumptions!$B$6,Assumptions!$B$10),Assumptions!$B$13)</f>
        <v>1550</v>
      </c>
      <c r="D122" s="18" t="n">
        <f aca="false">SUM(B122:C122)</f>
        <v>20215.41</v>
      </c>
      <c r="E122" s="18" t="n">
        <f aca="false">ROUND(D122/Assumptions!$F$6,Assumptions!$B$10)</f>
        <v>19626.61</v>
      </c>
      <c r="F122" s="18" t="n">
        <f aca="false">ROUND(E122*Assumptions!$B$7,Assumptions!$B$10)</f>
        <v>785.06</v>
      </c>
      <c r="G122" s="18" t="n">
        <f aca="false">SUM(E122:F122)</f>
        <v>20411.67</v>
      </c>
      <c r="H122" s="18" t="n">
        <f aca="false">ROUND(G122-'Cohort Data'!H122,Assumptions!$B$10)</f>
        <v>3695.85</v>
      </c>
      <c r="I122" s="18" t="n">
        <f aca="false">CEILING(G122,Assumptions!$B$12)</f>
        <v>20500</v>
      </c>
      <c r="J122" s="18" t="n">
        <f aca="false">FLOOR(G122,Assumptions!$B$12)</f>
        <v>20400</v>
      </c>
      <c r="K122" s="18" t="n">
        <f aca="false">ROUNDUP(G122,Assumptions!$B$10)</f>
        <v>20411.68</v>
      </c>
      <c r="L122" s="18" t="n">
        <f aca="false">ROUNDDOWN(G122,Assumptions!$B$10)</f>
        <v>20411.67</v>
      </c>
      <c r="M122" s="19" t="n">
        <f aca="false">INT('Cohort Data'!E122/Assumptions!$B$11)</f>
        <v>0</v>
      </c>
    </row>
    <row r="123" customFormat="false" ht="15" hidden="false" customHeight="false" outlineLevel="0" collapsed="false">
      <c r="A123" s="2" t="s">
        <v>223</v>
      </c>
      <c r="B123" s="18" t="n">
        <f aca="false">IF('Cohort Data'!D123=Assumptions!$B$16,ROUND('Cohort Data'!L123*'Cohort Data'!J123*Assumptions!$F$4,Assumptions!$B$10),Assumptions!$B$13)</f>
        <v>41266.38</v>
      </c>
      <c r="C123" s="18" t="n">
        <f aca="false">IF('Cohort Data'!D123=Assumptions!$B$16,ROUND('Cohort Data'!E123*Assumptions!$B$6,Assumptions!$B$10),Assumptions!$B$13)</f>
        <v>4275</v>
      </c>
      <c r="D123" s="18" t="n">
        <f aca="false">SUM(B123:C123)</f>
        <v>45541.38</v>
      </c>
      <c r="E123" s="18" t="n">
        <f aca="false">ROUND(D123/Assumptions!$F$6,Assumptions!$B$10)</f>
        <v>44214.93</v>
      </c>
      <c r="F123" s="18" t="n">
        <f aca="false">ROUND(E123*Assumptions!$B$7,Assumptions!$B$10)</f>
        <v>1768.6</v>
      </c>
      <c r="G123" s="18" t="n">
        <f aca="false">SUM(E123:F123)</f>
        <v>45983.53</v>
      </c>
      <c r="H123" s="18" t="n">
        <f aca="false">ROUND(G123-'Cohort Data'!H123,Assumptions!$B$10)</f>
        <v>10488.03</v>
      </c>
      <c r="I123" s="18" t="n">
        <f aca="false">CEILING(G123,Assumptions!$B$12)</f>
        <v>46000</v>
      </c>
      <c r="J123" s="18" t="n">
        <f aca="false">FLOOR(G123,Assumptions!$B$12)</f>
        <v>45900</v>
      </c>
      <c r="K123" s="18" t="n">
        <f aca="false">ROUNDUP(G123,Assumptions!$B$10)</f>
        <v>45983.53</v>
      </c>
      <c r="L123" s="18" t="n">
        <f aca="false">ROUNDDOWN(G123,Assumptions!$B$10)</f>
        <v>45983.53</v>
      </c>
      <c r="M123" s="19" t="n">
        <f aca="false">INT('Cohort Data'!E123/Assumptions!$B$11)</f>
        <v>1</v>
      </c>
    </row>
    <row r="124" customFormat="false" ht="15" hidden="false" customHeight="false" outlineLevel="0" collapsed="false">
      <c r="A124" s="2" t="s">
        <v>224</v>
      </c>
      <c r="B124" s="18" t="n">
        <f aca="false">IF('Cohort Data'!D124=Assumptions!$B$16,ROUND('Cohort Data'!L124*'Cohort Data'!J124*Assumptions!$F$4,Assumptions!$B$10),Assumptions!$B$13)</f>
        <v>22260.61</v>
      </c>
      <c r="C124" s="18" t="n">
        <f aca="false">IF('Cohort Data'!D124=Assumptions!$B$16,ROUND('Cohort Data'!E124*Assumptions!$B$6,Assumptions!$B$10),Assumptions!$B$13)</f>
        <v>2975</v>
      </c>
      <c r="D124" s="18" t="n">
        <f aca="false">SUM(B124:C124)</f>
        <v>25235.61</v>
      </c>
      <c r="E124" s="18" t="n">
        <f aca="false">ROUND(D124/Assumptions!$F$6,Assumptions!$B$10)</f>
        <v>24500.59</v>
      </c>
      <c r="F124" s="18" t="n">
        <f aca="false">ROUND(E124*Assumptions!$B$7,Assumptions!$B$10)</f>
        <v>980.02</v>
      </c>
      <c r="G124" s="18" t="n">
        <f aca="false">SUM(E124:F124)</f>
        <v>25480.61</v>
      </c>
      <c r="H124" s="18" t="n">
        <f aca="false">ROUND(G124-'Cohort Data'!H124,Assumptions!$B$10)</f>
        <v>4726.3</v>
      </c>
      <c r="I124" s="18" t="n">
        <f aca="false">CEILING(G124,Assumptions!$B$12)</f>
        <v>25500</v>
      </c>
      <c r="J124" s="18" t="n">
        <f aca="false">FLOOR(G124,Assumptions!$B$12)</f>
        <v>25400</v>
      </c>
      <c r="K124" s="18" t="n">
        <f aca="false">ROUNDUP(G124,Assumptions!$B$10)</f>
        <v>25480.61</v>
      </c>
      <c r="L124" s="18" t="n">
        <f aca="false">ROUNDDOWN(G124,Assumptions!$B$10)</f>
        <v>25480.61</v>
      </c>
      <c r="M124" s="19" t="n">
        <f aca="false">INT('Cohort Data'!E124/Assumptions!$B$11)</f>
        <v>1</v>
      </c>
    </row>
    <row r="125" customFormat="false" ht="15" hidden="false" customHeight="false" outlineLevel="0" collapsed="false">
      <c r="A125" s="2" t="s">
        <v>225</v>
      </c>
      <c r="B125" s="18" t="n">
        <f aca="false">IF('Cohort Data'!D125=Assumptions!$B$16,ROUND('Cohort Data'!L125*'Cohort Data'!J125*Assumptions!$F$4,Assumptions!$B$10),Assumptions!$B$13)</f>
        <v>19176.51</v>
      </c>
      <c r="C125" s="18" t="n">
        <f aca="false">IF('Cohort Data'!D125=Assumptions!$B$16,ROUND('Cohort Data'!E125*Assumptions!$B$6,Assumptions!$B$10),Assumptions!$B$13)</f>
        <v>2075</v>
      </c>
      <c r="D125" s="18" t="n">
        <f aca="false">SUM(B125:C125)</f>
        <v>21251.51</v>
      </c>
      <c r="E125" s="18" t="n">
        <f aca="false">ROUND(D125/Assumptions!$F$6,Assumptions!$B$10)</f>
        <v>20632.53</v>
      </c>
      <c r="F125" s="18" t="n">
        <f aca="false">ROUND(E125*Assumptions!$B$7,Assumptions!$B$10)</f>
        <v>825.3</v>
      </c>
      <c r="G125" s="18" t="n">
        <f aca="false">SUM(E125:F125)</f>
        <v>21457.83</v>
      </c>
      <c r="H125" s="18" t="n">
        <f aca="false">ROUND(G125-'Cohort Data'!H125,Assumptions!$B$10)</f>
        <v>4465.07</v>
      </c>
      <c r="I125" s="18" t="n">
        <f aca="false">CEILING(G125,Assumptions!$B$12)</f>
        <v>21500</v>
      </c>
      <c r="J125" s="18" t="n">
        <f aca="false">FLOOR(G125,Assumptions!$B$12)</f>
        <v>21400</v>
      </c>
      <c r="K125" s="18" t="n">
        <f aca="false">ROUNDUP(G125,Assumptions!$B$10)</f>
        <v>21457.83</v>
      </c>
      <c r="L125" s="18" t="n">
        <f aca="false">ROUNDDOWN(G125,Assumptions!$B$10)</f>
        <v>21457.83</v>
      </c>
      <c r="M125" s="19" t="n">
        <f aca="false">INT('Cohort Data'!E125/Assumptions!$B$11)</f>
        <v>0</v>
      </c>
    </row>
    <row r="126" customFormat="false" ht="15" hidden="false" customHeight="false" outlineLevel="0" collapsed="false">
      <c r="A126" s="2" t="s">
        <v>226</v>
      </c>
      <c r="B126" s="18" t="n">
        <f aca="false">IF('Cohort Data'!D126=Assumptions!$B$16,ROUND('Cohort Data'!L126*'Cohort Data'!J126*Assumptions!$F$4,Assumptions!$B$10),Assumptions!$B$13)</f>
        <v>29698.4</v>
      </c>
      <c r="C126" s="18" t="n">
        <f aca="false">IF('Cohort Data'!D126=Assumptions!$B$16,ROUND('Cohort Data'!E126*Assumptions!$B$6,Assumptions!$B$10),Assumptions!$B$13)</f>
        <v>2725</v>
      </c>
      <c r="D126" s="18" t="n">
        <f aca="false">SUM(B126:C126)</f>
        <v>32423.4</v>
      </c>
      <c r="E126" s="18" t="n">
        <f aca="false">ROUND(D126/Assumptions!$F$6,Assumptions!$B$10)</f>
        <v>31479.03</v>
      </c>
      <c r="F126" s="18" t="n">
        <f aca="false">ROUND(E126*Assumptions!$B$7,Assumptions!$B$10)</f>
        <v>1259.16</v>
      </c>
      <c r="G126" s="18" t="n">
        <f aca="false">SUM(E126:F126)</f>
        <v>32738.19</v>
      </c>
      <c r="H126" s="18" t="n">
        <f aca="false">ROUND(G126-'Cohort Data'!H126,Assumptions!$B$10)</f>
        <v>7742.31</v>
      </c>
      <c r="I126" s="18" t="n">
        <f aca="false">CEILING(G126,Assumptions!$B$12)</f>
        <v>32800</v>
      </c>
      <c r="J126" s="18" t="n">
        <f aca="false">FLOOR(G126,Assumptions!$B$12)</f>
        <v>32700</v>
      </c>
      <c r="K126" s="18" t="n">
        <f aca="false">ROUNDUP(G126,Assumptions!$B$10)</f>
        <v>32738.19</v>
      </c>
      <c r="L126" s="18" t="n">
        <f aca="false">ROUNDDOWN(G126,Assumptions!$B$10)</f>
        <v>32738.19</v>
      </c>
      <c r="M126" s="19" t="n">
        <f aca="false">INT('Cohort Data'!E126/Assumptions!$B$11)</f>
        <v>1</v>
      </c>
    </row>
    <row r="127" customFormat="false" ht="15" hidden="false" customHeight="false" outlineLevel="0" collapsed="false">
      <c r="A127" s="2" t="s">
        <v>227</v>
      </c>
      <c r="B127" s="18" t="n">
        <f aca="false">IF('Cohort Data'!D127=Assumptions!$B$16,ROUND('Cohort Data'!L127*'Cohort Data'!J127*Assumptions!$F$4,Assumptions!$B$10),Assumptions!$B$13)</f>
        <v>13963.42</v>
      </c>
      <c r="C127" s="18" t="n">
        <f aca="false">IF('Cohort Data'!D127=Assumptions!$B$16,ROUND('Cohort Data'!E127*Assumptions!$B$6,Assumptions!$B$10),Assumptions!$B$13)</f>
        <v>2225</v>
      </c>
      <c r="D127" s="18" t="n">
        <f aca="false">SUM(B127:C127)</f>
        <v>16188.42</v>
      </c>
      <c r="E127" s="18" t="n">
        <f aca="false">ROUND(D127/Assumptions!$F$6,Assumptions!$B$10)</f>
        <v>15716.91</v>
      </c>
      <c r="F127" s="18" t="n">
        <f aca="false">ROUND(E127*Assumptions!$B$7,Assumptions!$B$10)</f>
        <v>628.68</v>
      </c>
      <c r="G127" s="18" t="n">
        <f aca="false">SUM(E127:F127)</f>
        <v>16345.59</v>
      </c>
      <c r="H127" s="18" t="n">
        <f aca="false">ROUND(G127-'Cohort Data'!H127,Assumptions!$B$10)</f>
        <v>3998.09</v>
      </c>
      <c r="I127" s="18" t="n">
        <f aca="false">CEILING(G127,Assumptions!$B$12)</f>
        <v>16400</v>
      </c>
      <c r="J127" s="18" t="n">
        <f aca="false">FLOOR(G127,Assumptions!$B$12)</f>
        <v>16300</v>
      </c>
      <c r="K127" s="18" t="n">
        <f aca="false">ROUNDUP(G127,Assumptions!$B$10)</f>
        <v>16345.59</v>
      </c>
      <c r="L127" s="18" t="n">
        <f aca="false">ROUNDDOWN(G127,Assumptions!$B$10)</f>
        <v>16345.59</v>
      </c>
      <c r="M127" s="19" t="n">
        <f aca="false">INT('Cohort Data'!E127/Assumptions!$B$11)</f>
        <v>0</v>
      </c>
    </row>
    <row r="128" customFormat="false" ht="15" hidden="false" customHeight="false" outlineLevel="0" collapsed="false">
      <c r="A128" s="2" t="s">
        <v>228</v>
      </c>
      <c r="B128" s="18" t="n">
        <f aca="false">IF('Cohort Data'!D128=Assumptions!$B$16,ROUND('Cohort Data'!L128*'Cohort Data'!J128*Assumptions!$F$4,Assumptions!$B$10),Assumptions!$B$13)</f>
        <v>12854.35</v>
      </c>
      <c r="C128" s="18" t="n">
        <f aca="false">IF('Cohort Data'!D128=Assumptions!$B$16,ROUND('Cohort Data'!E128*Assumptions!$B$6,Assumptions!$B$10),Assumptions!$B$13)</f>
        <v>1700</v>
      </c>
      <c r="D128" s="18" t="n">
        <f aca="false">SUM(B128:C128)</f>
        <v>14554.35</v>
      </c>
      <c r="E128" s="18" t="n">
        <f aca="false">ROUND(D128/Assumptions!$F$6,Assumptions!$B$10)</f>
        <v>14130.44</v>
      </c>
      <c r="F128" s="18" t="n">
        <f aca="false">ROUND(E128*Assumptions!$B$7,Assumptions!$B$10)</f>
        <v>565.22</v>
      </c>
      <c r="G128" s="18" t="n">
        <f aca="false">SUM(E128:F128)</f>
        <v>14695.66</v>
      </c>
      <c r="H128" s="18" t="n">
        <f aca="false">ROUND(G128-'Cohort Data'!H128,Assumptions!$B$10)</f>
        <v>2578.06</v>
      </c>
      <c r="I128" s="18" t="n">
        <f aca="false">CEILING(G128,Assumptions!$B$12)</f>
        <v>14700</v>
      </c>
      <c r="J128" s="18" t="n">
        <f aca="false">FLOOR(G128,Assumptions!$B$12)</f>
        <v>14600</v>
      </c>
      <c r="K128" s="18" t="n">
        <f aca="false">ROUNDUP(G128,Assumptions!$B$10)</f>
        <v>14695.66</v>
      </c>
      <c r="L128" s="18" t="n">
        <f aca="false">ROUNDDOWN(G128,Assumptions!$B$10)</f>
        <v>14695.66</v>
      </c>
      <c r="M128" s="19" t="n">
        <f aca="false">INT('Cohort Data'!E128/Assumptions!$B$11)</f>
        <v>0</v>
      </c>
    </row>
    <row r="129" customFormat="false" ht="15" hidden="false" customHeight="false" outlineLevel="0" collapsed="false">
      <c r="A129" s="2" t="s">
        <v>229</v>
      </c>
      <c r="B129" s="18" t="n">
        <f aca="false">IF('Cohort Data'!D129=Assumptions!$B$16,ROUND('Cohort Data'!L129*'Cohort Data'!J129*Assumptions!$F$4,Assumptions!$B$10),Assumptions!$B$13)</f>
        <v>14479.43</v>
      </c>
      <c r="C129" s="18" t="n">
        <f aca="false">IF('Cohort Data'!D129=Assumptions!$B$16,ROUND('Cohort Data'!E129*Assumptions!$B$6,Assumptions!$B$10),Assumptions!$B$13)</f>
        <v>2325</v>
      </c>
      <c r="D129" s="18" t="n">
        <f aca="false">SUM(B129:C129)</f>
        <v>16804.43</v>
      </c>
      <c r="E129" s="18" t="n">
        <f aca="false">ROUND(D129/Assumptions!$F$6,Assumptions!$B$10)</f>
        <v>16314.98</v>
      </c>
      <c r="F129" s="18" t="n">
        <f aca="false">ROUND(E129*Assumptions!$B$7,Assumptions!$B$10)</f>
        <v>652.6</v>
      </c>
      <c r="G129" s="18" t="n">
        <f aca="false">SUM(E129:F129)</f>
        <v>16967.58</v>
      </c>
      <c r="H129" s="18" t="n">
        <f aca="false">ROUND(G129-'Cohort Data'!H129,Assumptions!$B$10)</f>
        <v>3843.42</v>
      </c>
      <c r="I129" s="18" t="n">
        <f aca="false">CEILING(G129,Assumptions!$B$12)</f>
        <v>17000</v>
      </c>
      <c r="J129" s="18" t="n">
        <f aca="false">FLOOR(G129,Assumptions!$B$12)</f>
        <v>16900</v>
      </c>
      <c r="K129" s="18" t="n">
        <f aca="false">ROUNDUP(G129,Assumptions!$B$10)</f>
        <v>16967.58</v>
      </c>
      <c r="L129" s="18" t="n">
        <f aca="false">ROUNDDOWN(G129,Assumptions!$B$10)</f>
        <v>16967.57</v>
      </c>
      <c r="M129" s="19" t="n">
        <f aca="false">INT('Cohort Data'!E129/Assumptions!$B$11)</f>
        <v>0</v>
      </c>
    </row>
    <row r="130" customFormat="false" ht="15" hidden="false" customHeight="false" outlineLevel="0" collapsed="false">
      <c r="A130" s="2" t="s">
        <v>230</v>
      </c>
      <c r="B130" s="18" t="n">
        <f aca="false">IF('Cohort Data'!D130=Assumptions!$B$16,ROUND('Cohort Data'!L130*'Cohort Data'!J130*Assumptions!$F$4,Assumptions!$B$10),Assumptions!$B$13)</f>
        <v>12310.01</v>
      </c>
      <c r="C130" s="18" t="n">
        <f aca="false">IF('Cohort Data'!D130=Assumptions!$B$16,ROUND('Cohort Data'!E130*Assumptions!$B$6,Assumptions!$B$10),Assumptions!$B$13)</f>
        <v>1500</v>
      </c>
      <c r="D130" s="18" t="n">
        <f aca="false">SUM(B130:C130)</f>
        <v>13810.01</v>
      </c>
      <c r="E130" s="18" t="n">
        <f aca="false">ROUND(D130/Assumptions!$F$6,Assumptions!$B$10)</f>
        <v>13407.78</v>
      </c>
      <c r="F130" s="18" t="n">
        <f aca="false">ROUND(E130*Assumptions!$B$7,Assumptions!$B$10)</f>
        <v>536.31</v>
      </c>
      <c r="G130" s="18" t="n">
        <f aca="false">SUM(E130:F130)</f>
        <v>13944.09</v>
      </c>
      <c r="H130" s="18" t="n">
        <f aca="false">ROUND(G130-'Cohort Data'!H130,Assumptions!$B$10)</f>
        <v>3295.29</v>
      </c>
      <c r="I130" s="18" t="n">
        <f aca="false">CEILING(G130,Assumptions!$B$12)</f>
        <v>14000</v>
      </c>
      <c r="J130" s="18" t="n">
        <f aca="false">FLOOR(G130,Assumptions!$B$12)</f>
        <v>13900</v>
      </c>
      <c r="K130" s="18" t="n">
        <f aca="false">ROUNDUP(G130,Assumptions!$B$10)</f>
        <v>13944.09</v>
      </c>
      <c r="L130" s="18" t="n">
        <f aca="false">ROUNDDOWN(G130,Assumptions!$B$10)</f>
        <v>13944.09</v>
      </c>
      <c r="M130" s="19" t="n">
        <f aca="false">INT('Cohort Data'!E130/Assumptions!$B$11)</f>
        <v>0</v>
      </c>
    </row>
    <row r="131" customFormat="false" ht="15" hidden="false" customHeight="false" outlineLevel="0" collapsed="false">
      <c r="A131" s="2" t="s">
        <v>231</v>
      </c>
      <c r="B131" s="18" t="n">
        <f aca="false">IF('Cohort Data'!D131=Assumptions!$B$16,ROUND('Cohort Data'!L131*'Cohort Data'!J131*Assumptions!$F$4,Assumptions!$B$10),Assumptions!$B$13)</f>
        <v>49989.14</v>
      </c>
      <c r="C131" s="18" t="n">
        <f aca="false">IF('Cohort Data'!D131=Assumptions!$B$16,ROUND('Cohort Data'!E131*Assumptions!$B$6,Assumptions!$B$10),Assumptions!$B$13)</f>
        <v>5950</v>
      </c>
      <c r="D131" s="18" t="n">
        <f aca="false">SUM(B131:C131)</f>
        <v>55939.14</v>
      </c>
      <c r="E131" s="18" t="n">
        <f aca="false">ROUND(D131/Assumptions!$F$6,Assumptions!$B$10)</f>
        <v>54309.84</v>
      </c>
      <c r="F131" s="18" t="n">
        <f aca="false">ROUND(E131*Assumptions!$B$7,Assumptions!$B$10)</f>
        <v>2172.39</v>
      </c>
      <c r="G131" s="18" t="n">
        <f aca="false">SUM(E131:F131)</f>
        <v>56482.23</v>
      </c>
      <c r="H131" s="18" t="n">
        <f aca="false">ROUND(G131-'Cohort Data'!H131,Assumptions!$B$10)</f>
        <v>11243.19</v>
      </c>
      <c r="I131" s="18" t="n">
        <f aca="false">CEILING(G131,Assumptions!$B$12)</f>
        <v>56500</v>
      </c>
      <c r="J131" s="18" t="n">
        <f aca="false">FLOOR(G131,Assumptions!$B$12)</f>
        <v>56400</v>
      </c>
      <c r="K131" s="18" t="n">
        <f aca="false">ROUNDUP(G131,Assumptions!$B$10)</f>
        <v>56482.23</v>
      </c>
      <c r="L131" s="18" t="n">
        <f aca="false">ROUNDDOWN(G131,Assumptions!$B$10)</f>
        <v>56482.23</v>
      </c>
      <c r="M131" s="19" t="n">
        <f aca="false">INT('Cohort Data'!E131/Assumptions!$B$11)</f>
        <v>2</v>
      </c>
    </row>
    <row r="132" customFormat="false" ht="15" hidden="false" customHeight="false" outlineLevel="0" collapsed="false">
      <c r="A132" s="2" t="s">
        <v>232</v>
      </c>
      <c r="B132" s="18" t="n">
        <f aca="false">IF('Cohort Data'!D132=Assumptions!$B$16,ROUND('Cohort Data'!L132*'Cohort Data'!J132*Assumptions!$F$4,Assumptions!$B$10),Assumptions!$B$13)</f>
        <v>32197.27</v>
      </c>
      <c r="C132" s="18" t="n">
        <f aca="false">IF('Cohort Data'!D132=Assumptions!$B$16,ROUND('Cohort Data'!E132*Assumptions!$B$6,Assumptions!$B$10),Assumptions!$B$13)</f>
        <v>2350</v>
      </c>
      <c r="D132" s="18" t="n">
        <f aca="false">SUM(B132:C132)</f>
        <v>34547.27</v>
      </c>
      <c r="E132" s="18" t="n">
        <f aca="false">ROUND(D132/Assumptions!$F$6,Assumptions!$B$10)</f>
        <v>33541.04</v>
      </c>
      <c r="F132" s="18" t="n">
        <f aca="false">ROUND(E132*Assumptions!$B$7,Assumptions!$B$10)</f>
        <v>1341.64</v>
      </c>
      <c r="G132" s="18" t="n">
        <f aca="false">SUM(E132:F132)</f>
        <v>34882.68</v>
      </c>
      <c r="H132" s="18" t="n">
        <f aca="false">ROUND(G132-'Cohort Data'!H132,Assumptions!$B$10)</f>
        <v>5103.48</v>
      </c>
      <c r="I132" s="18" t="n">
        <f aca="false">CEILING(G132,Assumptions!$B$12)</f>
        <v>34900</v>
      </c>
      <c r="J132" s="18" t="n">
        <f aca="false">FLOOR(G132,Assumptions!$B$12)</f>
        <v>34800</v>
      </c>
      <c r="K132" s="18" t="n">
        <f aca="false">ROUNDUP(G132,Assumptions!$B$10)</f>
        <v>34882.68</v>
      </c>
      <c r="L132" s="18" t="n">
        <f aca="false">ROUNDDOWN(G132,Assumptions!$B$10)</f>
        <v>34882.68</v>
      </c>
      <c r="M132" s="19" t="n">
        <f aca="false">INT('Cohort Data'!E132/Assumptions!$B$11)</f>
        <v>0</v>
      </c>
    </row>
    <row r="133" customFormat="false" ht="15" hidden="false" customHeight="false" outlineLevel="0" collapsed="false">
      <c r="A133" s="2" t="s">
        <v>233</v>
      </c>
      <c r="B133" s="18" t="n">
        <f aca="false">IF('Cohort Data'!D133=Assumptions!$B$16,ROUND('Cohort Data'!L133*'Cohort Data'!J133*Assumptions!$F$4,Assumptions!$B$10),Assumptions!$B$13)</f>
        <v>36749.01</v>
      </c>
      <c r="C133" s="18" t="n">
        <f aca="false">IF('Cohort Data'!D133=Assumptions!$B$16,ROUND('Cohort Data'!E133*Assumptions!$B$6,Assumptions!$B$10),Assumptions!$B$13)</f>
        <v>5250</v>
      </c>
      <c r="D133" s="18" t="n">
        <f aca="false">SUM(B133:C133)</f>
        <v>41999.01</v>
      </c>
      <c r="E133" s="18" t="n">
        <f aca="false">ROUND(D133/Assumptions!$F$6,Assumptions!$B$10)</f>
        <v>40775.74</v>
      </c>
      <c r="F133" s="18" t="n">
        <f aca="false">ROUND(E133*Assumptions!$B$7,Assumptions!$B$10)</f>
        <v>1631.03</v>
      </c>
      <c r="G133" s="18" t="n">
        <f aca="false">SUM(E133:F133)</f>
        <v>42406.77</v>
      </c>
      <c r="H133" s="18" t="n">
        <f aca="false">ROUND(G133-'Cohort Data'!H133,Assumptions!$B$10)</f>
        <v>10263.75</v>
      </c>
      <c r="I133" s="18" t="n">
        <f aca="false">CEILING(G133,Assumptions!$B$12)</f>
        <v>42500</v>
      </c>
      <c r="J133" s="18" t="n">
        <f aca="false">FLOOR(G133,Assumptions!$B$12)</f>
        <v>42400</v>
      </c>
      <c r="K133" s="18" t="n">
        <f aca="false">ROUNDUP(G133,Assumptions!$B$10)</f>
        <v>42406.77</v>
      </c>
      <c r="L133" s="18" t="n">
        <f aca="false">ROUNDDOWN(G133,Assumptions!$B$10)</f>
        <v>42406.77</v>
      </c>
      <c r="M133" s="19" t="n">
        <f aca="false">INT('Cohort Data'!E133/Assumptions!$B$11)</f>
        <v>2</v>
      </c>
    </row>
    <row r="134" customFormat="false" ht="15" hidden="false" customHeight="false" outlineLevel="0" collapsed="false">
      <c r="A134" s="2" t="s">
        <v>234</v>
      </c>
      <c r="B134" s="18" t="n">
        <f aca="false">IF('Cohort Data'!D134=Assumptions!$B$16,ROUND('Cohort Data'!L134*'Cohort Data'!J134*Assumptions!$F$4,Assumptions!$B$10),Assumptions!$B$13)</f>
        <v>35160.43</v>
      </c>
      <c r="C134" s="18" t="n">
        <f aca="false">IF('Cohort Data'!D134=Assumptions!$B$16,ROUND('Cohort Data'!E134*Assumptions!$B$6,Assumptions!$B$10),Assumptions!$B$13)</f>
        <v>4650</v>
      </c>
      <c r="D134" s="18" t="n">
        <f aca="false">SUM(B134:C134)</f>
        <v>39810.43</v>
      </c>
      <c r="E134" s="18" t="n">
        <f aca="false">ROUND(D134/Assumptions!$F$6,Assumptions!$B$10)</f>
        <v>38650.9</v>
      </c>
      <c r="F134" s="18" t="n">
        <f aca="false">ROUND(E134*Assumptions!$B$7,Assumptions!$B$10)</f>
        <v>1546.04</v>
      </c>
      <c r="G134" s="18" t="n">
        <f aca="false">SUM(E134:F134)</f>
        <v>40196.94</v>
      </c>
      <c r="H134" s="18" t="n">
        <f aca="false">ROUND(G134-'Cohort Data'!H134,Assumptions!$B$10)</f>
        <v>9371.9</v>
      </c>
      <c r="I134" s="18" t="n">
        <f aca="false">CEILING(G134,Assumptions!$B$12)</f>
        <v>40200</v>
      </c>
      <c r="J134" s="18" t="n">
        <f aca="false">FLOOR(G134,Assumptions!$B$12)</f>
        <v>40100</v>
      </c>
      <c r="K134" s="18" t="n">
        <f aca="false">ROUNDUP(G134,Assumptions!$B$10)</f>
        <v>40196.94</v>
      </c>
      <c r="L134" s="18" t="n">
        <f aca="false">ROUNDDOWN(G134,Assumptions!$B$10)</f>
        <v>40196.94</v>
      </c>
      <c r="M134" s="19" t="n">
        <f aca="false">INT('Cohort Data'!E134/Assumptions!$B$11)</f>
        <v>1</v>
      </c>
    </row>
    <row r="135" customFormat="false" ht="15" hidden="false" customHeight="false" outlineLevel="0" collapsed="false">
      <c r="A135" s="2" t="s">
        <v>235</v>
      </c>
      <c r="B135" s="18" t="n">
        <f aca="false">IF('Cohort Data'!D135=Assumptions!$B$16,ROUND('Cohort Data'!L135*'Cohort Data'!J135*Assumptions!$F$4,Assumptions!$B$10),Assumptions!$B$13)</f>
        <v>47486.3</v>
      </c>
      <c r="C135" s="18" t="n">
        <f aca="false">IF('Cohort Data'!D135=Assumptions!$B$16,ROUND('Cohort Data'!E135*Assumptions!$B$6,Assumptions!$B$10),Assumptions!$B$13)</f>
        <v>6100</v>
      </c>
      <c r="D135" s="18" t="n">
        <f aca="false">SUM(B135:C135)</f>
        <v>53586.3</v>
      </c>
      <c r="E135" s="18" t="n">
        <f aca="false">ROUND(D135/Assumptions!$F$6,Assumptions!$B$10)</f>
        <v>52025.53</v>
      </c>
      <c r="F135" s="18" t="n">
        <f aca="false">ROUND(E135*Assumptions!$B$7,Assumptions!$B$10)</f>
        <v>2081.02</v>
      </c>
      <c r="G135" s="18" t="n">
        <f aca="false">SUM(E135:F135)</f>
        <v>54106.55</v>
      </c>
      <c r="H135" s="18" t="n">
        <f aca="false">ROUND(G135-'Cohort Data'!H135,Assumptions!$B$10)</f>
        <v>13260.95</v>
      </c>
      <c r="I135" s="18" t="n">
        <f aca="false">CEILING(G135,Assumptions!$B$12)</f>
        <v>54200</v>
      </c>
      <c r="J135" s="18" t="n">
        <f aca="false">FLOOR(G135,Assumptions!$B$12)</f>
        <v>54100</v>
      </c>
      <c r="K135" s="18" t="n">
        <f aca="false">ROUNDUP(G135,Assumptions!$B$10)</f>
        <v>54106.55</v>
      </c>
      <c r="L135" s="18" t="n">
        <f aca="false">ROUNDDOWN(G135,Assumptions!$B$10)</f>
        <v>54106.55</v>
      </c>
      <c r="M135" s="19" t="n">
        <f aca="false">INT('Cohort Data'!E135/Assumptions!$B$11)</f>
        <v>2</v>
      </c>
    </row>
    <row r="136" customFormat="false" ht="15" hidden="false" customHeight="false" outlineLevel="0" collapsed="false">
      <c r="A136" s="2" t="s">
        <v>236</v>
      </c>
      <c r="B136" s="18" t="n">
        <f aca="false">IF('Cohort Data'!D136=Assumptions!$B$16,ROUND('Cohort Data'!L136*'Cohort Data'!J136*Assumptions!$F$4,Assumptions!$B$10),Assumptions!$B$13)</f>
        <v>0</v>
      </c>
      <c r="C136" s="18" t="n">
        <f aca="false">IF('Cohort Data'!D136=Assumptions!$B$16,ROUND('Cohort Data'!E136*Assumptions!$B$6,Assumptions!$B$10),Assumptions!$B$13)</f>
        <v>0</v>
      </c>
      <c r="D136" s="18" t="n">
        <f aca="false">SUM(B136:C136)</f>
        <v>0</v>
      </c>
      <c r="E136" s="18" t="n">
        <f aca="false">ROUND(D136/Assumptions!$F$6,Assumptions!$B$10)</f>
        <v>0</v>
      </c>
      <c r="F136" s="18" t="n">
        <f aca="false">ROUND(E136*Assumptions!$B$7,Assumptions!$B$10)</f>
        <v>0</v>
      </c>
      <c r="G136" s="18" t="n">
        <f aca="false">SUM(E136:F136)</f>
        <v>0</v>
      </c>
      <c r="H136" s="18" t="n">
        <f aca="false">ROUND(G136-'Cohort Data'!H136,Assumptions!$B$10)</f>
        <v>-7589.36</v>
      </c>
      <c r="I136" s="18" t="n">
        <f aca="false">CEILING(G136,Assumptions!$B$12)</f>
        <v>0</v>
      </c>
      <c r="J136" s="18" t="n">
        <f aca="false">FLOOR(G136,Assumptions!$B$12)</f>
        <v>0</v>
      </c>
      <c r="K136" s="18" t="n">
        <f aca="false">ROUNDUP(G136,Assumptions!$B$10)</f>
        <v>0</v>
      </c>
      <c r="L136" s="18" t="n">
        <f aca="false">ROUNDDOWN(G136,Assumptions!$B$10)</f>
        <v>0</v>
      </c>
      <c r="M136" s="19" t="n">
        <f aca="false">INT('Cohort Data'!E136/Assumptions!$B$11)</f>
        <v>0</v>
      </c>
    </row>
    <row r="137" customFormat="false" ht="15" hidden="false" customHeight="false" outlineLevel="0" collapsed="false">
      <c r="A137" s="2" t="s">
        <v>237</v>
      </c>
      <c r="B137" s="18" t="n">
        <f aca="false">IF('Cohort Data'!D137=Assumptions!$B$16,ROUND('Cohort Data'!L137*'Cohort Data'!J137*Assumptions!$F$4,Assumptions!$B$10),Assumptions!$B$13)</f>
        <v>52908.67</v>
      </c>
      <c r="C137" s="18" t="n">
        <f aca="false">IF('Cohort Data'!D137=Assumptions!$B$16,ROUND('Cohort Data'!E137*Assumptions!$B$6,Assumptions!$B$10),Assumptions!$B$13)</f>
        <v>5725</v>
      </c>
      <c r="D137" s="18" t="n">
        <f aca="false">SUM(B137:C137)</f>
        <v>58633.67</v>
      </c>
      <c r="E137" s="18" t="n">
        <f aca="false">ROUND(D137/Assumptions!$F$6,Assumptions!$B$10)</f>
        <v>56925.89</v>
      </c>
      <c r="F137" s="18" t="n">
        <f aca="false">ROUND(E137*Assumptions!$B$7,Assumptions!$B$10)</f>
        <v>2277.04</v>
      </c>
      <c r="G137" s="18" t="n">
        <f aca="false">SUM(E137:F137)</f>
        <v>59202.93</v>
      </c>
      <c r="H137" s="18" t="n">
        <f aca="false">ROUND(G137-'Cohort Data'!H137,Assumptions!$B$10)</f>
        <v>9825.49</v>
      </c>
      <c r="I137" s="18" t="n">
        <f aca="false">CEILING(G137,Assumptions!$B$12)</f>
        <v>59300</v>
      </c>
      <c r="J137" s="18" t="n">
        <f aca="false">FLOOR(G137,Assumptions!$B$12)</f>
        <v>59200</v>
      </c>
      <c r="K137" s="18" t="n">
        <f aca="false">ROUNDUP(G137,Assumptions!$B$10)</f>
        <v>59202.93</v>
      </c>
      <c r="L137" s="18" t="n">
        <f aca="false">ROUNDDOWN(G137,Assumptions!$B$10)</f>
        <v>59202.93</v>
      </c>
      <c r="M137" s="19" t="n">
        <f aca="false">INT('Cohort Data'!E137/Assumptions!$B$11)</f>
        <v>2</v>
      </c>
    </row>
    <row r="138" customFormat="false" ht="15" hidden="false" customHeight="false" outlineLevel="0" collapsed="false">
      <c r="A138" s="2" t="s">
        <v>238</v>
      </c>
      <c r="B138" s="18" t="n">
        <f aca="false">IF('Cohort Data'!D138=Assumptions!$B$16,ROUND('Cohort Data'!L138*'Cohort Data'!J138*Assumptions!$F$4,Assumptions!$B$10),Assumptions!$B$13)</f>
        <v>60626.78</v>
      </c>
      <c r="C138" s="18" t="n">
        <f aca="false">IF('Cohort Data'!D138=Assumptions!$B$16,ROUND('Cohort Data'!E138*Assumptions!$B$6,Assumptions!$B$10),Assumptions!$B$13)</f>
        <v>5900</v>
      </c>
      <c r="D138" s="18" t="n">
        <f aca="false">SUM(B138:C138)</f>
        <v>66526.78</v>
      </c>
      <c r="E138" s="18" t="n">
        <f aca="false">ROUND(D138/Assumptions!$F$6,Assumptions!$B$10)</f>
        <v>64589.11</v>
      </c>
      <c r="F138" s="18" t="n">
        <f aca="false">ROUND(E138*Assumptions!$B$7,Assumptions!$B$10)</f>
        <v>2583.56</v>
      </c>
      <c r="G138" s="18" t="n">
        <f aca="false">SUM(E138:F138)</f>
        <v>67172.67</v>
      </c>
      <c r="H138" s="18" t="n">
        <f aca="false">ROUND(G138-'Cohort Data'!H138,Assumptions!$B$10)</f>
        <v>15024.22</v>
      </c>
      <c r="I138" s="18" t="n">
        <f aca="false">CEILING(G138,Assumptions!$B$12)</f>
        <v>67200</v>
      </c>
      <c r="J138" s="18" t="n">
        <f aca="false">FLOOR(G138,Assumptions!$B$12)</f>
        <v>67100</v>
      </c>
      <c r="K138" s="18" t="n">
        <f aca="false">ROUNDUP(G138,Assumptions!$B$10)</f>
        <v>67172.67</v>
      </c>
      <c r="L138" s="18" t="n">
        <f aca="false">ROUNDDOWN(G138,Assumptions!$B$10)</f>
        <v>67172.67</v>
      </c>
      <c r="M138" s="19" t="n">
        <f aca="false">INT('Cohort Data'!E138/Assumptions!$B$11)</f>
        <v>2</v>
      </c>
    </row>
    <row r="139" customFormat="false" ht="15" hidden="false" customHeight="false" outlineLevel="0" collapsed="false">
      <c r="A139" s="2" t="s">
        <v>239</v>
      </c>
      <c r="B139" s="18" t="n">
        <f aca="false">IF('Cohort Data'!D139=Assumptions!$B$16,ROUND('Cohort Data'!L139*'Cohort Data'!J139*Assumptions!$F$4,Assumptions!$B$10),Assumptions!$B$13)</f>
        <v>35988.68</v>
      </c>
      <c r="C139" s="18" t="n">
        <f aca="false">IF('Cohort Data'!D139=Assumptions!$B$16,ROUND('Cohort Data'!E139*Assumptions!$B$6,Assumptions!$B$10),Assumptions!$B$13)</f>
        <v>5325</v>
      </c>
      <c r="D139" s="18" t="n">
        <f aca="false">SUM(B139:C139)</f>
        <v>41313.68</v>
      </c>
      <c r="E139" s="18" t="n">
        <f aca="false">ROUND(D139/Assumptions!$F$6,Assumptions!$B$10)</f>
        <v>40110.37</v>
      </c>
      <c r="F139" s="18" t="n">
        <f aca="false">ROUND(E139*Assumptions!$B$7,Assumptions!$B$10)</f>
        <v>1604.41</v>
      </c>
      <c r="G139" s="18" t="n">
        <f aca="false">SUM(E139:F139)</f>
        <v>41714.78</v>
      </c>
      <c r="H139" s="18" t="n">
        <f aca="false">ROUND(G139-'Cohort Data'!H139,Assumptions!$B$10)</f>
        <v>8161.32</v>
      </c>
      <c r="I139" s="18" t="n">
        <f aca="false">CEILING(G139,Assumptions!$B$12)</f>
        <v>41800</v>
      </c>
      <c r="J139" s="18" t="n">
        <f aca="false">FLOOR(G139,Assumptions!$B$12)</f>
        <v>41700</v>
      </c>
      <c r="K139" s="18" t="n">
        <f aca="false">ROUNDUP(G139,Assumptions!$B$10)</f>
        <v>41714.79</v>
      </c>
      <c r="L139" s="18" t="n">
        <f aca="false">ROUNDDOWN(G139,Assumptions!$B$10)</f>
        <v>41714.78</v>
      </c>
      <c r="M139" s="19" t="n">
        <f aca="false">INT('Cohort Data'!E139/Assumptions!$B$11)</f>
        <v>2</v>
      </c>
    </row>
    <row r="140" customFormat="false" ht="15" hidden="false" customHeight="false" outlineLevel="0" collapsed="false">
      <c r="A140" s="2" t="s">
        <v>240</v>
      </c>
      <c r="B140" s="18" t="n">
        <f aca="false">IF('Cohort Data'!D140=Assumptions!$B$16,ROUND('Cohort Data'!L140*'Cohort Data'!J140*Assumptions!$F$4,Assumptions!$B$10),Assumptions!$B$13)</f>
        <v>22684.15</v>
      </c>
      <c r="C140" s="18" t="n">
        <f aca="false">IF('Cohort Data'!D140=Assumptions!$B$16,ROUND('Cohort Data'!E140*Assumptions!$B$6,Assumptions!$B$10),Assumptions!$B$13)</f>
        <v>3375</v>
      </c>
      <c r="D140" s="18" t="n">
        <f aca="false">SUM(B140:C140)</f>
        <v>26059.15</v>
      </c>
      <c r="E140" s="18" t="n">
        <f aca="false">ROUND(D140/Assumptions!$F$6,Assumptions!$B$10)</f>
        <v>25300.15</v>
      </c>
      <c r="F140" s="18" t="n">
        <f aca="false">ROUND(E140*Assumptions!$B$7,Assumptions!$B$10)</f>
        <v>1012.01</v>
      </c>
      <c r="G140" s="18" t="n">
        <f aca="false">SUM(E140:F140)</f>
        <v>26312.16</v>
      </c>
      <c r="H140" s="18" t="n">
        <f aca="false">ROUND(G140-'Cohort Data'!H140,Assumptions!$B$10)</f>
        <v>6638.88</v>
      </c>
      <c r="I140" s="18" t="n">
        <f aca="false">CEILING(G140,Assumptions!$B$12)</f>
        <v>26400</v>
      </c>
      <c r="J140" s="18" t="n">
        <f aca="false">FLOOR(G140,Assumptions!$B$12)</f>
        <v>26300</v>
      </c>
      <c r="K140" s="18" t="n">
        <f aca="false">ROUNDUP(G140,Assumptions!$B$10)</f>
        <v>26312.16</v>
      </c>
      <c r="L140" s="18" t="n">
        <f aca="false">ROUNDDOWN(G140,Assumptions!$B$10)</f>
        <v>26312.16</v>
      </c>
      <c r="M140" s="19" t="n">
        <f aca="false">INT('Cohort Data'!E140/Assumptions!$B$11)</f>
        <v>1</v>
      </c>
    </row>
    <row r="141" customFormat="false" ht="15" hidden="false" customHeight="false" outlineLevel="0" collapsed="false">
      <c r="A141" s="2" t="s">
        <v>241</v>
      </c>
      <c r="B141" s="18" t="n">
        <f aca="false">IF('Cohort Data'!D141=Assumptions!$B$16,ROUND('Cohort Data'!L141*'Cohort Data'!J141*Assumptions!$F$4,Assumptions!$B$10),Assumptions!$B$13)</f>
        <v>53620.6</v>
      </c>
      <c r="C141" s="18" t="n">
        <f aca="false">IF('Cohort Data'!D141=Assumptions!$B$16,ROUND('Cohort Data'!E141*Assumptions!$B$6,Assumptions!$B$10),Assumptions!$B$13)</f>
        <v>6150</v>
      </c>
      <c r="D141" s="18" t="n">
        <f aca="false">SUM(B141:C141)</f>
        <v>59770.6</v>
      </c>
      <c r="E141" s="18" t="n">
        <f aca="false">ROUND(D141/Assumptions!$F$6,Assumptions!$B$10)</f>
        <v>58029.71</v>
      </c>
      <c r="F141" s="18" t="n">
        <f aca="false">ROUND(E141*Assumptions!$B$7,Assumptions!$B$10)</f>
        <v>2321.19</v>
      </c>
      <c r="G141" s="18" t="n">
        <f aca="false">SUM(E141:F141)</f>
        <v>60350.9</v>
      </c>
      <c r="H141" s="18" t="n">
        <f aca="false">ROUND(G141-'Cohort Data'!H141,Assumptions!$B$10)</f>
        <v>13236.98</v>
      </c>
      <c r="I141" s="18" t="n">
        <f aca="false">CEILING(G141,Assumptions!$B$12)</f>
        <v>60400</v>
      </c>
      <c r="J141" s="18" t="n">
        <f aca="false">FLOOR(G141,Assumptions!$B$12)</f>
        <v>60300</v>
      </c>
      <c r="K141" s="18" t="n">
        <f aca="false">ROUNDUP(G141,Assumptions!$B$10)</f>
        <v>60350.9</v>
      </c>
      <c r="L141" s="18" t="n">
        <f aca="false">ROUNDDOWN(G141,Assumptions!$B$10)</f>
        <v>60350.9</v>
      </c>
      <c r="M141" s="19" t="n">
        <f aca="false">INT('Cohort Data'!E141/Assumptions!$B$11)</f>
        <v>2</v>
      </c>
    </row>
    <row r="142" customFormat="false" ht="15" hidden="false" customHeight="false" outlineLevel="0" collapsed="false">
      <c r="A142" s="2" t="s">
        <v>242</v>
      </c>
      <c r="B142" s="18" t="n">
        <f aca="false">IF('Cohort Data'!D142=Assumptions!$B$16,ROUND('Cohort Data'!L142*'Cohort Data'!J142*Assumptions!$F$4,Assumptions!$B$10),Assumptions!$B$13)</f>
        <v>36085.23</v>
      </c>
      <c r="C142" s="18" t="n">
        <f aca="false">IF('Cohort Data'!D142=Assumptions!$B$16,ROUND('Cohort Data'!E142*Assumptions!$B$6,Assumptions!$B$10),Assumptions!$B$13)</f>
        <v>3250</v>
      </c>
      <c r="D142" s="18" t="n">
        <f aca="false">SUM(B142:C142)</f>
        <v>39335.23</v>
      </c>
      <c r="E142" s="18" t="n">
        <f aca="false">ROUND(D142/Assumptions!$F$6,Assumptions!$B$10)</f>
        <v>38189.54</v>
      </c>
      <c r="F142" s="18" t="n">
        <f aca="false">ROUND(E142*Assumptions!$B$7,Assumptions!$B$10)</f>
        <v>1527.58</v>
      </c>
      <c r="G142" s="18" t="n">
        <f aca="false">SUM(E142:F142)</f>
        <v>39717.12</v>
      </c>
      <c r="H142" s="18" t="n">
        <f aca="false">ROUND(G142-'Cohort Data'!H142,Assumptions!$B$10)</f>
        <v>8154.68</v>
      </c>
      <c r="I142" s="18" t="n">
        <f aca="false">CEILING(G142,Assumptions!$B$12)</f>
        <v>39800</v>
      </c>
      <c r="J142" s="18" t="n">
        <f aca="false">FLOOR(G142,Assumptions!$B$12)</f>
        <v>39700</v>
      </c>
      <c r="K142" s="18" t="n">
        <f aca="false">ROUNDUP(G142,Assumptions!$B$10)</f>
        <v>39717.12</v>
      </c>
      <c r="L142" s="18" t="n">
        <f aca="false">ROUNDDOWN(G142,Assumptions!$B$10)</f>
        <v>39717.12</v>
      </c>
      <c r="M142" s="19" t="n">
        <f aca="false">INT('Cohort Data'!E142/Assumptions!$B$11)</f>
        <v>1</v>
      </c>
    </row>
    <row r="143" customFormat="false" ht="15" hidden="false" customHeight="false" outlineLevel="0" collapsed="false">
      <c r="A143" s="2" t="s">
        <v>243</v>
      </c>
      <c r="B143" s="18" t="n">
        <f aca="false">IF('Cohort Data'!D143=Assumptions!$B$16,ROUND('Cohort Data'!L143*'Cohort Data'!J143*Assumptions!$F$4,Assumptions!$B$10),Assumptions!$B$13)</f>
        <v>40082.33</v>
      </c>
      <c r="C143" s="18" t="n">
        <f aca="false">IF('Cohort Data'!D143=Assumptions!$B$16,ROUND('Cohort Data'!E143*Assumptions!$B$6,Assumptions!$B$10),Assumptions!$B$13)</f>
        <v>5725</v>
      </c>
      <c r="D143" s="18" t="n">
        <f aca="false">SUM(B143:C143)</f>
        <v>45807.33</v>
      </c>
      <c r="E143" s="18" t="n">
        <f aca="false">ROUND(D143/Assumptions!$F$6,Assumptions!$B$10)</f>
        <v>44473.14</v>
      </c>
      <c r="F143" s="18" t="n">
        <f aca="false">ROUND(E143*Assumptions!$B$7,Assumptions!$B$10)</f>
        <v>1778.93</v>
      </c>
      <c r="G143" s="18" t="n">
        <f aca="false">SUM(E143:F143)</f>
        <v>46252.07</v>
      </c>
      <c r="H143" s="18" t="n">
        <f aca="false">ROUND(G143-'Cohort Data'!H143,Assumptions!$B$10)</f>
        <v>11489.87</v>
      </c>
      <c r="I143" s="18" t="n">
        <f aca="false">CEILING(G143,Assumptions!$B$12)</f>
        <v>46300</v>
      </c>
      <c r="J143" s="18" t="n">
        <f aca="false">FLOOR(G143,Assumptions!$B$12)</f>
        <v>46200</v>
      </c>
      <c r="K143" s="18" t="n">
        <f aca="false">ROUNDUP(G143,Assumptions!$B$10)</f>
        <v>46252.07</v>
      </c>
      <c r="L143" s="18" t="n">
        <f aca="false">ROUNDDOWN(G143,Assumptions!$B$10)</f>
        <v>46252.07</v>
      </c>
      <c r="M143" s="19" t="n">
        <f aca="false">INT('Cohort Data'!E143/Assumptions!$B$11)</f>
        <v>2</v>
      </c>
    </row>
    <row r="144" customFormat="false" ht="15" hidden="false" customHeight="false" outlineLevel="0" collapsed="false">
      <c r="A144" s="2" t="s">
        <v>244</v>
      </c>
      <c r="B144" s="18" t="n">
        <f aca="false">IF('Cohort Data'!D144=Assumptions!$B$16,ROUND('Cohort Data'!L144*'Cohort Data'!J144*Assumptions!$F$4,Assumptions!$B$10),Assumptions!$B$13)</f>
        <v>42815.52</v>
      </c>
      <c r="C144" s="18" t="n">
        <f aca="false">IF('Cohort Data'!D144=Assumptions!$B$16,ROUND('Cohort Data'!E144*Assumptions!$B$6,Assumptions!$B$10),Assumptions!$B$13)</f>
        <v>6250</v>
      </c>
      <c r="D144" s="18" t="n">
        <f aca="false">SUM(B144:C144)</f>
        <v>49065.52</v>
      </c>
      <c r="E144" s="18" t="n">
        <f aca="false">ROUND(D144/Assumptions!$F$6,Assumptions!$B$10)</f>
        <v>47636.43</v>
      </c>
      <c r="F144" s="18" t="n">
        <f aca="false">ROUND(E144*Assumptions!$B$7,Assumptions!$B$10)</f>
        <v>1905.46</v>
      </c>
      <c r="G144" s="18" t="n">
        <f aca="false">SUM(E144:F144)</f>
        <v>49541.89</v>
      </c>
      <c r="H144" s="18" t="n">
        <f aca="false">ROUND(G144-'Cohort Data'!H144,Assumptions!$B$10)</f>
        <v>12317.89</v>
      </c>
      <c r="I144" s="18" t="n">
        <f aca="false">CEILING(G144,Assumptions!$B$12)</f>
        <v>49600</v>
      </c>
      <c r="J144" s="18" t="n">
        <f aca="false">FLOOR(G144,Assumptions!$B$12)</f>
        <v>49500</v>
      </c>
      <c r="K144" s="18" t="n">
        <f aca="false">ROUNDUP(G144,Assumptions!$B$10)</f>
        <v>49541.89</v>
      </c>
      <c r="L144" s="18" t="n">
        <f aca="false">ROUNDDOWN(G144,Assumptions!$B$10)</f>
        <v>49541.89</v>
      </c>
      <c r="M144" s="19" t="n">
        <f aca="false">INT('Cohort Data'!E144/Assumptions!$B$11)</f>
        <v>2</v>
      </c>
    </row>
    <row r="145" customFormat="false" ht="15" hidden="false" customHeight="false" outlineLevel="0" collapsed="false">
      <c r="A145" s="2" t="s">
        <v>245</v>
      </c>
      <c r="B145" s="18" t="n">
        <f aca="false">IF('Cohort Data'!D145=Assumptions!$B$16,ROUND('Cohort Data'!L145*'Cohort Data'!J145*Assumptions!$F$4,Assumptions!$B$10),Assumptions!$B$13)</f>
        <v>30539.69</v>
      </c>
      <c r="C145" s="18" t="n">
        <f aca="false">IF('Cohort Data'!D145=Assumptions!$B$16,ROUND('Cohort Data'!E145*Assumptions!$B$6,Assumptions!$B$10),Assumptions!$B$13)</f>
        <v>6025</v>
      </c>
      <c r="D145" s="18" t="n">
        <f aca="false">SUM(B145:C145)</f>
        <v>36564.69</v>
      </c>
      <c r="E145" s="18" t="n">
        <f aca="false">ROUND(D145/Assumptions!$F$6,Assumptions!$B$10)</f>
        <v>35499.7</v>
      </c>
      <c r="F145" s="18" t="n">
        <f aca="false">ROUND(E145*Assumptions!$B$7,Assumptions!$B$10)</f>
        <v>1419.99</v>
      </c>
      <c r="G145" s="18" t="n">
        <f aca="false">SUM(E145:F145)</f>
        <v>36919.69</v>
      </c>
      <c r="H145" s="18" t="n">
        <f aca="false">ROUND(G145-'Cohort Data'!H145,Assumptions!$B$10)</f>
        <v>7565.89</v>
      </c>
      <c r="I145" s="18" t="n">
        <f aca="false">CEILING(G145,Assumptions!$B$12)</f>
        <v>37000</v>
      </c>
      <c r="J145" s="18" t="n">
        <f aca="false">FLOOR(G145,Assumptions!$B$12)</f>
        <v>36900</v>
      </c>
      <c r="K145" s="18" t="n">
        <f aca="false">ROUNDUP(G145,Assumptions!$B$10)</f>
        <v>36919.69</v>
      </c>
      <c r="L145" s="18" t="n">
        <f aca="false">ROUNDDOWN(G145,Assumptions!$B$10)</f>
        <v>36919.68</v>
      </c>
      <c r="M145" s="19" t="n">
        <f aca="false">INT('Cohort Data'!E145/Assumptions!$B$11)</f>
        <v>2</v>
      </c>
    </row>
    <row r="146" customFormat="false" ht="15" hidden="false" customHeight="false" outlineLevel="0" collapsed="false">
      <c r="A146" s="2" t="s">
        <v>246</v>
      </c>
      <c r="B146" s="18" t="n">
        <f aca="false">IF('Cohort Data'!D146=Assumptions!$B$16,ROUND('Cohort Data'!L146*'Cohort Data'!J146*Assumptions!$F$4,Assumptions!$B$10),Assumptions!$B$13)</f>
        <v>32850.01</v>
      </c>
      <c r="C146" s="18" t="n">
        <f aca="false">IF('Cohort Data'!D146=Assumptions!$B$16,ROUND('Cohort Data'!E146*Assumptions!$B$6,Assumptions!$B$10),Assumptions!$B$13)</f>
        <v>2550</v>
      </c>
      <c r="D146" s="18" t="n">
        <f aca="false">SUM(B146:C146)</f>
        <v>35400.01</v>
      </c>
      <c r="E146" s="18" t="n">
        <f aca="false">ROUND(D146/Assumptions!$F$6,Assumptions!$B$10)</f>
        <v>34368.94</v>
      </c>
      <c r="F146" s="18" t="n">
        <f aca="false">ROUND(E146*Assumptions!$B$7,Assumptions!$B$10)</f>
        <v>1374.76</v>
      </c>
      <c r="G146" s="18" t="n">
        <f aca="false">SUM(E146:F146)</f>
        <v>35743.7</v>
      </c>
      <c r="H146" s="18" t="n">
        <f aca="false">ROUND(G146-'Cohort Data'!H146,Assumptions!$B$10)</f>
        <v>5705.52</v>
      </c>
      <c r="I146" s="18" t="n">
        <f aca="false">CEILING(G146,Assumptions!$B$12)</f>
        <v>35800</v>
      </c>
      <c r="J146" s="18" t="n">
        <f aca="false">FLOOR(G146,Assumptions!$B$12)</f>
        <v>35700</v>
      </c>
      <c r="K146" s="18" t="n">
        <f aca="false">ROUNDUP(G146,Assumptions!$B$10)</f>
        <v>35743.71</v>
      </c>
      <c r="L146" s="18" t="n">
        <f aca="false">ROUNDDOWN(G146,Assumptions!$B$10)</f>
        <v>35743.7</v>
      </c>
      <c r="M146" s="19" t="n">
        <f aca="false">INT('Cohort Data'!E146/Assumptions!$B$11)</f>
        <v>1</v>
      </c>
    </row>
    <row r="147" customFormat="false" ht="15" hidden="false" customHeight="false" outlineLevel="0" collapsed="false">
      <c r="A147" s="2" t="s">
        <v>247</v>
      </c>
      <c r="B147" s="18" t="n">
        <f aca="false">IF('Cohort Data'!D147=Assumptions!$B$16,ROUND('Cohort Data'!L147*'Cohort Data'!J147*Assumptions!$F$4,Assumptions!$B$10),Assumptions!$B$13)</f>
        <v>29215.75</v>
      </c>
      <c r="C147" s="18" t="n">
        <f aca="false">IF('Cohort Data'!D147=Assumptions!$B$16,ROUND('Cohort Data'!E147*Assumptions!$B$6,Assumptions!$B$10),Assumptions!$B$13)</f>
        <v>3475</v>
      </c>
      <c r="D147" s="18" t="n">
        <f aca="false">SUM(B147:C147)</f>
        <v>32690.75</v>
      </c>
      <c r="E147" s="18" t="n">
        <f aca="false">ROUND(D147/Assumptions!$F$6,Assumptions!$B$10)</f>
        <v>31738.59</v>
      </c>
      <c r="F147" s="18" t="n">
        <f aca="false">ROUND(E147*Assumptions!$B$7,Assumptions!$B$10)</f>
        <v>1269.54</v>
      </c>
      <c r="G147" s="18" t="n">
        <f aca="false">SUM(E147:F147)</f>
        <v>33008.13</v>
      </c>
      <c r="H147" s="18" t="n">
        <f aca="false">ROUND(G147-'Cohort Data'!H147,Assumptions!$B$10)</f>
        <v>6256.75</v>
      </c>
      <c r="I147" s="18" t="n">
        <f aca="false">CEILING(G147,Assumptions!$B$12)</f>
        <v>33100</v>
      </c>
      <c r="J147" s="18" t="n">
        <f aca="false">FLOOR(G147,Assumptions!$B$12)</f>
        <v>33000</v>
      </c>
      <c r="K147" s="18" t="n">
        <f aca="false">ROUNDUP(G147,Assumptions!$B$10)</f>
        <v>33008.13</v>
      </c>
      <c r="L147" s="18" t="n">
        <f aca="false">ROUNDDOWN(G147,Assumptions!$B$10)</f>
        <v>33008.13</v>
      </c>
      <c r="M147" s="19" t="n">
        <f aca="false">INT('Cohort Data'!E147/Assumptions!$B$11)</f>
        <v>1</v>
      </c>
    </row>
    <row r="148" customFormat="false" ht="15" hidden="false" customHeight="false" outlineLevel="0" collapsed="false">
      <c r="A148" s="2" t="s">
        <v>248</v>
      </c>
      <c r="B148" s="18" t="n">
        <f aca="false">IF('Cohort Data'!D148=Assumptions!$B$16,ROUND('Cohort Data'!L148*'Cohort Data'!J148*Assumptions!$F$4,Assumptions!$B$10),Assumptions!$B$13)</f>
        <v>30702.62</v>
      </c>
      <c r="C148" s="18" t="n">
        <f aca="false">IF('Cohort Data'!D148=Assumptions!$B$16,ROUND('Cohort Data'!E148*Assumptions!$B$6,Assumptions!$B$10),Assumptions!$B$13)</f>
        <v>2650</v>
      </c>
      <c r="D148" s="18" t="n">
        <f aca="false">SUM(B148:C148)</f>
        <v>33352.62</v>
      </c>
      <c r="E148" s="18" t="n">
        <f aca="false">ROUND(D148/Assumptions!$F$6,Assumptions!$B$10)</f>
        <v>32381.18</v>
      </c>
      <c r="F148" s="18" t="n">
        <f aca="false">ROUND(E148*Assumptions!$B$7,Assumptions!$B$10)</f>
        <v>1295.25</v>
      </c>
      <c r="G148" s="18" t="n">
        <f aca="false">SUM(E148:F148)</f>
        <v>33676.43</v>
      </c>
      <c r="H148" s="18" t="n">
        <f aca="false">ROUND(G148-'Cohort Data'!H148,Assumptions!$B$10)</f>
        <v>4461.13</v>
      </c>
      <c r="I148" s="18" t="n">
        <f aca="false">CEILING(G148,Assumptions!$B$12)</f>
        <v>33700</v>
      </c>
      <c r="J148" s="18" t="n">
        <f aca="false">FLOOR(G148,Assumptions!$B$12)</f>
        <v>33600</v>
      </c>
      <c r="K148" s="18" t="n">
        <f aca="false">ROUNDUP(G148,Assumptions!$B$10)</f>
        <v>33676.43</v>
      </c>
      <c r="L148" s="18" t="n">
        <f aca="false">ROUNDDOWN(G148,Assumptions!$B$10)</f>
        <v>33676.43</v>
      </c>
      <c r="M148" s="19" t="n">
        <f aca="false">INT('Cohort Data'!E148/Assumptions!$B$11)</f>
        <v>1</v>
      </c>
    </row>
    <row r="149" customFormat="false" ht="15" hidden="false" customHeight="false" outlineLevel="0" collapsed="false">
      <c r="A149" s="2" t="s">
        <v>249</v>
      </c>
      <c r="B149" s="18" t="n">
        <f aca="false">IF('Cohort Data'!D149=Assumptions!$B$16,ROUND('Cohort Data'!L149*'Cohort Data'!J149*Assumptions!$F$4,Assumptions!$B$10),Assumptions!$B$13)</f>
        <v>23832.36</v>
      </c>
      <c r="C149" s="18" t="n">
        <f aca="false">IF('Cohort Data'!D149=Assumptions!$B$16,ROUND('Cohort Data'!E149*Assumptions!$B$6,Assumptions!$B$10),Assumptions!$B$13)</f>
        <v>3700</v>
      </c>
      <c r="D149" s="18" t="n">
        <f aca="false">SUM(B149:C149)</f>
        <v>27532.36</v>
      </c>
      <c r="E149" s="18" t="n">
        <f aca="false">ROUND(D149/Assumptions!$F$6,Assumptions!$B$10)</f>
        <v>26730.45</v>
      </c>
      <c r="F149" s="18" t="n">
        <f aca="false">ROUND(E149*Assumptions!$B$7,Assumptions!$B$10)</f>
        <v>1069.22</v>
      </c>
      <c r="G149" s="18" t="n">
        <f aca="false">SUM(E149:F149)</f>
        <v>27799.67</v>
      </c>
      <c r="H149" s="18" t="n">
        <f aca="false">ROUND(G149-'Cohort Data'!H149,Assumptions!$B$10)</f>
        <v>7579.91</v>
      </c>
      <c r="I149" s="18" t="n">
        <f aca="false">CEILING(G149,Assumptions!$B$12)</f>
        <v>27800</v>
      </c>
      <c r="J149" s="18" t="n">
        <f aca="false">FLOOR(G149,Assumptions!$B$12)</f>
        <v>27700</v>
      </c>
      <c r="K149" s="18" t="n">
        <f aca="false">ROUNDUP(G149,Assumptions!$B$10)</f>
        <v>27799.67</v>
      </c>
      <c r="L149" s="18" t="n">
        <f aca="false">ROUNDDOWN(G149,Assumptions!$B$10)</f>
        <v>27799.67</v>
      </c>
      <c r="M149" s="19" t="n">
        <f aca="false">INT('Cohort Data'!E149/Assumptions!$B$11)</f>
        <v>1</v>
      </c>
    </row>
    <row r="150" customFormat="false" ht="15" hidden="false" customHeight="false" outlineLevel="0" collapsed="false">
      <c r="A150" s="2" t="s">
        <v>250</v>
      </c>
      <c r="B150" s="18" t="n">
        <f aca="false">IF('Cohort Data'!D150=Assumptions!$B$16,ROUND('Cohort Data'!L150*'Cohort Data'!J150*Assumptions!$F$4,Assumptions!$B$10),Assumptions!$B$13)</f>
        <v>20847.27</v>
      </c>
      <c r="C150" s="18" t="n">
        <f aca="false">IF('Cohort Data'!D150=Assumptions!$B$16,ROUND('Cohort Data'!E150*Assumptions!$B$6,Assumptions!$B$10),Assumptions!$B$13)</f>
        <v>2575</v>
      </c>
      <c r="D150" s="18" t="n">
        <f aca="false">SUM(B150:C150)</f>
        <v>23422.27</v>
      </c>
      <c r="E150" s="18" t="n">
        <f aca="false">ROUND(D150/Assumptions!$F$6,Assumptions!$B$10)</f>
        <v>22740.07</v>
      </c>
      <c r="F150" s="18" t="n">
        <f aca="false">ROUND(E150*Assumptions!$B$7,Assumptions!$B$10)</f>
        <v>909.6</v>
      </c>
      <c r="G150" s="18" t="n">
        <f aca="false">SUM(E150:F150)</f>
        <v>23649.67</v>
      </c>
      <c r="H150" s="18" t="n">
        <f aca="false">ROUND(G150-'Cohort Data'!H150,Assumptions!$B$10)</f>
        <v>5717.78</v>
      </c>
      <c r="I150" s="18" t="n">
        <f aca="false">CEILING(G150,Assumptions!$B$12)</f>
        <v>23700</v>
      </c>
      <c r="J150" s="18" t="n">
        <f aca="false">FLOOR(G150,Assumptions!$B$12)</f>
        <v>23600</v>
      </c>
      <c r="K150" s="18" t="n">
        <f aca="false">ROUNDUP(G150,Assumptions!$B$10)</f>
        <v>23649.67</v>
      </c>
      <c r="L150" s="18" t="n">
        <f aca="false">ROUNDDOWN(G150,Assumptions!$B$10)</f>
        <v>23649.67</v>
      </c>
      <c r="M150" s="19" t="n">
        <f aca="false">INT('Cohort Data'!E150/Assumptions!$B$11)</f>
        <v>1</v>
      </c>
    </row>
    <row r="151" customFormat="false" ht="15" hidden="false" customHeight="false" outlineLevel="0" collapsed="false">
      <c r="A151" s="2" t="s">
        <v>251</v>
      </c>
      <c r="B151" s="18" t="n">
        <f aca="false">IF('Cohort Data'!D151=Assumptions!$B$16,ROUND('Cohort Data'!L151*'Cohort Data'!J151*Assumptions!$F$4,Assumptions!$B$10),Assumptions!$B$13)</f>
        <v>32597.4</v>
      </c>
      <c r="C151" s="18" t="n">
        <f aca="false">IF('Cohort Data'!D151=Assumptions!$B$16,ROUND('Cohort Data'!E151*Assumptions!$B$6,Assumptions!$B$10),Assumptions!$B$13)</f>
        <v>3650</v>
      </c>
      <c r="D151" s="18" t="n">
        <f aca="false">SUM(B151:C151)</f>
        <v>36247.4</v>
      </c>
      <c r="E151" s="18" t="n">
        <f aca="false">ROUND(D151/Assumptions!$F$6,Assumptions!$B$10)</f>
        <v>35191.65</v>
      </c>
      <c r="F151" s="18" t="n">
        <f aca="false">ROUND(E151*Assumptions!$B$7,Assumptions!$B$10)</f>
        <v>1407.67</v>
      </c>
      <c r="G151" s="18" t="n">
        <f aca="false">SUM(E151:F151)</f>
        <v>36599.32</v>
      </c>
      <c r="H151" s="18" t="n">
        <f aca="false">ROUND(G151-'Cohort Data'!H151,Assumptions!$B$10)</f>
        <v>6834.3</v>
      </c>
      <c r="I151" s="18" t="n">
        <f aca="false">CEILING(G151,Assumptions!$B$12)</f>
        <v>36600</v>
      </c>
      <c r="J151" s="18" t="n">
        <f aca="false">FLOOR(G151,Assumptions!$B$12)</f>
        <v>36500</v>
      </c>
      <c r="K151" s="18" t="n">
        <f aca="false">ROUNDUP(G151,Assumptions!$B$10)</f>
        <v>36599.32</v>
      </c>
      <c r="L151" s="18" t="n">
        <f aca="false">ROUNDDOWN(G151,Assumptions!$B$10)</f>
        <v>36599.32</v>
      </c>
      <c r="M151" s="19" t="n">
        <f aca="false">INT('Cohort Data'!E151/Assumptions!$B$11)</f>
        <v>1</v>
      </c>
    </row>
    <row r="152" customFormat="false" ht="15" hidden="false" customHeight="false" outlineLevel="0" collapsed="false">
      <c r="A152" s="2" t="s">
        <v>252</v>
      </c>
      <c r="B152" s="18" t="n">
        <f aca="false">IF('Cohort Data'!D152=Assumptions!$B$16,ROUND('Cohort Data'!L152*'Cohort Data'!J152*Assumptions!$F$4,Assumptions!$B$10),Assumptions!$B$13)</f>
        <v>44612.16</v>
      </c>
      <c r="C152" s="18" t="n">
        <f aca="false">IF('Cohort Data'!D152=Assumptions!$B$16,ROUND('Cohort Data'!E152*Assumptions!$B$6,Assumptions!$B$10),Assumptions!$B$13)</f>
        <v>5900</v>
      </c>
      <c r="D152" s="18" t="n">
        <f aca="false">SUM(B152:C152)</f>
        <v>50512.16</v>
      </c>
      <c r="E152" s="18" t="n">
        <f aca="false">ROUND(D152/Assumptions!$F$6,Assumptions!$B$10)</f>
        <v>49040.93</v>
      </c>
      <c r="F152" s="18" t="n">
        <f aca="false">ROUND(E152*Assumptions!$B$7,Assumptions!$B$10)</f>
        <v>1961.64</v>
      </c>
      <c r="G152" s="18" t="n">
        <f aca="false">SUM(E152:F152)</f>
        <v>51002.57</v>
      </c>
      <c r="H152" s="18" t="n">
        <f aca="false">ROUND(G152-'Cohort Data'!H152,Assumptions!$B$10)</f>
        <v>10629.58</v>
      </c>
      <c r="I152" s="18" t="n">
        <f aca="false">CEILING(G152,Assumptions!$B$12)</f>
        <v>51100</v>
      </c>
      <c r="J152" s="18" t="n">
        <f aca="false">FLOOR(G152,Assumptions!$B$12)</f>
        <v>51000</v>
      </c>
      <c r="K152" s="18" t="n">
        <f aca="false">ROUNDUP(G152,Assumptions!$B$10)</f>
        <v>51002.57</v>
      </c>
      <c r="L152" s="18" t="n">
        <f aca="false">ROUNDDOWN(G152,Assumptions!$B$10)</f>
        <v>51002.57</v>
      </c>
      <c r="M152" s="19" t="n">
        <f aca="false">INT('Cohort Data'!E152/Assumptions!$B$11)</f>
        <v>2</v>
      </c>
    </row>
    <row r="153" customFormat="false" ht="15" hidden="false" customHeight="false" outlineLevel="0" collapsed="false">
      <c r="A153" s="2" t="s">
        <v>253</v>
      </c>
      <c r="B153" s="18" t="n">
        <f aca="false">IF('Cohort Data'!D153=Assumptions!$B$16,ROUND('Cohort Data'!L153*'Cohort Data'!J153*Assumptions!$F$4,Assumptions!$B$10),Assumptions!$B$13)</f>
        <v>32882.32</v>
      </c>
      <c r="C153" s="18" t="n">
        <f aca="false">IF('Cohort Data'!D153=Assumptions!$B$16,ROUND('Cohort Data'!E153*Assumptions!$B$6,Assumptions!$B$10),Assumptions!$B$13)</f>
        <v>3200</v>
      </c>
      <c r="D153" s="18" t="n">
        <f aca="false">SUM(B153:C153)</f>
        <v>36082.32</v>
      </c>
      <c r="E153" s="18" t="n">
        <f aca="false">ROUND(D153/Assumptions!$F$6,Assumptions!$B$10)</f>
        <v>35031.38</v>
      </c>
      <c r="F153" s="18" t="n">
        <f aca="false">ROUND(E153*Assumptions!$B$7,Assumptions!$B$10)</f>
        <v>1401.26</v>
      </c>
      <c r="G153" s="18" t="n">
        <f aca="false">SUM(E153:F153)</f>
        <v>36432.64</v>
      </c>
      <c r="H153" s="18" t="n">
        <f aca="false">ROUND(G153-'Cohort Data'!H153,Assumptions!$B$10)</f>
        <v>7844.61</v>
      </c>
      <c r="I153" s="18" t="n">
        <f aca="false">CEILING(G153,Assumptions!$B$12)</f>
        <v>36500</v>
      </c>
      <c r="J153" s="18" t="n">
        <f aca="false">FLOOR(G153,Assumptions!$B$12)</f>
        <v>36400</v>
      </c>
      <c r="K153" s="18" t="n">
        <f aca="false">ROUNDUP(G153,Assumptions!$B$10)</f>
        <v>36432.64</v>
      </c>
      <c r="L153" s="18" t="n">
        <f aca="false">ROUNDDOWN(G153,Assumptions!$B$10)</f>
        <v>36432.64</v>
      </c>
      <c r="M153" s="19" t="n">
        <f aca="false">INT('Cohort Data'!E153/Assumptions!$B$11)</f>
        <v>1</v>
      </c>
    </row>
    <row r="154" customFormat="false" ht="15" hidden="false" customHeight="false" outlineLevel="0" collapsed="false">
      <c r="A154" s="2" t="s">
        <v>254</v>
      </c>
      <c r="B154" s="18" t="n">
        <f aca="false">IF('Cohort Data'!D154=Assumptions!$B$16,ROUND('Cohort Data'!L154*'Cohort Data'!J154*Assumptions!$F$4,Assumptions!$B$10),Assumptions!$B$13)</f>
        <v>57096.74</v>
      </c>
      <c r="C154" s="18" t="n">
        <f aca="false">IF('Cohort Data'!D154=Assumptions!$B$16,ROUND('Cohort Data'!E154*Assumptions!$B$6,Assumptions!$B$10),Assumptions!$B$13)</f>
        <v>6225</v>
      </c>
      <c r="D154" s="18" t="n">
        <f aca="false">SUM(B154:C154)</f>
        <v>63321.74</v>
      </c>
      <c r="E154" s="18" t="n">
        <f aca="false">ROUND(D154/Assumptions!$F$6,Assumptions!$B$10)</f>
        <v>61477.42</v>
      </c>
      <c r="F154" s="18" t="n">
        <f aca="false">ROUND(E154*Assumptions!$B$7,Assumptions!$B$10)</f>
        <v>2459.1</v>
      </c>
      <c r="G154" s="18" t="n">
        <f aca="false">SUM(E154:F154)</f>
        <v>63936.52</v>
      </c>
      <c r="H154" s="18" t="n">
        <f aca="false">ROUND(G154-'Cohort Data'!H154,Assumptions!$B$10)</f>
        <v>10703.31</v>
      </c>
      <c r="I154" s="18" t="n">
        <f aca="false">CEILING(G154,Assumptions!$B$12)</f>
        <v>64000</v>
      </c>
      <c r="J154" s="18" t="n">
        <f aca="false">FLOOR(G154,Assumptions!$B$12)</f>
        <v>63900</v>
      </c>
      <c r="K154" s="18" t="n">
        <f aca="false">ROUNDUP(G154,Assumptions!$B$10)</f>
        <v>63936.52</v>
      </c>
      <c r="L154" s="18" t="n">
        <f aca="false">ROUNDDOWN(G154,Assumptions!$B$10)</f>
        <v>63936.52</v>
      </c>
      <c r="M154" s="19" t="n">
        <f aca="false">INT('Cohort Data'!E154/Assumptions!$B$11)</f>
        <v>2</v>
      </c>
    </row>
    <row r="155" customFormat="false" ht="15" hidden="false" customHeight="false" outlineLevel="0" collapsed="false">
      <c r="A155" s="2" t="s">
        <v>255</v>
      </c>
      <c r="B155" s="18" t="n">
        <f aca="false">IF('Cohort Data'!D155=Assumptions!$B$16,ROUND('Cohort Data'!L155*'Cohort Data'!J155*Assumptions!$F$4,Assumptions!$B$10),Assumptions!$B$13)</f>
        <v>0</v>
      </c>
      <c r="C155" s="18" t="n">
        <f aca="false">IF('Cohort Data'!D155=Assumptions!$B$16,ROUND('Cohort Data'!E155*Assumptions!$B$6,Assumptions!$B$10),Assumptions!$B$13)</f>
        <v>0</v>
      </c>
      <c r="D155" s="18" t="n">
        <f aca="false">SUM(B155:C155)</f>
        <v>0</v>
      </c>
      <c r="E155" s="18" t="n">
        <f aca="false">ROUND(D155/Assumptions!$F$6,Assumptions!$B$10)</f>
        <v>0</v>
      </c>
      <c r="F155" s="18" t="n">
        <f aca="false">ROUND(E155*Assumptions!$B$7,Assumptions!$B$10)</f>
        <v>0</v>
      </c>
      <c r="G155" s="18" t="n">
        <f aca="false">SUM(E155:F155)</f>
        <v>0</v>
      </c>
      <c r="H155" s="18" t="n">
        <f aca="false">ROUND(G155-'Cohort Data'!H155,Assumptions!$B$10)</f>
        <v>-22833.36</v>
      </c>
      <c r="I155" s="18" t="n">
        <f aca="false">CEILING(G155,Assumptions!$B$12)</f>
        <v>0</v>
      </c>
      <c r="J155" s="18" t="n">
        <f aca="false">FLOOR(G155,Assumptions!$B$12)</f>
        <v>0</v>
      </c>
      <c r="K155" s="18" t="n">
        <f aca="false">ROUNDUP(G155,Assumptions!$B$10)</f>
        <v>0</v>
      </c>
      <c r="L155" s="18" t="n">
        <f aca="false">ROUNDDOWN(G155,Assumptions!$B$10)</f>
        <v>0</v>
      </c>
      <c r="M155" s="19" t="n">
        <f aca="false">INT('Cohort Data'!E155/Assumptions!$B$11)</f>
        <v>1</v>
      </c>
    </row>
    <row r="156" customFormat="false" ht="15" hidden="false" customHeight="false" outlineLevel="0" collapsed="false">
      <c r="A156" s="2" t="s">
        <v>256</v>
      </c>
      <c r="B156" s="18" t="n">
        <f aca="false">IF('Cohort Data'!D156=Assumptions!$B$16,ROUND('Cohort Data'!L156*'Cohort Data'!J156*Assumptions!$F$4,Assumptions!$B$10),Assumptions!$B$13)</f>
        <v>56570.98</v>
      </c>
      <c r="C156" s="18" t="n">
        <f aca="false">IF('Cohort Data'!D156=Assumptions!$B$16,ROUND('Cohort Data'!E156*Assumptions!$B$6,Assumptions!$B$10),Assumptions!$B$13)</f>
        <v>4225</v>
      </c>
      <c r="D156" s="18" t="n">
        <f aca="false">SUM(B156:C156)</f>
        <v>60795.98</v>
      </c>
      <c r="E156" s="18" t="n">
        <f aca="false">ROUND(D156/Assumptions!$F$6,Assumptions!$B$10)</f>
        <v>59025.22</v>
      </c>
      <c r="F156" s="18" t="n">
        <f aca="false">ROUND(E156*Assumptions!$B$7,Assumptions!$B$10)</f>
        <v>2361.01</v>
      </c>
      <c r="G156" s="18" t="n">
        <f aca="false">SUM(E156:F156)</f>
        <v>61386.23</v>
      </c>
      <c r="H156" s="18" t="n">
        <f aca="false">ROUND(G156-'Cohort Data'!H156,Assumptions!$B$10)</f>
        <v>11156.73</v>
      </c>
      <c r="I156" s="18" t="n">
        <f aca="false">CEILING(G156,Assumptions!$B$12)</f>
        <v>61400</v>
      </c>
      <c r="J156" s="18" t="n">
        <f aca="false">FLOOR(G156,Assumptions!$B$12)</f>
        <v>61300</v>
      </c>
      <c r="K156" s="18" t="n">
        <f aca="false">ROUNDUP(G156,Assumptions!$B$10)</f>
        <v>61386.23</v>
      </c>
      <c r="L156" s="18" t="n">
        <f aca="false">ROUNDDOWN(G156,Assumptions!$B$10)</f>
        <v>61386.23</v>
      </c>
      <c r="M156" s="19" t="n">
        <f aca="false">INT('Cohort Data'!E156/Assumptions!$B$11)</f>
        <v>1</v>
      </c>
    </row>
    <row r="157" customFormat="false" ht="15" hidden="false" customHeight="false" outlineLevel="0" collapsed="false">
      <c r="A157" s="2" t="s">
        <v>257</v>
      </c>
      <c r="B157" s="18" t="n">
        <f aca="false">IF('Cohort Data'!D157=Assumptions!$B$16,ROUND('Cohort Data'!L157*'Cohort Data'!J157*Assumptions!$F$4,Assumptions!$B$10),Assumptions!$B$13)</f>
        <v>18827.08</v>
      </c>
      <c r="C157" s="18" t="n">
        <f aca="false">IF('Cohort Data'!D157=Assumptions!$B$16,ROUND('Cohort Data'!E157*Assumptions!$B$6,Assumptions!$B$10),Assumptions!$B$13)</f>
        <v>3000</v>
      </c>
      <c r="D157" s="18" t="n">
        <f aca="false">SUM(B157:C157)</f>
        <v>21827.08</v>
      </c>
      <c r="E157" s="18" t="n">
        <f aca="false">ROUND(D157/Assumptions!$F$6,Assumptions!$B$10)</f>
        <v>21191.34</v>
      </c>
      <c r="F157" s="18" t="n">
        <f aca="false">ROUND(E157*Assumptions!$B$7,Assumptions!$B$10)</f>
        <v>847.65</v>
      </c>
      <c r="G157" s="18" t="n">
        <f aca="false">SUM(E157:F157)</f>
        <v>22038.99</v>
      </c>
      <c r="H157" s="18" t="n">
        <f aca="false">ROUND(G157-'Cohort Data'!H157,Assumptions!$B$10)</f>
        <v>5571.63</v>
      </c>
      <c r="I157" s="18" t="n">
        <f aca="false">CEILING(G157,Assumptions!$B$12)</f>
        <v>22100</v>
      </c>
      <c r="J157" s="18" t="n">
        <f aca="false">FLOOR(G157,Assumptions!$B$12)</f>
        <v>22000</v>
      </c>
      <c r="K157" s="18" t="n">
        <f aca="false">ROUNDUP(G157,Assumptions!$B$10)</f>
        <v>22038.99</v>
      </c>
      <c r="L157" s="18" t="n">
        <f aca="false">ROUNDDOWN(G157,Assumptions!$B$10)</f>
        <v>22038.99</v>
      </c>
      <c r="M157" s="19" t="n">
        <f aca="false">INT('Cohort Data'!E157/Assumptions!$B$11)</f>
        <v>1</v>
      </c>
    </row>
    <row r="158" customFormat="false" ht="15" hidden="false" customHeight="false" outlineLevel="0" collapsed="false">
      <c r="A158" s="2" t="s">
        <v>258</v>
      </c>
      <c r="B158" s="18" t="n">
        <f aca="false">IF('Cohort Data'!D158=Assumptions!$B$16,ROUND('Cohort Data'!L158*'Cohort Data'!J158*Assumptions!$F$4,Assumptions!$B$10),Assumptions!$B$13)</f>
        <v>20793.8</v>
      </c>
      <c r="C158" s="18" t="n">
        <f aca="false">IF('Cohort Data'!D158=Assumptions!$B$16,ROUND('Cohort Data'!E158*Assumptions!$B$6,Assumptions!$B$10),Assumptions!$B$13)</f>
        <v>3375</v>
      </c>
      <c r="D158" s="18" t="n">
        <f aca="false">SUM(B158:C158)</f>
        <v>24168.8</v>
      </c>
      <c r="E158" s="18" t="n">
        <f aca="false">ROUND(D158/Assumptions!$F$6,Assumptions!$B$10)</f>
        <v>23464.85</v>
      </c>
      <c r="F158" s="18" t="n">
        <f aca="false">ROUND(E158*Assumptions!$B$7,Assumptions!$B$10)</f>
        <v>938.59</v>
      </c>
      <c r="G158" s="18" t="n">
        <f aca="false">SUM(E158:F158)</f>
        <v>24403.44</v>
      </c>
      <c r="H158" s="18" t="n">
        <f aca="false">ROUND(G158-'Cohort Data'!H158,Assumptions!$B$10)</f>
        <v>5781.54</v>
      </c>
      <c r="I158" s="18" t="n">
        <f aca="false">CEILING(G158,Assumptions!$B$12)</f>
        <v>24500</v>
      </c>
      <c r="J158" s="18" t="n">
        <f aca="false">FLOOR(G158,Assumptions!$B$12)</f>
        <v>24400</v>
      </c>
      <c r="K158" s="18" t="n">
        <f aca="false">ROUNDUP(G158,Assumptions!$B$10)</f>
        <v>24403.44</v>
      </c>
      <c r="L158" s="18" t="n">
        <f aca="false">ROUNDDOWN(G158,Assumptions!$B$10)</f>
        <v>24403.44</v>
      </c>
      <c r="M158" s="19" t="n">
        <f aca="false">INT('Cohort Data'!E158/Assumptions!$B$11)</f>
        <v>1</v>
      </c>
    </row>
    <row r="159" customFormat="false" ht="15" hidden="false" customHeight="false" outlineLevel="0" collapsed="false">
      <c r="A159" s="2" t="s">
        <v>259</v>
      </c>
      <c r="B159" s="18" t="n">
        <f aca="false">IF('Cohort Data'!D159=Assumptions!$B$16,ROUND('Cohort Data'!L159*'Cohort Data'!J159*Assumptions!$F$4,Assumptions!$B$10),Assumptions!$B$13)</f>
        <v>73167.83</v>
      </c>
      <c r="C159" s="18" t="n">
        <f aca="false">IF('Cohort Data'!D159=Assumptions!$B$16,ROUND('Cohort Data'!E159*Assumptions!$B$6,Assumptions!$B$10),Assumptions!$B$13)</f>
        <v>6025</v>
      </c>
      <c r="D159" s="18" t="n">
        <f aca="false">SUM(B159:C159)</f>
        <v>79192.83</v>
      </c>
      <c r="E159" s="18" t="n">
        <f aca="false">ROUND(D159/Assumptions!$F$6,Assumptions!$B$10)</f>
        <v>76886.24</v>
      </c>
      <c r="F159" s="18" t="n">
        <f aca="false">ROUND(E159*Assumptions!$B$7,Assumptions!$B$10)</f>
        <v>3075.45</v>
      </c>
      <c r="G159" s="18" t="n">
        <f aca="false">SUM(E159:F159)</f>
        <v>79961.69</v>
      </c>
      <c r="H159" s="18" t="n">
        <f aca="false">ROUND(G159-'Cohort Data'!H159,Assumptions!$B$10)</f>
        <v>19056.17</v>
      </c>
      <c r="I159" s="18" t="n">
        <f aca="false">CEILING(G159,Assumptions!$B$12)</f>
        <v>80000</v>
      </c>
      <c r="J159" s="18" t="n">
        <f aca="false">FLOOR(G159,Assumptions!$B$12)</f>
        <v>79900</v>
      </c>
      <c r="K159" s="18" t="n">
        <f aca="false">ROUNDUP(G159,Assumptions!$B$10)</f>
        <v>79961.69</v>
      </c>
      <c r="L159" s="18" t="n">
        <f aca="false">ROUNDDOWN(G159,Assumptions!$B$10)</f>
        <v>79961.69</v>
      </c>
      <c r="M159" s="19" t="n">
        <f aca="false">INT('Cohort Data'!E159/Assumptions!$B$11)</f>
        <v>2</v>
      </c>
    </row>
    <row r="160" customFormat="false" ht="15" hidden="false" customHeight="false" outlineLevel="0" collapsed="false">
      <c r="A160" s="2" t="s">
        <v>260</v>
      </c>
      <c r="B160" s="18" t="n">
        <f aca="false">IF('Cohort Data'!D160=Assumptions!$B$16,ROUND('Cohort Data'!L160*'Cohort Data'!J160*Assumptions!$F$4,Assumptions!$B$10),Assumptions!$B$13)</f>
        <v>24674.33</v>
      </c>
      <c r="C160" s="18" t="n">
        <f aca="false">IF('Cohort Data'!D160=Assumptions!$B$16,ROUND('Cohort Data'!E160*Assumptions!$B$6,Assumptions!$B$10),Assumptions!$B$13)</f>
        <v>2175</v>
      </c>
      <c r="D160" s="18" t="n">
        <f aca="false">SUM(B160:C160)</f>
        <v>26849.33</v>
      </c>
      <c r="E160" s="18" t="n">
        <f aca="false">ROUND(D160/Assumptions!$F$6,Assumptions!$B$10)</f>
        <v>26067.31</v>
      </c>
      <c r="F160" s="18" t="n">
        <f aca="false">ROUND(E160*Assumptions!$B$7,Assumptions!$B$10)</f>
        <v>1042.69</v>
      </c>
      <c r="G160" s="18" t="n">
        <f aca="false">SUM(E160:F160)</f>
        <v>27110</v>
      </c>
      <c r="H160" s="18" t="n">
        <f aca="false">ROUND(G160-'Cohort Data'!H160,Assumptions!$B$10)</f>
        <v>5528.26</v>
      </c>
      <c r="I160" s="18" t="n">
        <f aca="false">CEILING(G160,Assumptions!$B$12)</f>
        <v>27200</v>
      </c>
      <c r="J160" s="18" t="n">
        <f aca="false">FLOOR(G160,Assumptions!$B$12)</f>
        <v>27100</v>
      </c>
      <c r="K160" s="18" t="n">
        <f aca="false">ROUNDUP(G160,Assumptions!$B$10)</f>
        <v>27110</v>
      </c>
      <c r="L160" s="18" t="n">
        <f aca="false">ROUNDDOWN(G160,Assumptions!$B$10)</f>
        <v>27110</v>
      </c>
      <c r="M160" s="19" t="n">
        <f aca="false">INT('Cohort Data'!E160/Assumptions!$B$11)</f>
        <v>0</v>
      </c>
    </row>
    <row r="161" customFormat="false" ht="15" hidden="false" customHeight="false" outlineLevel="0" collapsed="false">
      <c r="A161" s="2" t="s">
        <v>261</v>
      </c>
      <c r="B161" s="18" t="n">
        <f aca="false">IF('Cohort Data'!D161=Assumptions!$B$16,ROUND('Cohort Data'!L161*'Cohort Data'!J161*Assumptions!$F$4,Assumptions!$B$10),Assumptions!$B$13)</f>
        <v>22936.19</v>
      </c>
      <c r="C161" s="18" t="n">
        <f aca="false">IF('Cohort Data'!D161=Assumptions!$B$16,ROUND('Cohort Data'!E161*Assumptions!$B$6,Assumptions!$B$10),Assumptions!$B$13)</f>
        <v>2100</v>
      </c>
      <c r="D161" s="18" t="n">
        <f aca="false">SUM(B161:C161)</f>
        <v>25036.19</v>
      </c>
      <c r="E161" s="18" t="n">
        <f aca="false">ROUND(D161/Assumptions!$F$6,Assumptions!$B$10)</f>
        <v>24306.98</v>
      </c>
      <c r="F161" s="18" t="n">
        <f aca="false">ROUND(E161*Assumptions!$B$7,Assumptions!$B$10)</f>
        <v>972.28</v>
      </c>
      <c r="G161" s="18" t="n">
        <f aca="false">SUM(E161:F161)</f>
        <v>25279.26</v>
      </c>
      <c r="H161" s="18" t="n">
        <f aca="false">ROUND(G161-'Cohort Data'!H161,Assumptions!$B$10)</f>
        <v>4522.52</v>
      </c>
      <c r="I161" s="18" t="n">
        <f aca="false">CEILING(G161,Assumptions!$B$12)</f>
        <v>25300</v>
      </c>
      <c r="J161" s="18" t="n">
        <f aca="false">FLOOR(G161,Assumptions!$B$12)</f>
        <v>25200</v>
      </c>
      <c r="K161" s="18" t="n">
        <f aca="false">ROUNDUP(G161,Assumptions!$B$10)</f>
        <v>25279.26</v>
      </c>
      <c r="L161" s="18" t="n">
        <f aca="false">ROUNDDOWN(G161,Assumptions!$B$10)</f>
        <v>25279.26</v>
      </c>
      <c r="M161" s="19" t="n">
        <f aca="false">INT('Cohort Data'!E161/Assumptions!$B$11)</f>
        <v>0</v>
      </c>
    </row>
    <row r="162" customFormat="false" ht="15" hidden="false" customHeight="false" outlineLevel="0" collapsed="false">
      <c r="A162" s="2" t="s">
        <v>262</v>
      </c>
      <c r="B162" s="18" t="n">
        <f aca="false">IF('Cohort Data'!D162=Assumptions!$B$16,ROUND('Cohort Data'!L162*'Cohort Data'!J162*Assumptions!$F$4,Assumptions!$B$10),Assumptions!$B$13)</f>
        <v>30515.79</v>
      </c>
      <c r="C162" s="18" t="n">
        <f aca="false">IF('Cohort Data'!D162=Assumptions!$B$16,ROUND('Cohort Data'!E162*Assumptions!$B$6,Assumptions!$B$10),Assumptions!$B$13)</f>
        <v>2450</v>
      </c>
      <c r="D162" s="18" t="n">
        <f aca="false">SUM(B162:C162)</f>
        <v>32965.79</v>
      </c>
      <c r="E162" s="18" t="n">
        <f aca="false">ROUND(D162/Assumptions!$F$6,Assumptions!$B$10)</f>
        <v>32005.62</v>
      </c>
      <c r="F162" s="18" t="n">
        <f aca="false">ROUND(E162*Assumptions!$B$7,Assumptions!$B$10)</f>
        <v>1280.22</v>
      </c>
      <c r="G162" s="18" t="n">
        <f aca="false">SUM(E162:F162)</f>
        <v>33285.84</v>
      </c>
      <c r="H162" s="18" t="n">
        <f aca="false">ROUND(G162-'Cohort Data'!H162,Assumptions!$B$10)</f>
        <v>7602</v>
      </c>
      <c r="I162" s="18" t="n">
        <f aca="false">CEILING(G162,Assumptions!$B$12)</f>
        <v>33300</v>
      </c>
      <c r="J162" s="18" t="n">
        <f aca="false">FLOOR(G162,Assumptions!$B$12)</f>
        <v>33200</v>
      </c>
      <c r="K162" s="18" t="n">
        <f aca="false">ROUNDUP(G162,Assumptions!$B$10)</f>
        <v>33285.84</v>
      </c>
      <c r="L162" s="18" t="n">
        <f aca="false">ROUNDDOWN(G162,Assumptions!$B$10)</f>
        <v>33285.84</v>
      </c>
      <c r="M162" s="19" t="n">
        <f aca="false">INT('Cohort Data'!E162/Assumptions!$B$11)</f>
        <v>0</v>
      </c>
    </row>
    <row r="163" customFormat="false" ht="15" hidden="false" customHeight="false" outlineLevel="0" collapsed="false">
      <c r="A163" s="2" t="s">
        <v>263</v>
      </c>
      <c r="B163" s="18" t="n">
        <f aca="false">IF('Cohort Data'!D163=Assumptions!$B$16,ROUND('Cohort Data'!L163*'Cohort Data'!J163*Assumptions!$F$4,Assumptions!$B$10),Assumptions!$B$13)</f>
        <v>31257.78</v>
      </c>
      <c r="C163" s="18" t="n">
        <f aca="false">IF('Cohort Data'!D163=Assumptions!$B$16,ROUND('Cohort Data'!E163*Assumptions!$B$6,Assumptions!$B$10),Assumptions!$B$13)</f>
        <v>3700</v>
      </c>
      <c r="D163" s="18" t="n">
        <f aca="false">SUM(B163:C163)</f>
        <v>34957.78</v>
      </c>
      <c r="E163" s="18" t="n">
        <f aca="false">ROUND(D163/Assumptions!$F$6,Assumptions!$B$10)</f>
        <v>33939.59</v>
      </c>
      <c r="F163" s="18" t="n">
        <f aca="false">ROUND(E163*Assumptions!$B$7,Assumptions!$B$10)</f>
        <v>1357.58</v>
      </c>
      <c r="G163" s="18" t="n">
        <f aca="false">SUM(E163:F163)</f>
        <v>35297.17</v>
      </c>
      <c r="H163" s="18" t="n">
        <f aca="false">ROUND(G163-'Cohort Data'!H163,Assumptions!$B$10)</f>
        <v>6755.37</v>
      </c>
      <c r="I163" s="18" t="n">
        <f aca="false">CEILING(G163,Assumptions!$B$12)</f>
        <v>35300</v>
      </c>
      <c r="J163" s="18" t="n">
        <f aca="false">FLOOR(G163,Assumptions!$B$12)</f>
        <v>35200</v>
      </c>
      <c r="K163" s="18" t="n">
        <f aca="false">ROUNDUP(G163,Assumptions!$B$10)</f>
        <v>35297.17</v>
      </c>
      <c r="L163" s="18" t="n">
        <f aca="false">ROUNDDOWN(G163,Assumptions!$B$10)</f>
        <v>35297.17</v>
      </c>
      <c r="M163" s="19" t="n">
        <f aca="false">INT('Cohort Data'!E163/Assumptions!$B$11)</f>
        <v>1</v>
      </c>
    </row>
    <row r="164" customFormat="false" ht="15" hidden="false" customHeight="false" outlineLevel="0" collapsed="false">
      <c r="A164" s="2" t="s">
        <v>264</v>
      </c>
      <c r="B164" s="18" t="n">
        <f aca="false">IF('Cohort Data'!D164=Assumptions!$B$16,ROUND('Cohort Data'!L164*'Cohort Data'!J164*Assumptions!$F$4,Assumptions!$B$10),Assumptions!$B$13)</f>
        <v>37967.94</v>
      </c>
      <c r="C164" s="18" t="n">
        <f aca="false">IF('Cohort Data'!D164=Assumptions!$B$16,ROUND('Cohort Data'!E164*Assumptions!$B$6,Assumptions!$B$10),Assumptions!$B$13)</f>
        <v>4675</v>
      </c>
      <c r="D164" s="18" t="n">
        <f aca="false">SUM(B164:C164)</f>
        <v>42642.94</v>
      </c>
      <c r="E164" s="18" t="n">
        <f aca="false">ROUND(D164/Assumptions!$F$6,Assumptions!$B$10)</f>
        <v>41400.91</v>
      </c>
      <c r="F164" s="18" t="n">
        <f aca="false">ROUND(E164*Assumptions!$B$7,Assumptions!$B$10)</f>
        <v>1656.04</v>
      </c>
      <c r="G164" s="18" t="n">
        <f aca="false">SUM(E164:F164)</f>
        <v>43056.95</v>
      </c>
      <c r="H164" s="18" t="n">
        <f aca="false">ROUND(G164-'Cohort Data'!H164,Assumptions!$B$10)</f>
        <v>9054.74</v>
      </c>
      <c r="I164" s="18" t="n">
        <f aca="false">CEILING(G164,Assumptions!$B$12)</f>
        <v>43100</v>
      </c>
      <c r="J164" s="18" t="n">
        <f aca="false">FLOOR(G164,Assumptions!$B$12)</f>
        <v>43000</v>
      </c>
      <c r="K164" s="18" t="n">
        <f aca="false">ROUNDUP(G164,Assumptions!$B$10)</f>
        <v>43056.95</v>
      </c>
      <c r="L164" s="18" t="n">
        <f aca="false">ROUNDDOWN(G164,Assumptions!$B$10)</f>
        <v>43056.95</v>
      </c>
      <c r="M164" s="19" t="n">
        <f aca="false">INT('Cohort Data'!E164/Assumptions!$B$11)</f>
        <v>1</v>
      </c>
    </row>
    <row r="165" customFormat="false" ht="15" hidden="false" customHeight="false" outlineLevel="0" collapsed="false">
      <c r="A165" s="2" t="s">
        <v>265</v>
      </c>
      <c r="B165" s="18" t="n">
        <f aca="false">IF('Cohort Data'!D165=Assumptions!$B$16,ROUND('Cohort Data'!L165*'Cohort Data'!J165*Assumptions!$F$4,Assumptions!$B$10),Assumptions!$B$13)</f>
        <v>43811.95</v>
      </c>
      <c r="C165" s="18" t="n">
        <f aca="false">IF('Cohort Data'!D165=Assumptions!$B$16,ROUND('Cohort Data'!E165*Assumptions!$B$6,Assumptions!$B$10),Assumptions!$B$13)</f>
        <v>3350</v>
      </c>
      <c r="D165" s="18" t="n">
        <f aca="false">SUM(B165:C165)</f>
        <v>47161.95</v>
      </c>
      <c r="E165" s="18" t="n">
        <f aca="false">ROUND(D165/Assumptions!$F$6,Assumptions!$B$10)</f>
        <v>45788.3</v>
      </c>
      <c r="F165" s="18" t="n">
        <f aca="false">ROUND(E165*Assumptions!$B$7,Assumptions!$B$10)</f>
        <v>1831.53</v>
      </c>
      <c r="G165" s="18" t="n">
        <f aca="false">SUM(E165:F165)</f>
        <v>47619.83</v>
      </c>
      <c r="H165" s="18" t="n">
        <f aca="false">ROUND(G165-'Cohort Data'!H165,Assumptions!$B$10)</f>
        <v>9529.53</v>
      </c>
      <c r="I165" s="18" t="n">
        <f aca="false">CEILING(G165,Assumptions!$B$12)</f>
        <v>47700</v>
      </c>
      <c r="J165" s="18" t="n">
        <f aca="false">FLOOR(G165,Assumptions!$B$12)</f>
        <v>47600</v>
      </c>
      <c r="K165" s="18" t="n">
        <f aca="false">ROUNDUP(G165,Assumptions!$B$10)</f>
        <v>47619.83</v>
      </c>
      <c r="L165" s="18" t="n">
        <f aca="false">ROUNDDOWN(G165,Assumptions!$B$10)</f>
        <v>47619.83</v>
      </c>
      <c r="M165" s="19" t="n">
        <f aca="false">INT('Cohort Data'!E165/Assumptions!$B$11)</f>
        <v>1</v>
      </c>
    </row>
    <row r="166" customFormat="false" ht="15" hidden="false" customHeight="false" outlineLevel="0" collapsed="false">
      <c r="A166" s="2" t="s">
        <v>266</v>
      </c>
      <c r="B166" s="18" t="n">
        <f aca="false">IF('Cohort Data'!D166=Assumptions!$B$16,ROUND('Cohort Data'!L166*'Cohort Data'!J166*Assumptions!$F$4,Assumptions!$B$10),Assumptions!$B$13)</f>
        <v>30684.52</v>
      </c>
      <c r="C166" s="18" t="n">
        <f aca="false">IF('Cohort Data'!D166=Assumptions!$B$16,ROUND('Cohort Data'!E166*Assumptions!$B$6,Assumptions!$B$10),Assumptions!$B$13)</f>
        <v>2825</v>
      </c>
      <c r="D166" s="18" t="n">
        <f aca="false">SUM(B166:C166)</f>
        <v>33509.52</v>
      </c>
      <c r="E166" s="18" t="n">
        <f aca="false">ROUND(D166/Assumptions!$F$6,Assumptions!$B$10)</f>
        <v>32533.51</v>
      </c>
      <c r="F166" s="18" t="n">
        <f aca="false">ROUND(E166*Assumptions!$B$7,Assumptions!$B$10)</f>
        <v>1301.34</v>
      </c>
      <c r="G166" s="18" t="n">
        <f aca="false">SUM(E166:F166)</f>
        <v>33834.85</v>
      </c>
      <c r="H166" s="18" t="n">
        <f aca="false">ROUND(G166-'Cohort Data'!H166,Assumptions!$B$10)</f>
        <v>5816.5</v>
      </c>
      <c r="I166" s="18" t="n">
        <f aca="false">CEILING(G166,Assumptions!$B$12)</f>
        <v>33900</v>
      </c>
      <c r="J166" s="18" t="n">
        <f aca="false">FLOOR(G166,Assumptions!$B$12)</f>
        <v>33800</v>
      </c>
      <c r="K166" s="18" t="n">
        <f aca="false">ROUNDUP(G166,Assumptions!$B$10)</f>
        <v>33834.85</v>
      </c>
      <c r="L166" s="18" t="n">
        <f aca="false">ROUNDDOWN(G166,Assumptions!$B$10)</f>
        <v>33834.85</v>
      </c>
      <c r="M166" s="19" t="n">
        <f aca="false">INT('Cohort Data'!E166/Assumptions!$B$11)</f>
        <v>1</v>
      </c>
    </row>
    <row r="167" customFormat="false" ht="15" hidden="false" customHeight="false" outlineLevel="0" collapsed="false">
      <c r="A167" s="2" t="s">
        <v>267</v>
      </c>
      <c r="B167" s="18" t="n">
        <f aca="false">IF('Cohort Data'!D167=Assumptions!$B$16,ROUND('Cohort Data'!L167*'Cohort Data'!J167*Assumptions!$F$4,Assumptions!$B$10),Assumptions!$B$13)</f>
        <v>27977.11</v>
      </c>
      <c r="C167" s="18" t="n">
        <f aca="false">IF('Cohort Data'!D167=Assumptions!$B$16,ROUND('Cohort Data'!E167*Assumptions!$B$6,Assumptions!$B$10),Assumptions!$B$13)</f>
        <v>2700</v>
      </c>
      <c r="D167" s="18" t="n">
        <f aca="false">SUM(B167:C167)</f>
        <v>30677.11</v>
      </c>
      <c r="E167" s="18" t="n">
        <f aca="false">ROUND(D167/Assumptions!$F$6,Assumptions!$B$10)</f>
        <v>29783.6</v>
      </c>
      <c r="F167" s="18" t="n">
        <f aca="false">ROUND(E167*Assumptions!$B$7,Assumptions!$B$10)</f>
        <v>1191.34</v>
      </c>
      <c r="G167" s="18" t="n">
        <f aca="false">SUM(E167:F167)</f>
        <v>30974.94</v>
      </c>
      <c r="H167" s="18" t="n">
        <f aca="false">ROUND(G167-'Cohort Data'!H167,Assumptions!$B$10)</f>
        <v>4601.34</v>
      </c>
      <c r="I167" s="18" t="n">
        <f aca="false">CEILING(G167,Assumptions!$B$12)</f>
        <v>31000</v>
      </c>
      <c r="J167" s="18" t="n">
        <f aca="false">FLOOR(G167,Assumptions!$B$12)</f>
        <v>30900</v>
      </c>
      <c r="K167" s="18" t="n">
        <f aca="false">ROUNDUP(G167,Assumptions!$B$10)</f>
        <v>30974.94</v>
      </c>
      <c r="L167" s="18" t="n">
        <f aca="false">ROUNDDOWN(G167,Assumptions!$B$10)</f>
        <v>30974.94</v>
      </c>
      <c r="M167" s="19" t="n">
        <f aca="false">INT('Cohort Data'!E167/Assumptions!$B$11)</f>
        <v>1</v>
      </c>
    </row>
    <row r="168" customFormat="false" ht="15" hidden="false" customHeight="false" outlineLevel="0" collapsed="false">
      <c r="A168" s="2" t="s">
        <v>268</v>
      </c>
      <c r="B168" s="18" t="n">
        <f aca="false">IF('Cohort Data'!D168=Assumptions!$B$16,ROUND('Cohort Data'!L168*'Cohort Data'!J168*Assumptions!$F$4,Assumptions!$B$10),Assumptions!$B$13)</f>
        <v>65663.44</v>
      </c>
      <c r="C168" s="18" t="n">
        <f aca="false">IF('Cohort Data'!D168=Assumptions!$B$16,ROUND('Cohort Data'!E168*Assumptions!$B$6,Assumptions!$B$10),Assumptions!$B$13)</f>
        <v>6025</v>
      </c>
      <c r="D168" s="18" t="n">
        <f aca="false">SUM(B168:C168)</f>
        <v>71688.44</v>
      </c>
      <c r="E168" s="18" t="n">
        <f aca="false">ROUND(D168/Assumptions!$F$6,Assumptions!$B$10)</f>
        <v>69600.43</v>
      </c>
      <c r="F168" s="18" t="n">
        <f aca="false">ROUND(E168*Assumptions!$B$7,Assumptions!$B$10)</f>
        <v>2784.02</v>
      </c>
      <c r="G168" s="18" t="n">
        <f aca="false">SUM(E168:F168)</f>
        <v>72384.45</v>
      </c>
      <c r="H168" s="18" t="n">
        <f aca="false">ROUND(G168-'Cohort Data'!H168,Assumptions!$B$10)</f>
        <v>17118.33</v>
      </c>
      <c r="I168" s="18" t="n">
        <f aca="false">CEILING(G168,Assumptions!$B$12)</f>
        <v>72400</v>
      </c>
      <c r="J168" s="18" t="n">
        <f aca="false">FLOOR(G168,Assumptions!$B$12)</f>
        <v>72300</v>
      </c>
      <c r="K168" s="18" t="n">
        <f aca="false">ROUNDUP(G168,Assumptions!$B$10)</f>
        <v>72384.45</v>
      </c>
      <c r="L168" s="18" t="n">
        <f aca="false">ROUNDDOWN(G168,Assumptions!$B$10)</f>
        <v>72384.45</v>
      </c>
      <c r="M168" s="19" t="n">
        <f aca="false">INT('Cohort Data'!E168/Assumptions!$B$11)</f>
        <v>2</v>
      </c>
    </row>
    <row r="169" customFormat="false" ht="15" hidden="false" customHeight="false" outlineLevel="0" collapsed="false">
      <c r="A169" s="2" t="s">
        <v>269</v>
      </c>
      <c r="B169" s="18" t="n">
        <f aca="false">IF('Cohort Data'!D169=Assumptions!$B$16,ROUND('Cohort Data'!L169*'Cohort Data'!J169*Assumptions!$F$4,Assumptions!$B$10),Assumptions!$B$13)</f>
        <v>10620.4</v>
      </c>
      <c r="C169" s="18" t="n">
        <f aca="false">IF('Cohort Data'!D169=Assumptions!$B$16,ROUND('Cohort Data'!E169*Assumptions!$B$6,Assumptions!$B$10),Assumptions!$B$13)</f>
        <v>2200</v>
      </c>
      <c r="D169" s="18" t="n">
        <f aca="false">SUM(B169:C169)</f>
        <v>12820.4</v>
      </c>
      <c r="E169" s="18" t="n">
        <f aca="false">ROUND(D169/Assumptions!$F$6,Assumptions!$B$10)</f>
        <v>12446.99</v>
      </c>
      <c r="F169" s="18" t="n">
        <f aca="false">ROUND(E169*Assumptions!$B$7,Assumptions!$B$10)</f>
        <v>497.88</v>
      </c>
      <c r="G169" s="18" t="n">
        <f aca="false">SUM(E169:F169)</f>
        <v>12944.87</v>
      </c>
      <c r="H169" s="18" t="n">
        <f aca="false">ROUND(G169-'Cohort Data'!H169,Assumptions!$B$10)</f>
        <v>3247.27</v>
      </c>
      <c r="I169" s="18" t="n">
        <f aca="false">CEILING(G169,Assumptions!$B$12)</f>
        <v>13000</v>
      </c>
      <c r="J169" s="18" t="n">
        <f aca="false">FLOOR(G169,Assumptions!$B$12)</f>
        <v>12900</v>
      </c>
      <c r="K169" s="18" t="n">
        <f aca="false">ROUNDUP(G169,Assumptions!$B$10)</f>
        <v>12944.87</v>
      </c>
      <c r="L169" s="18" t="n">
        <f aca="false">ROUNDDOWN(G169,Assumptions!$B$10)</f>
        <v>12944.87</v>
      </c>
      <c r="M169" s="19" t="n">
        <f aca="false">INT('Cohort Data'!E169/Assumptions!$B$11)</f>
        <v>0</v>
      </c>
    </row>
    <row r="170" customFormat="false" ht="15" hidden="false" customHeight="false" outlineLevel="0" collapsed="false">
      <c r="A170" s="2" t="s">
        <v>270</v>
      </c>
      <c r="B170" s="18" t="n">
        <f aca="false">IF('Cohort Data'!D170=Assumptions!$B$16,ROUND('Cohort Data'!L170*'Cohort Data'!J170*Assumptions!$F$4,Assumptions!$B$10),Assumptions!$B$13)</f>
        <v>40579.42</v>
      </c>
      <c r="C170" s="18" t="n">
        <f aca="false">IF('Cohort Data'!D170=Assumptions!$B$16,ROUND('Cohort Data'!E170*Assumptions!$B$6,Assumptions!$B$10),Assumptions!$B$13)</f>
        <v>5175</v>
      </c>
      <c r="D170" s="18" t="n">
        <f aca="false">SUM(B170:C170)</f>
        <v>45754.42</v>
      </c>
      <c r="E170" s="18" t="n">
        <f aca="false">ROUND(D170/Assumptions!$F$6,Assumptions!$B$10)</f>
        <v>44421.77</v>
      </c>
      <c r="F170" s="18" t="n">
        <f aca="false">ROUND(E170*Assumptions!$B$7,Assumptions!$B$10)</f>
        <v>1776.87</v>
      </c>
      <c r="G170" s="18" t="n">
        <f aca="false">SUM(E170:F170)</f>
        <v>46198.64</v>
      </c>
      <c r="H170" s="18" t="n">
        <f aca="false">ROUND(G170-'Cohort Data'!H170,Assumptions!$B$10)</f>
        <v>11770.4</v>
      </c>
      <c r="I170" s="18" t="n">
        <f aca="false">CEILING(G170,Assumptions!$B$12)</f>
        <v>46200</v>
      </c>
      <c r="J170" s="18" t="n">
        <f aca="false">FLOOR(G170,Assumptions!$B$12)</f>
        <v>46100</v>
      </c>
      <c r="K170" s="18" t="n">
        <f aca="false">ROUNDUP(G170,Assumptions!$B$10)</f>
        <v>46198.64</v>
      </c>
      <c r="L170" s="18" t="n">
        <f aca="false">ROUNDDOWN(G170,Assumptions!$B$10)</f>
        <v>46198.64</v>
      </c>
      <c r="M170" s="19" t="n">
        <f aca="false">INT('Cohort Data'!E170/Assumptions!$B$11)</f>
        <v>2</v>
      </c>
    </row>
    <row r="171" customFormat="false" ht="15" hidden="false" customHeight="false" outlineLevel="0" collapsed="false">
      <c r="A171" s="2" t="s">
        <v>271</v>
      </c>
      <c r="B171" s="18" t="n">
        <f aca="false">IF('Cohort Data'!D171=Assumptions!$B$16,ROUND('Cohort Data'!L171*'Cohort Data'!J171*Assumptions!$F$4,Assumptions!$B$10),Assumptions!$B$13)</f>
        <v>43788.6</v>
      </c>
      <c r="C171" s="18" t="n">
        <f aca="false">IF('Cohort Data'!D171=Assumptions!$B$16,ROUND('Cohort Data'!E171*Assumptions!$B$6,Assumptions!$B$10),Assumptions!$B$13)</f>
        <v>3125</v>
      </c>
      <c r="D171" s="18" t="n">
        <f aca="false">SUM(B171:C171)</f>
        <v>46913.6</v>
      </c>
      <c r="E171" s="18" t="n">
        <f aca="false">ROUND(D171/Assumptions!$F$6,Assumptions!$B$10)</f>
        <v>45547.18</v>
      </c>
      <c r="F171" s="18" t="n">
        <f aca="false">ROUND(E171*Assumptions!$B$7,Assumptions!$B$10)</f>
        <v>1821.89</v>
      </c>
      <c r="G171" s="18" t="n">
        <f aca="false">SUM(E171:F171)</f>
        <v>47369.07</v>
      </c>
      <c r="H171" s="18" t="n">
        <f aca="false">ROUND(G171-'Cohort Data'!H171,Assumptions!$B$10)</f>
        <v>7679.07</v>
      </c>
      <c r="I171" s="18" t="n">
        <f aca="false">CEILING(G171,Assumptions!$B$12)</f>
        <v>47400</v>
      </c>
      <c r="J171" s="18" t="n">
        <f aca="false">FLOOR(G171,Assumptions!$B$12)</f>
        <v>47300</v>
      </c>
      <c r="K171" s="18" t="n">
        <f aca="false">ROUNDUP(G171,Assumptions!$B$10)</f>
        <v>47369.07</v>
      </c>
      <c r="L171" s="18" t="n">
        <f aca="false">ROUNDDOWN(G171,Assumptions!$B$10)</f>
        <v>47369.07</v>
      </c>
      <c r="M171" s="19" t="n">
        <f aca="false">INT('Cohort Data'!E171/Assumptions!$B$11)</f>
        <v>1</v>
      </c>
    </row>
    <row r="172" customFormat="false" ht="15" hidden="false" customHeight="false" outlineLevel="0" collapsed="false">
      <c r="A172" s="2" t="s">
        <v>272</v>
      </c>
      <c r="B172" s="18" t="n">
        <f aca="false">IF('Cohort Data'!D172=Assumptions!$B$16,ROUND('Cohort Data'!L172*'Cohort Data'!J172*Assumptions!$F$4,Assumptions!$B$10),Assumptions!$B$13)</f>
        <v>17523.67</v>
      </c>
      <c r="C172" s="18" t="n">
        <f aca="false">IF('Cohort Data'!D172=Assumptions!$B$16,ROUND('Cohort Data'!E172*Assumptions!$B$6,Assumptions!$B$10),Assumptions!$B$13)</f>
        <v>3025</v>
      </c>
      <c r="D172" s="18" t="n">
        <f aca="false">SUM(B172:C172)</f>
        <v>20548.67</v>
      </c>
      <c r="E172" s="18" t="n">
        <f aca="false">ROUND(D172/Assumptions!$F$6,Assumptions!$B$10)</f>
        <v>19950.17</v>
      </c>
      <c r="F172" s="18" t="n">
        <f aca="false">ROUND(E172*Assumptions!$B$7,Assumptions!$B$10)</f>
        <v>798.01</v>
      </c>
      <c r="G172" s="18" t="n">
        <f aca="false">SUM(E172:F172)</f>
        <v>20748.18</v>
      </c>
      <c r="H172" s="18" t="n">
        <f aca="false">ROUND(G172-'Cohort Data'!H172,Assumptions!$B$10)</f>
        <v>5589.3</v>
      </c>
      <c r="I172" s="18" t="n">
        <f aca="false">CEILING(G172,Assumptions!$B$12)</f>
        <v>20800</v>
      </c>
      <c r="J172" s="18" t="n">
        <f aca="false">FLOOR(G172,Assumptions!$B$12)</f>
        <v>20700</v>
      </c>
      <c r="K172" s="18" t="n">
        <f aca="false">ROUNDUP(G172,Assumptions!$B$10)</f>
        <v>20748.18</v>
      </c>
      <c r="L172" s="18" t="n">
        <f aca="false">ROUNDDOWN(G172,Assumptions!$B$10)</f>
        <v>20748.17</v>
      </c>
      <c r="M172" s="19" t="n">
        <f aca="false">INT('Cohort Data'!E172/Assumptions!$B$11)</f>
        <v>1</v>
      </c>
    </row>
    <row r="173" customFormat="false" ht="15" hidden="false" customHeight="false" outlineLevel="0" collapsed="false">
      <c r="A173" s="2" t="s">
        <v>273</v>
      </c>
      <c r="B173" s="18" t="n">
        <f aca="false">IF('Cohort Data'!D173=Assumptions!$B$16,ROUND('Cohort Data'!L173*'Cohort Data'!J173*Assumptions!$F$4,Assumptions!$B$10),Assumptions!$B$13)</f>
        <v>71518.08</v>
      </c>
      <c r="C173" s="18" t="n">
        <f aca="false">IF('Cohort Data'!D173=Assumptions!$B$16,ROUND('Cohort Data'!E173*Assumptions!$B$6,Assumptions!$B$10),Assumptions!$B$13)</f>
        <v>5675</v>
      </c>
      <c r="D173" s="18" t="n">
        <f aca="false">SUM(B173:C173)</f>
        <v>77193.08</v>
      </c>
      <c r="E173" s="18" t="n">
        <f aca="false">ROUND(D173/Assumptions!$F$6,Assumptions!$B$10)</f>
        <v>74944.74</v>
      </c>
      <c r="F173" s="18" t="n">
        <f aca="false">ROUND(E173*Assumptions!$B$7,Assumptions!$B$10)</f>
        <v>2997.79</v>
      </c>
      <c r="G173" s="18" t="n">
        <f aca="false">SUM(E173:F173)</f>
        <v>77942.53</v>
      </c>
      <c r="H173" s="18" t="n">
        <f aca="false">ROUND(G173-'Cohort Data'!H173,Assumptions!$B$10)</f>
        <v>14568.67</v>
      </c>
      <c r="I173" s="18" t="n">
        <f aca="false">CEILING(G173,Assumptions!$B$12)</f>
        <v>78000</v>
      </c>
      <c r="J173" s="18" t="n">
        <f aca="false">FLOOR(G173,Assumptions!$B$12)</f>
        <v>77900</v>
      </c>
      <c r="K173" s="18" t="n">
        <f aca="false">ROUNDUP(G173,Assumptions!$B$10)</f>
        <v>77942.53</v>
      </c>
      <c r="L173" s="18" t="n">
        <f aca="false">ROUNDDOWN(G173,Assumptions!$B$10)</f>
        <v>77942.53</v>
      </c>
      <c r="M173" s="19" t="n">
        <f aca="false">INT('Cohort Data'!E173/Assumptions!$B$11)</f>
        <v>2</v>
      </c>
    </row>
    <row r="174" customFormat="false" ht="15" hidden="false" customHeight="false" outlineLevel="0" collapsed="false">
      <c r="A174" s="2" t="s">
        <v>274</v>
      </c>
      <c r="B174" s="18" t="n">
        <f aca="false">IF('Cohort Data'!D174=Assumptions!$B$16,ROUND('Cohort Data'!L174*'Cohort Data'!J174*Assumptions!$F$4,Assumptions!$B$10),Assumptions!$B$13)</f>
        <v>0</v>
      </c>
      <c r="C174" s="18" t="n">
        <f aca="false">IF('Cohort Data'!D174=Assumptions!$B$16,ROUND('Cohort Data'!E174*Assumptions!$B$6,Assumptions!$B$10),Assumptions!$B$13)</f>
        <v>0</v>
      </c>
      <c r="D174" s="18" t="n">
        <f aca="false">SUM(B174:C174)</f>
        <v>0</v>
      </c>
      <c r="E174" s="18" t="n">
        <f aca="false">ROUND(D174/Assumptions!$F$6,Assumptions!$B$10)</f>
        <v>0</v>
      </c>
      <c r="F174" s="18" t="n">
        <f aca="false">ROUND(E174*Assumptions!$B$7,Assumptions!$B$10)</f>
        <v>0</v>
      </c>
      <c r="G174" s="18" t="n">
        <f aca="false">SUM(E174:F174)</f>
        <v>0</v>
      </c>
      <c r="H174" s="18" t="n">
        <f aca="false">ROUND(G174-'Cohort Data'!H174,Assumptions!$B$10)</f>
        <v>-33330.53</v>
      </c>
      <c r="I174" s="18" t="n">
        <f aca="false">CEILING(G174,Assumptions!$B$12)</f>
        <v>0</v>
      </c>
      <c r="J174" s="18" t="n">
        <f aca="false">FLOOR(G174,Assumptions!$B$12)</f>
        <v>0</v>
      </c>
      <c r="K174" s="18" t="n">
        <f aca="false">ROUNDUP(G174,Assumptions!$B$10)</f>
        <v>0</v>
      </c>
      <c r="L174" s="18" t="n">
        <f aca="false">ROUNDDOWN(G174,Assumptions!$B$10)</f>
        <v>0</v>
      </c>
      <c r="M174" s="19" t="n">
        <f aca="false">INT('Cohort Data'!E174/Assumptions!$B$11)</f>
        <v>1</v>
      </c>
    </row>
    <row r="175" customFormat="false" ht="15" hidden="false" customHeight="false" outlineLevel="0" collapsed="false">
      <c r="A175" s="2" t="s">
        <v>275</v>
      </c>
      <c r="B175" s="18" t="n">
        <f aca="false">IF('Cohort Data'!D175=Assumptions!$B$16,ROUND('Cohort Data'!L175*'Cohort Data'!J175*Assumptions!$F$4,Assumptions!$B$10),Assumptions!$B$13)</f>
        <v>33249.1</v>
      </c>
      <c r="C175" s="18" t="n">
        <f aca="false">IF('Cohort Data'!D175=Assumptions!$B$16,ROUND('Cohort Data'!E175*Assumptions!$B$6,Assumptions!$B$10),Assumptions!$B$13)</f>
        <v>3625</v>
      </c>
      <c r="D175" s="18" t="n">
        <f aca="false">SUM(B175:C175)</f>
        <v>36874.1</v>
      </c>
      <c r="E175" s="18" t="n">
        <f aca="false">ROUND(D175/Assumptions!$F$6,Assumptions!$B$10)</f>
        <v>35800.1</v>
      </c>
      <c r="F175" s="18" t="n">
        <f aca="false">ROUND(E175*Assumptions!$B$7,Assumptions!$B$10)</f>
        <v>1432</v>
      </c>
      <c r="G175" s="18" t="n">
        <f aca="false">SUM(E175:F175)</f>
        <v>37232.1</v>
      </c>
      <c r="H175" s="18" t="n">
        <f aca="false">ROUND(G175-'Cohort Data'!H175,Assumptions!$B$10)</f>
        <v>7830.74</v>
      </c>
      <c r="I175" s="18" t="n">
        <f aca="false">CEILING(G175,Assumptions!$B$12)</f>
        <v>37300</v>
      </c>
      <c r="J175" s="18" t="n">
        <f aca="false">FLOOR(G175,Assumptions!$B$12)</f>
        <v>37200</v>
      </c>
      <c r="K175" s="18" t="n">
        <f aca="false">ROUNDUP(G175,Assumptions!$B$10)</f>
        <v>37232.1</v>
      </c>
      <c r="L175" s="18" t="n">
        <f aca="false">ROUNDDOWN(G175,Assumptions!$B$10)</f>
        <v>37232.1</v>
      </c>
      <c r="M175" s="19" t="n">
        <f aca="false">INT('Cohort Data'!E175/Assumptions!$B$11)</f>
        <v>1</v>
      </c>
    </row>
    <row r="176" customFormat="false" ht="15" hidden="false" customHeight="false" outlineLevel="0" collapsed="false">
      <c r="A176" s="2" t="s">
        <v>276</v>
      </c>
      <c r="B176" s="18" t="n">
        <f aca="false">IF('Cohort Data'!D176=Assumptions!$B$16,ROUND('Cohort Data'!L176*'Cohort Data'!J176*Assumptions!$F$4,Assumptions!$B$10),Assumptions!$B$13)</f>
        <v>58264.65</v>
      </c>
      <c r="C176" s="18" t="n">
        <f aca="false">IF('Cohort Data'!D176=Assumptions!$B$16,ROUND('Cohort Data'!E176*Assumptions!$B$6,Assumptions!$B$10),Assumptions!$B$13)</f>
        <v>5475</v>
      </c>
      <c r="D176" s="18" t="n">
        <f aca="false">SUM(B176:C176)</f>
        <v>63739.65</v>
      </c>
      <c r="E176" s="18" t="n">
        <f aca="false">ROUND(D176/Assumptions!$F$6,Assumptions!$B$10)</f>
        <v>61883.16</v>
      </c>
      <c r="F176" s="18" t="n">
        <f aca="false">ROUND(E176*Assumptions!$B$7,Assumptions!$B$10)</f>
        <v>2475.33</v>
      </c>
      <c r="G176" s="18" t="n">
        <f aca="false">SUM(E176:F176)</f>
        <v>64358.49</v>
      </c>
      <c r="H176" s="18" t="n">
        <f aca="false">ROUND(G176-'Cohort Data'!H176,Assumptions!$B$10)</f>
        <v>13827.31</v>
      </c>
      <c r="I176" s="18" t="n">
        <f aca="false">CEILING(G176,Assumptions!$B$12)</f>
        <v>64400</v>
      </c>
      <c r="J176" s="18" t="n">
        <f aca="false">FLOOR(G176,Assumptions!$B$12)</f>
        <v>64300</v>
      </c>
      <c r="K176" s="18" t="n">
        <f aca="false">ROUNDUP(G176,Assumptions!$B$10)</f>
        <v>64358.5</v>
      </c>
      <c r="L176" s="18" t="n">
        <f aca="false">ROUNDDOWN(G176,Assumptions!$B$10)</f>
        <v>64358.49</v>
      </c>
      <c r="M176" s="19" t="n">
        <f aca="false">INT('Cohort Data'!E176/Assumptions!$B$11)</f>
        <v>2</v>
      </c>
    </row>
    <row r="177" customFormat="false" ht="15" hidden="false" customHeight="false" outlineLevel="0" collapsed="false">
      <c r="A177" s="2" t="s">
        <v>277</v>
      </c>
      <c r="B177" s="18" t="n">
        <f aca="false">IF('Cohort Data'!D177=Assumptions!$B$16,ROUND('Cohort Data'!L177*'Cohort Data'!J177*Assumptions!$F$4,Assumptions!$B$10),Assumptions!$B$13)</f>
        <v>25845</v>
      </c>
      <c r="C177" s="18" t="n">
        <f aca="false">IF('Cohort Data'!D177=Assumptions!$B$16,ROUND('Cohort Data'!E177*Assumptions!$B$6,Assumptions!$B$10),Assumptions!$B$13)</f>
        <v>4150</v>
      </c>
      <c r="D177" s="18" t="n">
        <f aca="false">SUM(B177:C177)</f>
        <v>29995</v>
      </c>
      <c r="E177" s="18" t="n">
        <f aca="false">ROUND(D177/Assumptions!$F$6,Assumptions!$B$10)</f>
        <v>29121.36</v>
      </c>
      <c r="F177" s="18" t="n">
        <f aca="false">ROUND(E177*Assumptions!$B$7,Assumptions!$B$10)</f>
        <v>1164.85</v>
      </c>
      <c r="G177" s="18" t="n">
        <f aca="false">SUM(E177:F177)</f>
        <v>30286.21</v>
      </c>
      <c r="H177" s="18" t="n">
        <f aca="false">ROUND(G177-'Cohort Data'!H177,Assumptions!$B$10)</f>
        <v>8533.57</v>
      </c>
      <c r="I177" s="18" t="n">
        <f aca="false">CEILING(G177,Assumptions!$B$12)</f>
        <v>30300</v>
      </c>
      <c r="J177" s="18" t="n">
        <f aca="false">FLOOR(G177,Assumptions!$B$12)</f>
        <v>30200</v>
      </c>
      <c r="K177" s="18" t="n">
        <f aca="false">ROUNDUP(G177,Assumptions!$B$10)</f>
        <v>30286.21</v>
      </c>
      <c r="L177" s="18" t="n">
        <f aca="false">ROUNDDOWN(G177,Assumptions!$B$10)</f>
        <v>30286.21</v>
      </c>
      <c r="M177" s="19" t="n">
        <f aca="false">INT('Cohort Data'!E177/Assumptions!$B$11)</f>
        <v>1</v>
      </c>
    </row>
    <row r="178" customFormat="false" ht="15" hidden="false" customHeight="false" outlineLevel="0" collapsed="false">
      <c r="A178" s="2" t="s">
        <v>278</v>
      </c>
      <c r="B178" s="18" t="n">
        <f aca="false">IF('Cohort Data'!D178=Assumptions!$B$16,ROUND('Cohort Data'!L178*'Cohort Data'!J178*Assumptions!$F$4,Assumptions!$B$10),Assumptions!$B$13)</f>
        <v>11241.94</v>
      </c>
      <c r="C178" s="18" t="n">
        <f aca="false">IF('Cohort Data'!D178=Assumptions!$B$16,ROUND('Cohort Data'!E178*Assumptions!$B$6,Assumptions!$B$10),Assumptions!$B$13)</f>
        <v>1725</v>
      </c>
      <c r="D178" s="18" t="n">
        <f aca="false">SUM(B178:C178)</f>
        <v>12966.94</v>
      </c>
      <c r="E178" s="18" t="n">
        <f aca="false">ROUND(D178/Assumptions!$F$6,Assumptions!$B$10)</f>
        <v>12589.26</v>
      </c>
      <c r="F178" s="18" t="n">
        <f aca="false">ROUND(E178*Assumptions!$B$7,Assumptions!$B$10)</f>
        <v>503.57</v>
      </c>
      <c r="G178" s="18" t="n">
        <f aca="false">SUM(E178:F178)</f>
        <v>13092.83</v>
      </c>
      <c r="H178" s="18" t="n">
        <f aca="false">ROUND(G178-'Cohort Data'!H178,Assumptions!$B$10)</f>
        <v>3259.92</v>
      </c>
      <c r="I178" s="18" t="n">
        <f aca="false">CEILING(G178,Assumptions!$B$12)</f>
        <v>13100</v>
      </c>
      <c r="J178" s="18" t="n">
        <f aca="false">FLOOR(G178,Assumptions!$B$12)</f>
        <v>13000</v>
      </c>
      <c r="K178" s="18" t="n">
        <f aca="false">ROUNDUP(G178,Assumptions!$B$10)</f>
        <v>13092.83</v>
      </c>
      <c r="L178" s="18" t="n">
        <f aca="false">ROUNDDOWN(G178,Assumptions!$B$10)</f>
        <v>13092.83</v>
      </c>
      <c r="M178" s="19" t="n">
        <f aca="false">INT('Cohort Data'!E178/Assumptions!$B$11)</f>
        <v>0</v>
      </c>
    </row>
    <row r="179" customFormat="false" ht="15" hidden="false" customHeight="false" outlineLevel="0" collapsed="false">
      <c r="A179" s="2" t="s">
        <v>279</v>
      </c>
      <c r="B179" s="18" t="n">
        <f aca="false">IF('Cohort Data'!D179=Assumptions!$B$16,ROUND('Cohort Data'!L179*'Cohort Data'!J179*Assumptions!$F$4,Assumptions!$B$10),Assumptions!$B$13)</f>
        <v>17643.23</v>
      </c>
      <c r="C179" s="18" t="n">
        <f aca="false">IF('Cohort Data'!D179=Assumptions!$B$16,ROUND('Cohort Data'!E179*Assumptions!$B$6,Assumptions!$B$10),Assumptions!$B$13)</f>
        <v>1800</v>
      </c>
      <c r="D179" s="18" t="n">
        <f aca="false">SUM(B179:C179)</f>
        <v>19443.23</v>
      </c>
      <c r="E179" s="18" t="n">
        <f aca="false">ROUND(D179/Assumptions!$F$6,Assumptions!$B$10)</f>
        <v>18876.92</v>
      </c>
      <c r="F179" s="18" t="n">
        <f aca="false">ROUND(E179*Assumptions!$B$7,Assumptions!$B$10)</f>
        <v>755.08</v>
      </c>
      <c r="G179" s="18" t="n">
        <f aca="false">SUM(E179:F179)</f>
        <v>19632</v>
      </c>
      <c r="H179" s="18" t="n">
        <f aca="false">ROUND(G179-'Cohort Data'!H179,Assumptions!$B$10)</f>
        <v>4663.2</v>
      </c>
      <c r="I179" s="18" t="n">
        <f aca="false">CEILING(G179,Assumptions!$B$12)</f>
        <v>19700</v>
      </c>
      <c r="J179" s="18" t="n">
        <f aca="false">FLOOR(G179,Assumptions!$B$12)</f>
        <v>19600</v>
      </c>
      <c r="K179" s="18" t="n">
        <f aca="false">ROUNDUP(G179,Assumptions!$B$10)</f>
        <v>19632</v>
      </c>
      <c r="L179" s="18" t="n">
        <f aca="false">ROUNDDOWN(G179,Assumptions!$B$10)</f>
        <v>19632</v>
      </c>
      <c r="M179" s="19" t="n">
        <f aca="false">INT('Cohort Data'!E179/Assumptions!$B$11)</f>
        <v>0</v>
      </c>
    </row>
    <row r="180" customFormat="false" ht="15" hidden="false" customHeight="false" outlineLevel="0" collapsed="false">
      <c r="A180" s="2" t="s">
        <v>280</v>
      </c>
      <c r="B180" s="18" t="n">
        <f aca="false">IF('Cohort Data'!D180=Assumptions!$B$16,ROUND('Cohort Data'!L180*'Cohort Data'!J180*Assumptions!$F$4,Assumptions!$B$10),Assumptions!$B$13)</f>
        <v>33785.34</v>
      </c>
      <c r="C180" s="18" t="n">
        <f aca="false">IF('Cohort Data'!D180=Assumptions!$B$16,ROUND('Cohort Data'!E180*Assumptions!$B$6,Assumptions!$B$10),Assumptions!$B$13)</f>
        <v>3875</v>
      </c>
      <c r="D180" s="18" t="n">
        <f aca="false">SUM(B180:C180)</f>
        <v>37660.34</v>
      </c>
      <c r="E180" s="18" t="n">
        <f aca="false">ROUND(D180/Assumptions!$F$6,Assumptions!$B$10)</f>
        <v>36563.44</v>
      </c>
      <c r="F180" s="18" t="n">
        <f aca="false">ROUND(E180*Assumptions!$B$7,Assumptions!$B$10)</f>
        <v>1462.54</v>
      </c>
      <c r="G180" s="18" t="n">
        <f aca="false">SUM(E180:F180)</f>
        <v>38025.98</v>
      </c>
      <c r="H180" s="18" t="n">
        <f aca="false">ROUND(G180-'Cohort Data'!H180,Assumptions!$B$10)</f>
        <v>9590.3</v>
      </c>
      <c r="I180" s="18" t="n">
        <f aca="false">CEILING(G180,Assumptions!$B$12)</f>
        <v>38100</v>
      </c>
      <c r="J180" s="18" t="n">
        <f aca="false">FLOOR(G180,Assumptions!$B$12)</f>
        <v>38000</v>
      </c>
      <c r="K180" s="18" t="n">
        <f aca="false">ROUNDUP(G180,Assumptions!$B$10)</f>
        <v>38025.98</v>
      </c>
      <c r="L180" s="18" t="n">
        <f aca="false">ROUNDDOWN(G180,Assumptions!$B$10)</f>
        <v>38025.98</v>
      </c>
      <c r="M180" s="19" t="n">
        <f aca="false">INT('Cohort Data'!E180/Assumptions!$B$11)</f>
        <v>1</v>
      </c>
    </row>
    <row r="181" customFormat="false" ht="15" hidden="false" customHeight="false" outlineLevel="0" collapsed="false">
      <c r="A181" s="2" t="s">
        <v>281</v>
      </c>
      <c r="B181" s="18" t="n">
        <f aca="false">IF('Cohort Data'!D181=Assumptions!$B$16,ROUND('Cohort Data'!L181*'Cohort Data'!J181*Assumptions!$F$4,Assumptions!$B$10),Assumptions!$B$13)</f>
        <v>41359.23</v>
      </c>
      <c r="C181" s="18" t="n">
        <f aca="false">IF('Cohort Data'!D181=Assumptions!$B$16,ROUND('Cohort Data'!E181*Assumptions!$B$6,Assumptions!$B$10),Assumptions!$B$13)</f>
        <v>3725</v>
      </c>
      <c r="D181" s="18" t="n">
        <f aca="false">SUM(B181:C181)</f>
        <v>45084.23</v>
      </c>
      <c r="E181" s="18" t="n">
        <f aca="false">ROUND(D181/Assumptions!$F$6,Assumptions!$B$10)</f>
        <v>43771.1</v>
      </c>
      <c r="F181" s="18" t="n">
        <f aca="false">ROUND(E181*Assumptions!$B$7,Assumptions!$B$10)</f>
        <v>1750.84</v>
      </c>
      <c r="G181" s="18" t="n">
        <f aca="false">SUM(E181:F181)</f>
        <v>45521.94</v>
      </c>
      <c r="H181" s="18" t="n">
        <f aca="false">ROUND(G181-'Cohort Data'!H181,Assumptions!$B$10)</f>
        <v>9346.53</v>
      </c>
      <c r="I181" s="18" t="n">
        <f aca="false">CEILING(G181,Assumptions!$B$12)</f>
        <v>45600</v>
      </c>
      <c r="J181" s="18" t="n">
        <f aca="false">FLOOR(G181,Assumptions!$B$12)</f>
        <v>45500</v>
      </c>
      <c r="K181" s="18" t="n">
        <f aca="false">ROUNDUP(G181,Assumptions!$B$10)</f>
        <v>45521.94</v>
      </c>
      <c r="L181" s="18" t="n">
        <f aca="false">ROUNDDOWN(G181,Assumptions!$B$10)</f>
        <v>45521.93</v>
      </c>
      <c r="M181" s="19" t="n">
        <f aca="false">INT('Cohort Data'!E181/Assumptions!$B$11)</f>
        <v>1</v>
      </c>
    </row>
    <row r="182" customFormat="false" ht="15" hidden="false" customHeight="false" outlineLevel="0" collapsed="false">
      <c r="A182" s="2" t="s">
        <v>282</v>
      </c>
      <c r="B182" s="18" t="n">
        <f aca="false">IF('Cohort Data'!D182=Assumptions!$B$16,ROUND('Cohort Data'!L182*'Cohort Data'!J182*Assumptions!$F$4,Assumptions!$B$10),Assumptions!$B$13)</f>
        <v>31008.67</v>
      </c>
      <c r="C182" s="18" t="n">
        <f aca="false">IF('Cohort Data'!D182=Assumptions!$B$16,ROUND('Cohort Data'!E182*Assumptions!$B$6,Assumptions!$B$10),Assumptions!$B$13)</f>
        <v>2575</v>
      </c>
      <c r="D182" s="18" t="n">
        <f aca="false">SUM(B182:C182)</f>
        <v>33583.67</v>
      </c>
      <c r="E182" s="18" t="n">
        <f aca="false">ROUND(D182/Assumptions!$F$6,Assumptions!$B$10)</f>
        <v>32605.5</v>
      </c>
      <c r="F182" s="18" t="n">
        <f aca="false">ROUND(E182*Assumptions!$B$7,Assumptions!$B$10)</f>
        <v>1304.22</v>
      </c>
      <c r="G182" s="18" t="n">
        <f aca="false">SUM(E182:F182)</f>
        <v>33909.72</v>
      </c>
      <c r="H182" s="18" t="n">
        <f aca="false">ROUND(G182-'Cohort Data'!H182,Assumptions!$B$10)</f>
        <v>5262.95</v>
      </c>
      <c r="I182" s="18" t="n">
        <f aca="false">CEILING(G182,Assumptions!$B$12)</f>
        <v>34000</v>
      </c>
      <c r="J182" s="18" t="n">
        <f aca="false">FLOOR(G182,Assumptions!$B$12)</f>
        <v>33900</v>
      </c>
      <c r="K182" s="18" t="n">
        <f aca="false">ROUNDUP(G182,Assumptions!$B$10)</f>
        <v>33909.72</v>
      </c>
      <c r="L182" s="18" t="n">
        <f aca="false">ROUNDDOWN(G182,Assumptions!$B$10)</f>
        <v>33909.72</v>
      </c>
      <c r="M182" s="19" t="n">
        <f aca="false">INT('Cohort Data'!E182/Assumptions!$B$11)</f>
        <v>1</v>
      </c>
    </row>
    <row r="183" customFormat="false" ht="15" hidden="false" customHeight="false" outlineLevel="0" collapsed="false">
      <c r="A183" s="2" t="s">
        <v>283</v>
      </c>
      <c r="B183" s="18" t="n">
        <f aca="false">IF('Cohort Data'!D183=Assumptions!$B$16,ROUND('Cohort Data'!L183*'Cohort Data'!J183*Assumptions!$F$4,Assumptions!$B$10),Assumptions!$B$13)</f>
        <v>65967.04</v>
      </c>
      <c r="C183" s="18" t="n">
        <f aca="false">IF('Cohort Data'!D183=Assumptions!$B$16,ROUND('Cohort Data'!E183*Assumptions!$B$6,Assumptions!$B$10),Assumptions!$B$13)</f>
        <v>5575</v>
      </c>
      <c r="D183" s="18" t="n">
        <f aca="false">SUM(B183:C183)</f>
        <v>71542.04</v>
      </c>
      <c r="E183" s="18" t="n">
        <f aca="false">ROUND(D183/Assumptions!$F$6,Assumptions!$B$10)</f>
        <v>69458.29</v>
      </c>
      <c r="F183" s="18" t="n">
        <f aca="false">ROUND(E183*Assumptions!$B$7,Assumptions!$B$10)</f>
        <v>2778.33</v>
      </c>
      <c r="G183" s="18" t="n">
        <f aca="false">SUM(E183:F183)</f>
        <v>72236.62</v>
      </c>
      <c r="H183" s="18" t="n">
        <f aca="false">ROUND(G183-'Cohort Data'!H183,Assumptions!$B$10)</f>
        <v>15494.72</v>
      </c>
      <c r="I183" s="18" t="n">
        <f aca="false">CEILING(G183,Assumptions!$B$12)</f>
        <v>72300</v>
      </c>
      <c r="J183" s="18" t="n">
        <f aca="false">FLOOR(G183,Assumptions!$B$12)</f>
        <v>72200</v>
      </c>
      <c r="K183" s="18" t="n">
        <f aca="false">ROUNDUP(G183,Assumptions!$B$10)</f>
        <v>72236.62</v>
      </c>
      <c r="L183" s="18" t="n">
        <f aca="false">ROUNDDOWN(G183,Assumptions!$B$10)</f>
        <v>72236.62</v>
      </c>
      <c r="M183" s="19" t="n">
        <f aca="false">INT('Cohort Data'!E183/Assumptions!$B$11)</f>
        <v>2</v>
      </c>
    </row>
    <row r="184" customFormat="false" ht="15" hidden="false" customHeight="false" outlineLevel="0" collapsed="false">
      <c r="A184" s="2" t="s">
        <v>284</v>
      </c>
      <c r="B184" s="18" t="n">
        <f aca="false">IF('Cohort Data'!D184=Assumptions!$B$16,ROUND('Cohort Data'!L184*'Cohort Data'!J184*Assumptions!$F$4,Assumptions!$B$10),Assumptions!$B$13)</f>
        <v>46765.98</v>
      </c>
      <c r="C184" s="18" t="n">
        <f aca="false">IF('Cohort Data'!D184=Assumptions!$B$16,ROUND('Cohort Data'!E184*Assumptions!$B$6,Assumptions!$B$10),Assumptions!$B$13)</f>
        <v>6250</v>
      </c>
      <c r="D184" s="18" t="n">
        <f aca="false">SUM(B184:C184)</f>
        <v>53015.98</v>
      </c>
      <c r="E184" s="18" t="n">
        <f aca="false">ROUND(D184/Assumptions!$F$6,Assumptions!$B$10)</f>
        <v>51471.83</v>
      </c>
      <c r="F184" s="18" t="n">
        <f aca="false">ROUND(E184*Assumptions!$B$7,Assumptions!$B$10)</f>
        <v>2058.87</v>
      </c>
      <c r="G184" s="18" t="n">
        <f aca="false">SUM(E184:F184)</f>
        <v>53530.7</v>
      </c>
      <c r="H184" s="18" t="n">
        <f aca="false">ROUND(G184-'Cohort Data'!H184,Assumptions!$B$10)</f>
        <v>10378.7</v>
      </c>
      <c r="I184" s="18" t="n">
        <f aca="false">CEILING(G184,Assumptions!$B$12)</f>
        <v>53600</v>
      </c>
      <c r="J184" s="18" t="n">
        <f aca="false">FLOOR(G184,Assumptions!$B$12)</f>
        <v>53500</v>
      </c>
      <c r="K184" s="18" t="n">
        <f aca="false">ROUNDUP(G184,Assumptions!$B$10)</f>
        <v>53530.7</v>
      </c>
      <c r="L184" s="18" t="n">
        <f aca="false">ROUNDDOWN(G184,Assumptions!$B$10)</f>
        <v>53530.7</v>
      </c>
      <c r="M184" s="19" t="n">
        <f aca="false">INT('Cohort Data'!E184/Assumptions!$B$11)</f>
        <v>2</v>
      </c>
    </row>
    <row r="185" customFormat="false" ht="15" hidden="false" customHeight="false" outlineLevel="0" collapsed="false">
      <c r="A185" s="2" t="s">
        <v>285</v>
      </c>
      <c r="B185" s="18" t="n">
        <f aca="false">IF('Cohort Data'!D185=Assumptions!$B$16,ROUND('Cohort Data'!L185*'Cohort Data'!J185*Assumptions!$F$4,Assumptions!$B$10),Assumptions!$B$13)</f>
        <v>33081.05</v>
      </c>
      <c r="C185" s="18" t="n">
        <f aca="false">IF('Cohort Data'!D185=Assumptions!$B$16,ROUND('Cohort Data'!E185*Assumptions!$B$6,Assumptions!$B$10),Assumptions!$B$13)</f>
        <v>5625</v>
      </c>
      <c r="D185" s="18" t="n">
        <f aca="false">SUM(B185:C185)</f>
        <v>38706.05</v>
      </c>
      <c r="E185" s="18" t="n">
        <f aca="false">ROUND(D185/Assumptions!$F$6,Assumptions!$B$10)</f>
        <v>37578.69</v>
      </c>
      <c r="F185" s="18" t="n">
        <f aca="false">ROUND(E185*Assumptions!$B$7,Assumptions!$B$10)</f>
        <v>1503.15</v>
      </c>
      <c r="G185" s="18" t="n">
        <f aca="false">SUM(E185:F185)</f>
        <v>39081.84</v>
      </c>
      <c r="H185" s="18" t="n">
        <f aca="false">ROUND(G185-'Cohort Data'!H185,Assumptions!$B$10)</f>
        <v>8208.69</v>
      </c>
      <c r="I185" s="18" t="n">
        <f aca="false">CEILING(G185,Assumptions!$B$12)</f>
        <v>39100</v>
      </c>
      <c r="J185" s="18" t="n">
        <f aca="false">FLOOR(G185,Assumptions!$B$12)</f>
        <v>39000</v>
      </c>
      <c r="K185" s="18" t="n">
        <f aca="false">ROUNDUP(G185,Assumptions!$B$10)</f>
        <v>39081.85</v>
      </c>
      <c r="L185" s="18" t="n">
        <f aca="false">ROUNDDOWN(G185,Assumptions!$B$10)</f>
        <v>39081.84</v>
      </c>
      <c r="M185" s="19" t="n">
        <f aca="false">INT('Cohort Data'!E185/Assumptions!$B$11)</f>
        <v>2</v>
      </c>
    </row>
    <row r="186" customFormat="false" ht="15" hidden="false" customHeight="false" outlineLevel="0" collapsed="false">
      <c r="A186" s="2" t="s">
        <v>286</v>
      </c>
      <c r="B186" s="18" t="n">
        <f aca="false">IF('Cohort Data'!D186=Assumptions!$B$16,ROUND('Cohort Data'!L186*'Cohort Data'!J186*Assumptions!$F$4,Assumptions!$B$10),Assumptions!$B$13)</f>
        <v>55263.16</v>
      </c>
      <c r="C186" s="18" t="n">
        <f aca="false">IF('Cohort Data'!D186=Assumptions!$B$16,ROUND('Cohort Data'!E186*Assumptions!$B$6,Assumptions!$B$10),Assumptions!$B$13)</f>
        <v>5725</v>
      </c>
      <c r="D186" s="18" t="n">
        <f aca="false">SUM(B186:C186)</f>
        <v>60988.16</v>
      </c>
      <c r="E186" s="18" t="n">
        <f aca="false">ROUND(D186/Assumptions!$F$6,Assumptions!$B$10)</f>
        <v>59211.81</v>
      </c>
      <c r="F186" s="18" t="n">
        <f aca="false">ROUND(E186*Assumptions!$B$7,Assumptions!$B$10)</f>
        <v>2368.47</v>
      </c>
      <c r="G186" s="18" t="n">
        <f aca="false">SUM(E186:F186)</f>
        <v>61580.28</v>
      </c>
      <c r="H186" s="18" t="n">
        <f aca="false">ROUND(G186-'Cohort Data'!H186,Assumptions!$B$10)</f>
        <v>13023.12</v>
      </c>
      <c r="I186" s="18" t="n">
        <f aca="false">CEILING(G186,Assumptions!$B$12)</f>
        <v>61600</v>
      </c>
      <c r="J186" s="18" t="n">
        <f aca="false">FLOOR(G186,Assumptions!$B$12)</f>
        <v>61500</v>
      </c>
      <c r="K186" s="18" t="n">
        <f aca="false">ROUNDUP(G186,Assumptions!$B$10)</f>
        <v>61580.28</v>
      </c>
      <c r="L186" s="18" t="n">
        <f aca="false">ROUNDDOWN(G186,Assumptions!$B$10)</f>
        <v>61580.28</v>
      </c>
      <c r="M186" s="19" t="n">
        <f aca="false">INT('Cohort Data'!E186/Assumptions!$B$11)</f>
        <v>2</v>
      </c>
    </row>
    <row r="187" customFormat="false" ht="15" hidden="false" customHeight="false" outlineLevel="0" collapsed="false">
      <c r="A187" s="2" t="s">
        <v>287</v>
      </c>
      <c r="B187" s="18" t="n">
        <f aca="false">IF('Cohort Data'!D187=Assumptions!$B$16,ROUND('Cohort Data'!L187*'Cohort Data'!J187*Assumptions!$F$4,Assumptions!$B$10),Assumptions!$B$13)</f>
        <v>36495.57</v>
      </c>
      <c r="C187" s="18" t="n">
        <f aca="false">IF('Cohort Data'!D187=Assumptions!$B$16,ROUND('Cohort Data'!E187*Assumptions!$B$6,Assumptions!$B$10),Assumptions!$B$13)</f>
        <v>5600</v>
      </c>
      <c r="D187" s="18" t="n">
        <f aca="false">SUM(B187:C187)</f>
        <v>42095.57</v>
      </c>
      <c r="E187" s="18" t="n">
        <f aca="false">ROUND(D187/Assumptions!$F$6,Assumptions!$B$10)</f>
        <v>40869.49</v>
      </c>
      <c r="F187" s="18" t="n">
        <f aca="false">ROUND(E187*Assumptions!$B$7,Assumptions!$B$10)</f>
        <v>1634.78</v>
      </c>
      <c r="G187" s="18" t="n">
        <f aca="false">SUM(E187:F187)</f>
        <v>42504.27</v>
      </c>
      <c r="H187" s="18" t="n">
        <f aca="false">ROUND(G187-'Cohort Data'!H187,Assumptions!$B$10)</f>
        <v>7776.65</v>
      </c>
      <c r="I187" s="18" t="n">
        <f aca="false">CEILING(G187,Assumptions!$B$12)</f>
        <v>42600</v>
      </c>
      <c r="J187" s="18" t="n">
        <f aca="false">FLOOR(G187,Assumptions!$B$12)</f>
        <v>42500</v>
      </c>
      <c r="K187" s="18" t="n">
        <f aca="false">ROUNDUP(G187,Assumptions!$B$10)</f>
        <v>42504.27</v>
      </c>
      <c r="L187" s="18" t="n">
        <f aca="false">ROUNDDOWN(G187,Assumptions!$B$10)</f>
        <v>42504.27</v>
      </c>
      <c r="M187" s="19" t="n">
        <f aca="false">INT('Cohort Data'!E187/Assumptions!$B$11)</f>
        <v>2</v>
      </c>
    </row>
    <row r="188" customFormat="false" ht="15" hidden="false" customHeight="false" outlineLevel="0" collapsed="false">
      <c r="A188" s="2" t="s">
        <v>288</v>
      </c>
      <c r="B188" s="18" t="n">
        <f aca="false">IF('Cohort Data'!D188=Assumptions!$B$16,ROUND('Cohort Data'!L188*'Cohort Data'!J188*Assumptions!$F$4,Assumptions!$B$10),Assumptions!$B$13)</f>
        <v>34656.34</v>
      </c>
      <c r="C188" s="18" t="n">
        <f aca="false">IF('Cohort Data'!D188=Assumptions!$B$16,ROUND('Cohort Data'!E188*Assumptions!$B$6,Assumptions!$B$10),Assumptions!$B$13)</f>
        <v>4950</v>
      </c>
      <c r="D188" s="18" t="n">
        <f aca="false">SUM(B188:C188)</f>
        <v>39606.34</v>
      </c>
      <c r="E188" s="18" t="n">
        <f aca="false">ROUND(D188/Assumptions!$F$6,Assumptions!$B$10)</f>
        <v>38452.76</v>
      </c>
      <c r="F188" s="18" t="n">
        <f aca="false">ROUND(E188*Assumptions!$B$7,Assumptions!$B$10)</f>
        <v>1538.11</v>
      </c>
      <c r="G188" s="18" t="n">
        <f aca="false">SUM(E188:F188)</f>
        <v>39990.87</v>
      </c>
      <c r="H188" s="18" t="n">
        <f aca="false">ROUND(G188-'Cohort Data'!H188,Assumptions!$B$10)</f>
        <v>9281.07</v>
      </c>
      <c r="I188" s="18" t="n">
        <f aca="false">CEILING(G188,Assumptions!$B$12)</f>
        <v>40000</v>
      </c>
      <c r="J188" s="18" t="n">
        <f aca="false">FLOOR(G188,Assumptions!$B$12)</f>
        <v>39900</v>
      </c>
      <c r="K188" s="18" t="n">
        <f aca="false">ROUNDUP(G188,Assumptions!$B$10)</f>
        <v>39990.87</v>
      </c>
      <c r="L188" s="18" t="n">
        <f aca="false">ROUNDDOWN(G188,Assumptions!$B$10)</f>
        <v>39990.87</v>
      </c>
      <c r="M188" s="19" t="n">
        <f aca="false">INT('Cohort Data'!E188/Assumptions!$B$11)</f>
        <v>1</v>
      </c>
    </row>
    <row r="189" customFormat="false" ht="15" hidden="false" customHeight="false" outlineLevel="0" collapsed="false">
      <c r="A189" s="2" t="s">
        <v>289</v>
      </c>
      <c r="B189" s="18" t="n">
        <f aca="false">IF('Cohort Data'!D189=Assumptions!$B$16,ROUND('Cohort Data'!L189*'Cohort Data'!J189*Assumptions!$F$4,Assumptions!$B$10),Assumptions!$B$13)</f>
        <v>28102.55</v>
      </c>
      <c r="C189" s="18" t="n">
        <f aca="false">IF('Cohort Data'!D189=Assumptions!$B$16,ROUND('Cohort Data'!E189*Assumptions!$B$6,Assumptions!$B$10),Assumptions!$B$13)</f>
        <v>2375</v>
      </c>
      <c r="D189" s="18" t="n">
        <f aca="false">SUM(B189:C189)</f>
        <v>30477.55</v>
      </c>
      <c r="E189" s="18" t="n">
        <f aca="false">ROUND(D189/Assumptions!$F$6,Assumptions!$B$10)</f>
        <v>29589.85</v>
      </c>
      <c r="F189" s="18" t="n">
        <f aca="false">ROUND(E189*Assumptions!$B$7,Assumptions!$B$10)</f>
        <v>1183.59</v>
      </c>
      <c r="G189" s="18" t="n">
        <f aca="false">SUM(E189:F189)</f>
        <v>30773.44</v>
      </c>
      <c r="H189" s="18" t="n">
        <f aca="false">ROUND(G189-'Cohort Data'!H189,Assumptions!$B$10)</f>
        <v>6860.8</v>
      </c>
      <c r="I189" s="18" t="n">
        <f aca="false">CEILING(G189,Assumptions!$B$12)</f>
        <v>30800</v>
      </c>
      <c r="J189" s="18" t="n">
        <f aca="false">FLOOR(G189,Assumptions!$B$12)</f>
        <v>30700</v>
      </c>
      <c r="K189" s="18" t="n">
        <f aca="false">ROUNDUP(G189,Assumptions!$B$10)</f>
        <v>30773.44</v>
      </c>
      <c r="L189" s="18" t="n">
        <f aca="false">ROUNDDOWN(G189,Assumptions!$B$10)</f>
        <v>30773.44</v>
      </c>
      <c r="M189" s="19" t="n">
        <f aca="false">INT('Cohort Data'!E189/Assumptions!$B$11)</f>
        <v>0</v>
      </c>
    </row>
    <row r="190" customFormat="false" ht="15" hidden="false" customHeight="false" outlineLevel="0" collapsed="false">
      <c r="A190" s="2" t="s">
        <v>290</v>
      </c>
      <c r="B190" s="18" t="n">
        <f aca="false">IF('Cohort Data'!D190=Assumptions!$B$16,ROUND('Cohort Data'!L190*'Cohort Data'!J190*Assumptions!$F$4,Assumptions!$B$10),Assumptions!$B$13)</f>
        <v>15821.99</v>
      </c>
      <c r="C190" s="18" t="n">
        <f aca="false">IF('Cohort Data'!D190=Assumptions!$B$16,ROUND('Cohort Data'!E190*Assumptions!$B$6,Assumptions!$B$10),Assumptions!$B$13)</f>
        <v>2850</v>
      </c>
      <c r="D190" s="18" t="n">
        <f aca="false">SUM(B190:C190)</f>
        <v>18671.99</v>
      </c>
      <c r="E190" s="18" t="n">
        <f aca="false">ROUND(D190/Assumptions!$F$6,Assumptions!$B$10)</f>
        <v>18128.15</v>
      </c>
      <c r="F190" s="18" t="n">
        <f aca="false">ROUND(E190*Assumptions!$B$7,Assumptions!$B$10)</f>
        <v>725.13</v>
      </c>
      <c r="G190" s="18" t="n">
        <f aca="false">SUM(E190:F190)</f>
        <v>18853.28</v>
      </c>
      <c r="H190" s="18" t="n">
        <f aca="false">ROUND(G190-'Cohort Data'!H190,Assumptions!$B$10)</f>
        <v>5014.36</v>
      </c>
      <c r="I190" s="18" t="n">
        <f aca="false">CEILING(G190,Assumptions!$B$12)</f>
        <v>18900</v>
      </c>
      <c r="J190" s="18" t="n">
        <f aca="false">FLOOR(G190,Assumptions!$B$12)</f>
        <v>18800</v>
      </c>
      <c r="K190" s="18" t="n">
        <f aca="false">ROUNDUP(G190,Assumptions!$B$10)</f>
        <v>18853.29</v>
      </c>
      <c r="L190" s="18" t="n">
        <f aca="false">ROUNDDOWN(G190,Assumptions!$B$10)</f>
        <v>18853.28</v>
      </c>
      <c r="M190" s="19" t="n">
        <f aca="false">INT('Cohort Data'!E190/Assumptions!$B$11)</f>
        <v>1</v>
      </c>
    </row>
    <row r="191" customFormat="false" ht="15" hidden="false" customHeight="false" outlineLevel="0" collapsed="false">
      <c r="A191" s="2" t="s">
        <v>291</v>
      </c>
      <c r="B191" s="18" t="n">
        <f aca="false">IF('Cohort Data'!D191=Assumptions!$B$16,ROUND('Cohort Data'!L191*'Cohort Data'!J191*Assumptions!$F$4,Assumptions!$B$10),Assumptions!$B$13)</f>
        <v>56122.26</v>
      </c>
      <c r="C191" s="18" t="n">
        <f aca="false">IF('Cohort Data'!D191=Assumptions!$B$16,ROUND('Cohort Data'!E191*Assumptions!$B$6,Assumptions!$B$10),Assumptions!$B$13)</f>
        <v>4175</v>
      </c>
      <c r="D191" s="18" t="n">
        <f aca="false">SUM(B191:C191)</f>
        <v>60297.26</v>
      </c>
      <c r="E191" s="18" t="n">
        <f aca="false">ROUND(D191/Assumptions!$F$6,Assumptions!$B$10)</f>
        <v>58541.03</v>
      </c>
      <c r="F191" s="18" t="n">
        <f aca="false">ROUND(E191*Assumptions!$B$7,Assumptions!$B$10)</f>
        <v>2341.64</v>
      </c>
      <c r="G191" s="18" t="n">
        <f aca="false">SUM(E191:F191)</f>
        <v>60882.67</v>
      </c>
      <c r="H191" s="18" t="n">
        <f aca="false">ROUND(G191-'Cohort Data'!H191,Assumptions!$B$10)</f>
        <v>12738.57</v>
      </c>
      <c r="I191" s="18" t="n">
        <f aca="false">CEILING(G191,Assumptions!$B$12)</f>
        <v>60900</v>
      </c>
      <c r="J191" s="18" t="n">
        <f aca="false">FLOOR(G191,Assumptions!$B$12)</f>
        <v>60800</v>
      </c>
      <c r="K191" s="18" t="n">
        <f aca="false">ROUNDUP(G191,Assumptions!$B$10)</f>
        <v>60882.67</v>
      </c>
      <c r="L191" s="18" t="n">
        <f aca="false">ROUNDDOWN(G191,Assumptions!$B$10)</f>
        <v>60882.67</v>
      </c>
      <c r="M191" s="19" t="n">
        <f aca="false">INT('Cohort Data'!E191/Assumptions!$B$11)</f>
        <v>1</v>
      </c>
    </row>
    <row r="192" customFormat="false" ht="15" hidden="false" customHeight="false" outlineLevel="0" collapsed="false">
      <c r="A192" s="2" t="s">
        <v>292</v>
      </c>
      <c r="B192" s="18" t="n">
        <f aca="false">IF('Cohort Data'!D192=Assumptions!$B$16,ROUND('Cohort Data'!L192*'Cohort Data'!J192*Assumptions!$F$4,Assumptions!$B$10),Assumptions!$B$13)</f>
        <v>33123.64</v>
      </c>
      <c r="C192" s="18" t="n">
        <f aca="false">IF('Cohort Data'!D192=Assumptions!$B$16,ROUND('Cohort Data'!E192*Assumptions!$B$6,Assumptions!$B$10),Assumptions!$B$13)</f>
        <v>4625</v>
      </c>
      <c r="D192" s="18" t="n">
        <f aca="false">SUM(B192:C192)</f>
        <v>37748.64</v>
      </c>
      <c r="E192" s="18" t="n">
        <f aca="false">ROUND(D192/Assumptions!$F$6,Assumptions!$B$10)</f>
        <v>36649.17</v>
      </c>
      <c r="F192" s="18" t="n">
        <f aca="false">ROUND(E192*Assumptions!$B$7,Assumptions!$B$10)</f>
        <v>1465.97</v>
      </c>
      <c r="G192" s="18" t="n">
        <f aca="false">SUM(E192:F192)</f>
        <v>38115.14</v>
      </c>
      <c r="H192" s="18" t="n">
        <f aca="false">ROUND(G192-'Cohort Data'!H192,Assumptions!$B$10)</f>
        <v>9623.66</v>
      </c>
      <c r="I192" s="18" t="n">
        <f aca="false">CEILING(G192,Assumptions!$B$12)</f>
        <v>38200</v>
      </c>
      <c r="J192" s="18" t="n">
        <f aca="false">FLOOR(G192,Assumptions!$B$12)</f>
        <v>38100</v>
      </c>
      <c r="K192" s="18" t="n">
        <f aca="false">ROUNDUP(G192,Assumptions!$B$10)</f>
        <v>38115.14</v>
      </c>
      <c r="L192" s="18" t="n">
        <f aca="false">ROUNDDOWN(G192,Assumptions!$B$10)</f>
        <v>38115.14</v>
      </c>
      <c r="M192" s="19" t="n">
        <f aca="false">INT('Cohort Data'!E192/Assumptions!$B$11)</f>
        <v>1</v>
      </c>
    </row>
    <row r="193" customFormat="false" ht="15" hidden="false" customHeight="false" outlineLevel="0" collapsed="false">
      <c r="A193" s="2" t="s">
        <v>293</v>
      </c>
      <c r="B193" s="18" t="n">
        <f aca="false">IF('Cohort Data'!D193=Assumptions!$B$16,ROUND('Cohort Data'!L193*'Cohort Data'!J193*Assumptions!$F$4,Assumptions!$B$10),Assumptions!$B$13)</f>
        <v>0</v>
      </c>
      <c r="C193" s="18" t="n">
        <f aca="false">IF('Cohort Data'!D193=Assumptions!$B$16,ROUND('Cohort Data'!E193*Assumptions!$B$6,Assumptions!$B$10),Assumptions!$B$13)</f>
        <v>0</v>
      </c>
      <c r="D193" s="18" t="n">
        <f aca="false">SUM(B193:C193)</f>
        <v>0</v>
      </c>
      <c r="E193" s="18" t="n">
        <f aca="false">ROUND(D193/Assumptions!$F$6,Assumptions!$B$10)</f>
        <v>0</v>
      </c>
      <c r="F193" s="18" t="n">
        <f aca="false">ROUND(E193*Assumptions!$B$7,Assumptions!$B$10)</f>
        <v>0</v>
      </c>
      <c r="G193" s="18" t="n">
        <f aca="false">SUM(E193:F193)</f>
        <v>0</v>
      </c>
      <c r="H193" s="18" t="n">
        <f aca="false">ROUND(G193-'Cohort Data'!H193,Assumptions!$B$10)</f>
        <v>-22632.06</v>
      </c>
      <c r="I193" s="18" t="n">
        <f aca="false">CEILING(G193,Assumptions!$B$12)</f>
        <v>0</v>
      </c>
      <c r="J193" s="18" t="n">
        <f aca="false">FLOOR(G193,Assumptions!$B$12)</f>
        <v>0</v>
      </c>
      <c r="K193" s="18" t="n">
        <f aca="false">ROUNDUP(G193,Assumptions!$B$10)</f>
        <v>0</v>
      </c>
      <c r="L193" s="18" t="n">
        <f aca="false">ROUNDDOWN(G193,Assumptions!$B$10)</f>
        <v>0</v>
      </c>
      <c r="M193" s="19" t="n">
        <f aca="false">INT('Cohort Data'!E193/Assumptions!$B$11)</f>
        <v>1</v>
      </c>
    </row>
    <row r="194" customFormat="false" ht="15" hidden="false" customHeight="false" outlineLevel="0" collapsed="false">
      <c r="A194" s="2" t="s">
        <v>294</v>
      </c>
      <c r="B194" s="18" t="n">
        <f aca="false">IF('Cohort Data'!D194=Assumptions!$B$16,ROUND('Cohort Data'!L194*'Cohort Data'!J194*Assumptions!$F$4,Assumptions!$B$10),Assumptions!$B$13)</f>
        <v>28677.24</v>
      </c>
      <c r="C194" s="18" t="n">
        <f aca="false">IF('Cohort Data'!D194=Assumptions!$B$16,ROUND('Cohort Data'!E194*Assumptions!$B$6,Assumptions!$B$10),Assumptions!$B$13)</f>
        <v>3200</v>
      </c>
      <c r="D194" s="18" t="n">
        <f aca="false">SUM(B194:C194)</f>
        <v>31877.24</v>
      </c>
      <c r="E194" s="18" t="n">
        <f aca="false">ROUND(D194/Assumptions!$F$6,Assumptions!$B$10)</f>
        <v>30948.78</v>
      </c>
      <c r="F194" s="18" t="n">
        <f aca="false">ROUND(E194*Assumptions!$B$7,Assumptions!$B$10)</f>
        <v>1237.95</v>
      </c>
      <c r="G194" s="18" t="n">
        <f aca="false">SUM(E194:F194)</f>
        <v>32186.73</v>
      </c>
      <c r="H194" s="18" t="n">
        <f aca="false">ROUND(G194-'Cohort Data'!H194,Assumptions!$B$10)</f>
        <v>6775.15</v>
      </c>
      <c r="I194" s="18" t="n">
        <f aca="false">CEILING(G194,Assumptions!$B$12)</f>
        <v>32200</v>
      </c>
      <c r="J194" s="18" t="n">
        <f aca="false">FLOOR(G194,Assumptions!$B$12)</f>
        <v>32100</v>
      </c>
      <c r="K194" s="18" t="n">
        <f aca="false">ROUNDUP(G194,Assumptions!$B$10)</f>
        <v>32186.73</v>
      </c>
      <c r="L194" s="18" t="n">
        <f aca="false">ROUNDDOWN(G194,Assumptions!$B$10)</f>
        <v>32186.73</v>
      </c>
      <c r="M194" s="19" t="n">
        <f aca="false">INT('Cohort Data'!E194/Assumptions!$B$11)</f>
        <v>1</v>
      </c>
    </row>
    <row r="195" customFormat="false" ht="15" hidden="false" customHeight="false" outlineLevel="0" collapsed="false">
      <c r="A195" s="2" t="s">
        <v>295</v>
      </c>
      <c r="B195" s="18" t="n">
        <f aca="false">IF('Cohort Data'!D195=Assumptions!$B$16,ROUND('Cohort Data'!L195*'Cohort Data'!J195*Assumptions!$F$4,Assumptions!$B$10),Assumptions!$B$13)</f>
        <v>31387.67</v>
      </c>
      <c r="C195" s="18" t="n">
        <f aca="false">IF('Cohort Data'!D195=Assumptions!$B$16,ROUND('Cohort Data'!E195*Assumptions!$B$6,Assumptions!$B$10),Assumptions!$B$13)</f>
        <v>2400</v>
      </c>
      <c r="D195" s="18" t="n">
        <f aca="false">SUM(B195:C195)</f>
        <v>33787.67</v>
      </c>
      <c r="E195" s="18" t="n">
        <f aca="false">ROUND(D195/Assumptions!$F$6,Assumptions!$B$10)</f>
        <v>32803.56</v>
      </c>
      <c r="F195" s="18" t="n">
        <f aca="false">ROUND(E195*Assumptions!$B$7,Assumptions!$B$10)</f>
        <v>1312.14</v>
      </c>
      <c r="G195" s="18" t="n">
        <f aca="false">SUM(E195:F195)</f>
        <v>34115.7</v>
      </c>
      <c r="H195" s="18" t="n">
        <f aca="false">ROUND(G195-'Cohort Data'!H195,Assumptions!$B$10)</f>
        <v>5956.21</v>
      </c>
      <c r="I195" s="18" t="n">
        <f aca="false">CEILING(G195,Assumptions!$B$12)</f>
        <v>34200</v>
      </c>
      <c r="J195" s="18" t="n">
        <f aca="false">FLOOR(G195,Assumptions!$B$12)</f>
        <v>34100</v>
      </c>
      <c r="K195" s="18" t="n">
        <f aca="false">ROUNDUP(G195,Assumptions!$B$10)</f>
        <v>34115.7</v>
      </c>
      <c r="L195" s="18" t="n">
        <f aca="false">ROUNDDOWN(G195,Assumptions!$B$10)</f>
        <v>34115.7</v>
      </c>
      <c r="M195" s="19" t="n">
        <f aca="false">INT('Cohort Data'!E195/Assumptions!$B$11)</f>
        <v>0</v>
      </c>
    </row>
    <row r="196" customFormat="false" ht="15" hidden="false" customHeight="false" outlineLevel="0" collapsed="false">
      <c r="A196" s="2" t="s">
        <v>296</v>
      </c>
      <c r="B196" s="18" t="n">
        <f aca="false">IF('Cohort Data'!D196=Assumptions!$B$16,ROUND('Cohort Data'!L196*'Cohort Data'!J196*Assumptions!$F$4,Assumptions!$B$10),Assumptions!$B$13)</f>
        <v>18977.94</v>
      </c>
      <c r="C196" s="18" t="n">
        <f aca="false">IF('Cohort Data'!D196=Assumptions!$B$16,ROUND('Cohort Data'!E196*Assumptions!$B$6,Assumptions!$B$10),Assumptions!$B$13)</f>
        <v>2125</v>
      </c>
      <c r="D196" s="18" t="n">
        <f aca="false">SUM(B196:C196)</f>
        <v>21102.94</v>
      </c>
      <c r="E196" s="18" t="n">
        <f aca="false">ROUND(D196/Assumptions!$F$6,Assumptions!$B$10)</f>
        <v>20488.29</v>
      </c>
      <c r="F196" s="18" t="n">
        <f aca="false">ROUND(E196*Assumptions!$B$7,Assumptions!$B$10)</f>
        <v>819.53</v>
      </c>
      <c r="G196" s="18" t="n">
        <f aca="false">SUM(E196:F196)</f>
        <v>21307.82</v>
      </c>
      <c r="H196" s="18" t="n">
        <f aca="false">ROUND(G196-'Cohort Data'!H196,Assumptions!$B$10)</f>
        <v>3978.87</v>
      </c>
      <c r="I196" s="18" t="n">
        <f aca="false">CEILING(G196,Assumptions!$B$12)</f>
        <v>21400</v>
      </c>
      <c r="J196" s="18" t="n">
        <f aca="false">FLOOR(G196,Assumptions!$B$12)</f>
        <v>21300</v>
      </c>
      <c r="K196" s="18" t="n">
        <f aca="false">ROUNDUP(G196,Assumptions!$B$10)</f>
        <v>21307.82</v>
      </c>
      <c r="L196" s="18" t="n">
        <f aca="false">ROUNDDOWN(G196,Assumptions!$B$10)</f>
        <v>21307.82</v>
      </c>
      <c r="M196" s="19" t="n">
        <f aca="false">INT('Cohort Data'!E196/Assumptions!$B$11)</f>
        <v>0</v>
      </c>
    </row>
    <row r="197" customFormat="false" ht="15" hidden="false" customHeight="false" outlineLevel="0" collapsed="false">
      <c r="A197" s="2" t="s">
        <v>297</v>
      </c>
      <c r="B197" s="18" t="n">
        <f aca="false">IF('Cohort Data'!D197=Assumptions!$B$16,ROUND('Cohort Data'!L197*'Cohort Data'!J197*Assumptions!$F$4,Assumptions!$B$10),Assumptions!$B$13)</f>
        <v>59902.95</v>
      </c>
      <c r="C197" s="18" t="n">
        <f aca="false">IF('Cohort Data'!D197=Assumptions!$B$16,ROUND('Cohort Data'!E197*Assumptions!$B$6,Assumptions!$B$10),Assumptions!$B$13)</f>
        <v>4650</v>
      </c>
      <c r="D197" s="18" t="n">
        <f aca="false">SUM(B197:C197)</f>
        <v>64552.95</v>
      </c>
      <c r="E197" s="18" t="n">
        <f aca="false">ROUND(D197/Assumptions!$F$6,Assumptions!$B$10)</f>
        <v>62672.77</v>
      </c>
      <c r="F197" s="18" t="n">
        <f aca="false">ROUND(E197*Assumptions!$B$7,Assumptions!$B$10)</f>
        <v>2506.91</v>
      </c>
      <c r="G197" s="18" t="n">
        <f aca="false">SUM(E197:F197)</f>
        <v>65179.68</v>
      </c>
      <c r="H197" s="18" t="n">
        <f aca="false">ROUND(G197-'Cohort Data'!H197,Assumptions!$B$10)</f>
        <v>10968.86</v>
      </c>
      <c r="I197" s="18" t="n">
        <f aca="false">CEILING(G197,Assumptions!$B$12)</f>
        <v>65200</v>
      </c>
      <c r="J197" s="18" t="n">
        <f aca="false">FLOOR(G197,Assumptions!$B$12)</f>
        <v>65100</v>
      </c>
      <c r="K197" s="18" t="n">
        <f aca="false">ROUNDUP(G197,Assumptions!$B$10)</f>
        <v>65179.68</v>
      </c>
      <c r="L197" s="18" t="n">
        <f aca="false">ROUNDDOWN(G197,Assumptions!$B$10)</f>
        <v>65179.67</v>
      </c>
      <c r="M197" s="19" t="n">
        <f aca="false">INT('Cohort Data'!E197/Assumptions!$B$11)</f>
        <v>1</v>
      </c>
    </row>
    <row r="198" customFormat="false" ht="15" hidden="false" customHeight="false" outlineLevel="0" collapsed="false">
      <c r="A198" s="2" t="s">
        <v>298</v>
      </c>
      <c r="B198" s="18" t="n">
        <f aca="false">IF('Cohort Data'!D198=Assumptions!$B$16,ROUND('Cohort Data'!L198*'Cohort Data'!J198*Assumptions!$F$4,Assumptions!$B$10),Assumptions!$B$13)</f>
        <v>12766.81</v>
      </c>
      <c r="C198" s="18" t="n">
        <f aca="false">IF('Cohort Data'!D198=Assumptions!$B$16,ROUND('Cohort Data'!E198*Assumptions!$B$6,Assumptions!$B$10),Assumptions!$B$13)</f>
        <v>2050</v>
      </c>
      <c r="D198" s="18" t="n">
        <f aca="false">SUM(B198:C198)</f>
        <v>14816.81</v>
      </c>
      <c r="E198" s="18" t="n">
        <f aca="false">ROUND(D198/Assumptions!$F$6,Assumptions!$B$10)</f>
        <v>14385.25</v>
      </c>
      <c r="F198" s="18" t="n">
        <f aca="false">ROUND(E198*Assumptions!$B$7,Assumptions!$B$10)</f>
        <v>575.41</v>
      </c>
      <c r="G198" s="18" t="n">
        <f aca="false">SUM(E198:F198)</f>
        <v>14960.66</v>
      </c>
      <c r="H198" s="18" t="n">
        <f aca="false">ROUND(G198-'Cohort Data'!H198,Assumptions!$B$10)</f>
        <v>3270.74</v>
      </c>
      <c r="I198" s="18" t="n">
        <f aca="false">CEILING(G198,Assumptions!$B$12)</f>
        <v>15000</v>
      </c>
      <c r="J198" s="18" t="n">
        <f aca="false">FLOOR(G198,Assumptions!$B$12)</f>
        <v>14900</v>
      </c>
      <c r="K198" s="18" t="n">
        <f aca="false">ROUNDUP(G198,Assumptions!$B$10)</f>
        <v>14960.66</v>
      </c>
      <c r="L198" s="18" t="n">
        <f aca="false">ROUNDDOWN(G198,Assumptions!$B$10)</f>
        <v>14960.66</v>
      </c>
      <c r="M198" s="19" t="n">
        <f aca="false">INT('Cohort Data'!E198/Assumptions!$B$11)</f>
        <v>0</v>
      </c>
    </row>
    <row r="199" customFormat="false" ht="15" hidden="false" customHeight="false" outlineLevel="0" collapsed="false">
      <c r="A199" s="2" t="s">
        <v>299</v>
      </c>
      <c r="B199" s="18" t="n">
        <f aca="false">IF('Cohort Data'!D199=Assumptions!$B$16,ROUND('Cohort Data'!L199*'Cohort Data'!J199*Assumptions!$F$4,Assumptions!$B$10),Assumptions!$B$13)</f>
        <v>18706.39</v>
      </c>
      <c r="C199" s="18" t="n">
        <f aca="false">IF('Cohort Data'!D199=Assumptions!$B$16,ROUND('Cohort Data'!E199*Assumptions!$B$6,Assumptions!$B$10),Assumptions!$B$13)</f>
        <v>3100</v>
      </c>
      <c r="D199" s="18" t="n">
        <f aca="false">SUM(B199:C199)</f>
        <v>21806.39</v>
      </c>
      <c r="E199" s="18" t="n">
        <f aca="false">ROUND(D199/Assumptions!$F$6,Assumptions!$B$10)</f>
        <v>21171.25</v>
      </c>
      <c r="F199" s="18" t="n">
        <f aca="false">ROUND(E199*Assumptions!$B$7,Assumptions!$B$10)</f>
        <v>846.85</v>
      </c>
      <c r="G199" s="18" t="n">
        <f aca="false">SUM(E199:F199)</f>
        <v>22018.1</v>
      </c>
      <c r="H199" s="18" t="n">
        <f aca="false">ROUND(G199-'Cohort Data'!H199,Assumptions!$B$10)</f>
        <v>5836.1</v>
      </c>
      <c r="I199" s="18" t="n">
        <f aca="false">CEILING(G199,Assumptions!$B$12)</f>
        <v>22100</v>
      </c>
      <c r="J199" s="18" t="n">
        <f aca="false">FLOOR(G199,Assumptions!$B$12)</f>
        <v>22000</v>
      </c>
      <c r="K199" s="18" t="n">
        <f aca="false">ROUNDUP(G199,Assumptions!$B$10)</f>
        <v>22018.1</v>
      </c>
      <c r="L199" s="18" t="n">
        <f aca="false">ROUNDDOWN(G199,Assumptions!$B$10)</f>
        <v>22018.1</v>
      </c>
      <c r="M199" s="19" t="n">
        <f aca="false">INT('Cohort Data'!E199/Assumptions!$B$11)</f>
        <v>1</v>
      </c>
    </row>
    <row r="200" customFormat="false" ht="15" hidden="false" customHeight="false" outlineLevel="0" collapsed="false">
      <c r="A200" s="2" t="s">
        <v>300</v>
      </c>
      <c r="B200" s="18" t="n">
        <f aca="false">IF('Cohort Data'!D200=Assumptions!$B$16,ROUND('Cohort Data'!L200*'Cohort Data'!J200*Assumptions!$F$4,Assumptions!$B$10),Assumptions!$B$13)</f>
        <v>23664.33</v>
      </c>
      <c r="C200" s="18" t="n">
        <f aca="false">IF('Cohort Data'!D200=Assumptions!$B$16,ROUND('Cohort Data'!E200*Assumptions!$B$6,Assumptions!$B$10),Assumptions!$B$13)</f>
        <v>4225</v>
      </c>
      <c r="D200" s="18" t="n">
        <f aca="false">SUM(B200:C200)</f>
        <v>27889.33</v>
      </c>
      <c r="E200" s="18" t="n">
        <f aca="false">ROUND(D200/Assumptions!$F$6,Assumptions!$B$10)</f>
        <v>27077.02</v>
      </c>
      <c r="F200" s="18" t="n">
        <f aca="false">ROUND(E200*Assumptions!$B$7,Assumptions!$B$10)</f>
        <v>1083.08</v>
      </c>
      <c r="G200" s="18" t="n">
        <f aca="false">SUM(E200:F200)</f>
        <v>28160.1</v>
      </c>
      <c r="H200" s="18" t="n">
        <f aca="false">ROUND(G200-'Cohort Data'!H200,Assumptions!$B$10)</f>
        <v>7190.58</v>
      </c>
      <c r="I200" s="18" t="n">
        <f aca="false">CEILING(G200,Assumptions!$B$12)</f>
        <v>28200</v>
      </c>
      <c r="J200" s="18" t="n">
        <f aca="false">FLOOR(G200,Assumptions!$B$12)</f>
        <v>28100</v>
      </c>
      <c r="K200" s="18" t="n">
        <f aca="false">ROUNDUP(G200,Assumptions!$B$10)</f>
        <v>28160.1</v>
      </c>
      <c r="L200" s="18" t="n">
        <f aca="false">ROUNDDOWN(G200,Assumptions!$B$10)</f>
        <v>28160.1</v>
      </c>
      <c r="M200" s="19" t="n">
        <f aca="false">INT('Cohort Data'!E200/Assumptions!$B$11)</f>
        <v>1</v>
      </c>
    </row>
    <row r="201" customFormat="false" ht="15" hidden="false" customHeight="false" outlineLevel="0" collapsed="false">
      <c r="A201" s="2" t="s">
        <v>301</v>
      </c>
      <c r="B201" s="18" t="n">
        <f aca="false">IF('Cohort Data'!D201=Assumptions!$B$16,ROUND('Cohort Data'!L201*'Cohort Data'!J201*Assumptions!$F$4,Assumptions!$B$10),Assumptions!$B$13)</f>
        <v>43111.34</v>
      </c>
      <c r="C201" s="18" t="n">
        <f aca="false">IF('Cohort Data'!D201=Assumptions!$B$16,ROUND('Cohort Data'!E201*Assumptions!$B$6,Assumptions!$B$10),Assumptions!$B$13)</f>
        <v>5325</v>
      </c>
      <c r="D201" s="18" t="n">
        <f aca="false">SUM(B201:C201)</f>
        <v>48436.34</v>
      </c>
      <c r="E201" s="18" t="n">
        <f aca="false">ROUND(D201/Assumptions!$F$6,Assumptions!$B$10)</f>
        <v>47025.57</v>
      </c>
      <c r="F201" s="18" t="n">
        <f aca="false">ROUND(E201*Assumptions!$B$7,Assumptions!$B$10)</f>
        <v>1881.02</v>
      </c>
      <c r="G201" s="18" t="n">
        <f aca="false">SUM(E201:F201)</f>
        <v>48906.59</v>
      </c>
      <c r="H201" s="18" t="n">
        <f aca="false">ROUND(G201-'Cohort Data'!H201,Assumptions!$B$10)</f>
        <v>10627.93</v>
      </c>
      <c r="I201" s="18" t="n">
        <f aca="false">CEILING(G201,Assumptions!$B$12)</f>
        <v>49000</v>
      </c>
      <c r="J201" s="18" t="n">
        <f aca="false">FLOOR(G201,Assumptions!$B$12)</f>
        <v>48900</v>
      </c>
      <c r="K201" s="18" t="n">
        <f aca="false">ROUNDUP(G201,Assumptions!$B$10)</f>
        <v>48906.59</v>
      </c>
      <c r="L201" s="18" t="n">
        <f aca="false">ROUNDDOWN(G201,Assumptions!$B$10)</f>
        <v>48906.59</v>
      </c>
      <c r="M201" s="19" t="n">
        <f aca="false">INT('Cohort Data'!E201/Assumptions!$B$11)</f>
        <v>2</v>
      </c>
    </row>
    <row r="202" customFormat="false" ht="15" hidden="false" customHeight="false" outlineLevel="0" collapsed="false">
      <c r="A202" s="2" t="s">
        <v>302</v>
      </c>
      <c r="B202" s="18" t="n">
        <f aca="false">IF('Cohort Data'!D202=Assumptions!$B$16,ROUND('Cohort Data'!L202*'Cohort Data'!J202*Assumptions!$F$4,Assumptions!$B$10),Assumptions!$B$13)</f>
        <v>30032.81</v>
      </c>
      <c r="C202" s="18" t="n">
        <f aca="false">IF('Cohort Data'!D202=Assumptions!$B$16,ROUND('Cohort Data'!E202*Assumptions!$B$6,Assumptions!$B$10),Assumptions!$B$13)</f>
        <v>5925</v>
      </c>
      <c r="D202" s="18" t="n">
        <f aca="false">SUM(B202:C202)</f>
        <v>35957.81</v>
      </c>
      <c r="E202" s="18" t="n">
        <f aca="false">ROUND(D202/Assumptions!$F$6,Assumptions!$B$10)</f>
        <v>34910.5</v>
      </c>
      <c r="F202" s="18" t="n">
        <f aca="false">ROUND(E202*Assumptions!$B$7,Assumptions!$B$10)</f>
        <v>1396.42</v>
      </c>
      <c r="G202" s="18" t="n">
        <f aca="false">SUM(E202:F202)</f>
        <v>36306.92</v>
      </c>
      <c r="H202" s="18" t="n">
        <f aca="false">ROUND(G202-'Cohort Data'!H202,Assumptions!$B$10)</f>
        <v>10038.31</v>
      </c>
      <c r="I202" s="18" t="n">
        <f aca="false">CEILING(G202,Assumptions!$B$12)</f>
        <v>36400</v>
      </c>
      <c r="J202" s="18" t="n">
        <f aca="false">FLOOR(G202,Assumptions!$B$12)</f>
        <v>36300</v>
      </c>
      <c r="K202" s="18" t="n">
        <f aca="false">ROUNDUP(G202,Assumptions!$B$10)</f>
        <v>36306.92</v>
      </c>
      <c r="L202" s="18" t="n">
        <f aca="false">ROUNDDOWN(G202,Assumptions!$B$10)</f>
        <v>36306.92</v>
      </c>
      <c r="M202" s="19" t="n">
        <f aca="false">INT('Cohort Data'!E202/Assumptions!$B$11)</f>
        <v>2</v>
      </c>
    </row>
    <row r="203" customFormat="false" ht="15" hidden="false" customHeight="false" outlineLevel="0" collapsed="false">
      <c r="A203" s="2" t="s">
        <v>303</v>
      </c>
      <c r="B203" s="18" t="n">
        <f aca="false">IF('Cohort Data'!D203=Assumptions!$B$16,ROUND('Cohort Data'!L203*'Cohort Data'!J203*Assumptions!$F$4,Assumptions!$B$10),Assumptions!$B$13)</f>
        <v>46600.52</v>
      </c>
      <c r="C203" s="18" t="n">
        <f aca="false">IF('Cohort Data'!D203=Assumptions!$B$16,ROUND('Cohort Data'!E203*Assumptions!$B$6,Assumptions!$B$10),Assumptions!$B$13)</f>
        <v>5200</v>
      </c>
      <c r="D203" s="18" t="n">
        <f aca="false">SUM(B203:C203)</f>
        <v>51800.52</v>
      </c>
      <c r="E203" s="18" t="n">
        <f aca="false">ROUND(D203/Assumptions!$F$6,Assumptions!$B$10)</f>
        <v>50291.77</v>
      </c>
      <c r="F203" s="18" t="n">
        <f aca="false">ROUND(E203*Assumptions!$B$7,Assumptions!$B$10)</f>
        <v>2011.67</v>
      </c>
      <c r="G203" s="18" t="n">
        <f aca="false">SUM(E203:F203)</f>
        <v>52303.44</v>
      </c>
      <c r="H203" s="18" t="n">
        <f aca="false">ROUND(G203-'Cohort Data'!H203,Assumptions!$B$10)</f>
        <v>11009.62</v>
      </c>
      <c r="I203" s="18" t="n">
        <f aca="false">CEILING(G203,Assumptions!$B$12)</f>
        <v>52400</v>
      </c>
      <c r="J203" s="18" t="n">
        <f aca="false">FLOOR(G203,Assumptions!$B$12)</f>
        <v>52300</v>
      </c>
      <c r="K203" s="18" t="n">
        <f aca="false">ROUNDUP(G203,Assumptions!$B$10)</f>
        <v>52303.44</v>
      </c>
      <c r="L203" s="18" t="n">
        <f aca="false">ROUNDDOWN(G203,Assumptions!$B$10)</f>
        <v>52303.43</v>
      </c>
      <c r="M203" s="19" t="n">
        <f aca="false">INT('Cohort Data'!E203/Assumptions!$B$11)</f>
        <v>2</v>
      </c>
    </row>
    <row r="204" customFormat="false" ht="15" hidden="false" customHeight="false" outlineLevel="0" collapsed="false">
      <c r="A204" s="2" t="s">
        <v>304</v>
      </c>
      <c r="B204" s="18" t="n">
        <f aca="false">IF('Cohort Data'!D204=Assumptions!$B$16,ROUND('Cohort Data'!L204*'Cohort Data'!J204*Assumptions!$F$4,Assumptions!$B$10),Assumptions!$B$13)</f>
        <v>84424.42</v>
      </c>
      <c r="C204" s="18" t="n">
        <f aca="false">IF('Cohort Data'!D204=Assumptions!$B$16,ROUND('Cohort Data'!E204*Assumptions!$B$6,Assumptions!$B$10),Assumptions!$B$13)</f>
        <v>6025</v>
      </c>
      <c r="D204" s="18" t="n">
        <f aca="false">SUM(B204:C204)</f>
        <v>90449.42</v>
      </c>
      <c r="E204" s="18" t="n">
        <f aca="false">ROUND(D204/Assumptions!$F$6,Assumptions!$B$10)</f>
        <v>87814.97</v>
      </c>
      <c r="F204" s="18" t="n">
        <f aca="false">ROUND(E204*Assumptions!$B$7,Assumptions!$B$10)</f>
        <v>3512.6</v>
      </c>
      <c r="G204" s="18" t="n">
        <f aca="false">SUM(E204:F204)</f>
        <v>91327.57</v>
      </c>
      <c r="H204" s="18" t="n">
        <f aca="false">ROUND(G204-'Cohort Data'!H204,Assumptions!$B$10)</f>
        <v>14024.41</v>
      </c>
      <c r="I204" s="18" t="n">
        <f aca="false">CEILING(G204,Assumptions!$B$12)</f>
        <v>91400</v>
      </c>
      <c r="J204" s="18" t="n">
        <f aca="false">FLOOR(G204,Assumptions!$B$12)</f>
        <v>91300</v>
      </c>
      <c r="K204" s="18" t="n">
        <f aca="false">ROUNDUP(G204,Assumptions!$B$10)</f>
        <v>91327.57</v>
      </c>
      <c r="L204" s="18" t="n">
        <f aca="false">ROUNDDOWN(G204,Assumptions!$B$10)</f>
        <v>91327.57</v>
      </c>
      <c r="M204" s="19" t="n">
        <f aca="false">INT('Cohort Data'!E204/Assumptions!$B$11)</f>
        <v>2</v>
      </c>
    </row>
    <row r="205" customFormat="false" ht="15" hidden="false" customHeight="false" outlineLevel="0" collapsed="false">
      <c r="A205" s="2" t="s">
        <v>305</v>
      </c>
      <c r="B205" s="18" t="n">
        <f aca="false">IF('Cohort Data'!D205=Assumptions!$B$16,ROUND('Cohort Data'!L205*'Cohort Data'!J205*Assumptions!$F$4,Assumptions!$B$10),Assumptions!$B$13)</f>
        <v>20782.2</v>
      </c>
      <c r="C205" s="18" t="n">
        <f aca="false">IF('Cohort Data'!D205=Assumptions!$B$16,ROUND('Cohort Data'!E205*Assumptions!$B$6,Assumptions!$B$10),Assumptions!$B$13)</f>
        <v>3075</v>
      </c>
      <c r="D205" s="18" t="n">
        <f aca="false">SUM(B205:C205)</f>
        <v>23857.2</v>
      </c>
      <c r="E205" s="18" t="n">
        <f aca="false">ROUND(D205/Assumptions!$F$6,Assumptions!$B$10)</f>
        <v>23162.33</v>
      </c>
      <c r="F205" s="18" t="n">
        <f aca="false">ROUND(E205*Assumptions!$B$7,Assumptions!$B$10)</f>
        <v>926.49</v>
      </c>
      <c r="G205" s="18" t="n">
        <f aca="false">SUM(E205:F205)</f>
        <v>24088.82</v>
      </c>
      <c r="H205" s="18" t="n">
        <f aca="false">ROUND(G205-'Cohort Data'!H205,Assumptions!$B$10)</f>
        <v>4513.12</v>
      </c>
      <c r="I205" s="18" t="n">
        <f aca="false">CEILING(G205,Assumptions!$B$12)</f>
        <v>24100</v>
      </c>
      <c r="J205" s="18" t="n">
        <f aca="false">FLOOR(G205,Assumptions!$B$12)</f>
        <v>24000</v>
      </c>
      <c r="K205" s="18" t="n">
        <f aca="false">ROUNDUP(G205,Assumptions!$B$10)</f>
        <v>24088.83</v>
      </c>
      <c r="L205" s="18" t="n">
        <f aca="false">ROUNDDOWN(G205,Assumptions!$B$10)</f>
        <v>24088.82</v>
      </c>
      <c r="M205" s="19" t="n">
        <f aca="false">INT('Cohort Data'!E205/Assumptions!$B$11)</f>
        <v>1</v>
      </c>
    </row>
    <row r="206" customFormat="false" ht="15" hidden="false" customHeight="false" outlineLevel="0" collapsed="false">
      <c r="A206" s="2" t="s">
        <v>306</v>
      </c>
      <c r="B206" s="18" t="n">
        <f aca="false">IF('Cohort Data'!D206=Assumptions!$B$16,ROUND('Cohort Data'!L206*'Cohort Data'!J206*Assumptions!$F$4,Assumptions!$B$10),Assumptions!$B$13)</f>
        <v>34404.29</v>
      </c>
      <c r="C206" s="18" t="n">
        <f aca="false">IF('Cohort Data'!D206=Assumptions!$B$16,ROUND('Cohort Data'!E206*Assumptions!$B$6,Assumptions!$B$10),Assumptions!$B$13)</f>
        <v>4725</v>
      </c>
      <c r="D206" s="18" t="n">
        <f aca="false">SUM(B206:C206)</f>
        <v>39129.29</v>
      </c>
      <c r="E206" s="18" t="n">
        <f aca="false">ROUND(D206/Assumptions!$F$6,Assumptions!$B$10)</f>
        <v>37989.6</v>
      </c>
      <c r="F206" s="18" t="n">
        <f aca="false">ROUND(E206*Assumptions!$B$7,Assumptions!$B$10)</f>
        <v>1519.58</v>
      </c>
      <c r="G206" s="18" t="n">
        <f aca="false">SUM(E206:F206)</f>
        <v>39509.18</v>
      </c>
      <c r="H206" s="18" t="n">
        <f aca="false">ROUND(G206-'Cohort Data'!H206,Assumptions!$B$10)</f>
        <v>9347.05</v>
      </c>
      <c r="I206" s="18" t="n">
        <f aca="false">CEILING(G206,Assumptions!$B$12)</f>
        <v>39600</v>
      </c>
      <c r="J206" s="18" t="n">
        <f aca="false">FLOOR(G206,Assumptions!$B$12)</f>
        <v>39500</v>
      </c>
      <c r="K206" s="18" t="n">
        <f aca="false">ROUNDUP(G206,Assumptions!$B$10)</f>
        <v>39509.18</v>
      </c>
      <c r="L206" s="18" t="n">
        <f aca="false">ROUNDDOWN(G206,Assumptions!$B$10)</f>
        <v>39509.18</v>
      </c>
      <c r="M206" s="19" t="n">
        <f aca="false">INT('Cohort Data'!E206/Assumptions!$B$11)</f>
        <v>1</v>
      </c>
    </row>
    <row r="207" customFormat="false" ht="15" hidden="false" customHeight="false" outlineLevel="0" collapsed="false">
      <c r="A207" s="2" t="s">
        <v>307</v>
      </c>
      <c r="B207" s="18" t="n">
        <f aca="false">IF('Cohort Data'!D207=Assumptions!$B$16,ROUND('Cohort Data'!L207*'Cohort Data'!J207*Assumptions!$F$4,Assumptions!$B$10),Assumptions!$B$13)</f>
        <v>37887.84</v>
      </c>
      <c r="C207" s="18" t="n">
        <f aca="false">IF('Cohort Data'!D207=Assumptions!$B$16,ROUND('Cohort Data'!E207*Assumptions!$B$6,Assumptions!$B$10),Assumptions!$B$13)</f>
        <v>3925</v>
      </c>
      <c r="D207" s="18" t="n">
        <f aca="false">SUM(B207:C207)</f>
        <v>41812.84</v>
      </c>
      <c r="E207" s="18" t="n">
        <f aca="false">ROUND(D207/Assumptions!$F$6,Assumptions!$B$10)</f>
        <v>40594.99</v>
      </c>
      <c r="F207" s="18" t="n">
        <f aca="false">ROUND(E207*Assumptions!$B$7,Assumptions!$B$10)</f>
        <v>1623.8</v>
      </c>
      <c r="G207" s="18" t="n">
        <f aca="false">SUM(E207:F207)</f>
        <v>42218.79</v>
      </c>
      <c r="H207" s="18" t="n">
        <f aca="false">ROUND(G207-'Cohort Data'!H207,Assumptions!$B$10)</f>
        <v>8578.09</v>
      </c>
      <c r="I207" s="18" t="n">
        <f aca="false">CEILING(G207,Assumptions!$B$12)</f>
        <v>42300</v>
      </c>
      <c r="J207" s="18" t="n">
        <f aca="false">FLOOR(G207,Assumptions!$B$12)</f>
        <v>42200</v>
      </c>
      <c r="K207" s="18" t="n">
        <f aca="false">ROUNDUP(G207,Assumptions!$B$10)</f>
        <v>42218.79</v>
      </c>
      <c r="L207" s="18" t="n">
        <f aca="false">ROUNDDOWN(G207,Assumptions!$B$10)</f>
        <v>42218.79</v>
      </c>
      <c r="M207" s="19" t="n">
        <f aca="false">INT('Cohort Data'!E207/Assumptions!$B$11)</f>
        <v>1</v>
      </c>
    </row>
    <row r="208" customFormat="false" ht="15" hidden="false" customHeight="false" outlineLevel="0" collapsed="false">
      <c r="A208" s="2" t="s">
        <v>308</v>
      </c>
      <c r="B208" s="18" t="n">
        <f aca="false">IF('Cohort Data'!D208=Assumptions!$B$16,ROUND('Cohort Data'!L208*'Cohort Data'!J208*Assumptions!$F$4,Assumptions!$B$10),Assumptions!$B$13)</f>
        <v>16473.69</v>
      </c>
      <c r="C208" s="18" t="n">
        <f aca="false">IF('Cohort Data'!D208=Assumptions!$B$16,ROUND('Cohort Data'!E208*Assumptions!$B$6,Assumptions!$B$10),Assumptions!$B$13)</f>
        <v>3250</v>
      </c>
      <c r="D208" s="18" t="n">
        <f aca="false">SUM(B208:C208)</f>
        <v>19723.69</v>
      </c>
      <c r="E208" s="18" t="n">
        <f aca="false">ROUND(D208/Assumptions!$F$6,Assumptions!$B$10)</f>
        <v>19149.21</v>
      </c>
      <c r="F208" s="18" t="n">
        <f aca="false">ROUND(E208*Assumptions!$B$7,Assumptions!$B$10)</f>
        <v>765.97</v>
      </c>
      <c r="G208" s="18" t="n">
        <f aca="false">SUM(E208:F208)</f>
        <v>19915.18</v>
      </c>
      <c r="H208" s="18" t="n">
        <f aca="false">ROUND(G208-'Cohort Data'!H208,Assumptions!$B$10)</f>
        <v>4081.18</v>
      </c>
      <c r="I208" s="18" t="n">
        <f aca="false">CEILING(G208,Assumptions!$B$12)</f>
        <v>20000</v>
      </c>
      <c r="J208" s="18" t="n">
        <f aca="false">FLOOR(G208,Assumptions!$B$12)</f>
        <v>19900</v>
      </c>
      <c r="K208" s="18" t="n">
        <f aca="false">ROUNDUP(G208,Assumptions!$B$10)</f>
        <v>19915.18</v>
      </c>
      <c r="L208" s="18" t="n">
        <f aca="false">ROUNDDOWN(G208,Assumptions!$B$10)</f>
        <v>19915.18</v>
      </c>
      <c r="M208" s="19" t="n">
        <f aca="false">INT('Cohort Data'!E208/Assumptions!$B$11)</f>
        <v>1</v>
      </c>
    </row>
    <row r="209" customFormat="false" ht="15" hidden="false" customHeight="false" outlineLevel="0" collapsed="false">
      <c r="A209" s="2" t="s">
        <v>309</v>
      </c>
      <c r="B209" s="18" t="n">
        <f aca="false">IF('Cohort Data'!D209=Assumptions!$B$16,ROUND('Cohort Data'!L209*'Cohort Data'!J209*Assumptions!$F$4,Assumptions!$B$10),Assumptions!$B$13)</f>
        <v>71048.99</v>
      </c>
      <c r="C209" s="18" t="n">
        <f aca="false">IF('Cohort Data'!D209=Assumptions!$B$16,ROUND('Cohort Data'!E209*Assumptions!$B$6,Assumptions!$B$10),Assumptions!$B$13)</f>
        <v>5900</v>
      </c>
      <c r="D209" s="18" t="n">
        <f aca="false">SUM(B209:C209)</f>
        <v>76948.99</v>
      </c>
      <c r="E209" s="18" t="n">
        <f aca="false">ROUND(D209/Assumptions!$F$6,Assumptions!$B$10)</f>
        <v>74707.76</v>
      </c>
      <c r="F209" s="18" t="n">
        <f aca="false">ROUND(E209*Assumptions!$B$7,Assumptions!$B$10)</f>
        <v>2988.31</v>
      </c>
      <c r="G209" s="18" t="n">
        <f aca="false">SUM(E209:F209)</f>
        <v>77696.07</v>
      </c>
      <c r="H209" s="18" t="n">
        <f aca="false">ROUND(G209-'Cohort Data'!H209,Assumptions!$B$10)</f>
        <v>16747.18</v>
      </c>
      <c r="I209" s="18" t="n">
        <f aca="false">CEILING(G209,Assumptions!$B$12)</f>
        <v>77700</v>
      </c>
      <c r="J209" s="18" t="n">
        <f aca="false">FLOOR(G209,Assumptions!$B$12)</f>
        <v>77600</v>
      </c>
      <c r="K209" s="18" t="n">
        <f aca="false">ROUNDUP(G209,Assumptions!$B$10)</f>
        <v>77696.07</v>
      </c>
      <c r="L209" s="18" t="n">
        <f aca="false">ROUNDDOWN(G209,Assumptions!$B$10)</f>
        <v>77696.06</v>
      </c>
      <c r="M209" s="19" t="n">
        <f aca="false">INT('Cohort Data'!E209/Assumptions!$B$11)</f>
        <v>2</v>
      </c>
    </row>
    <row r="210" customFormat="false" ht="15" hidden="false" customHeight="false" outlineLevel="0" collapsed="false">
      <c r="A210" s="2" t="s">
        <v>310</v>
      </c>
      <c r="B210" s="18" t="n">
        <f aca="false">IF('Cohort Data'!D210=Assumptions!$B$16,ROUND('Cohort Data'!L210*'Cohort Data'!J210*Assumptions!$F$4,Assumptions!$B$10),Assumptions!$B$13)</f>
        <v>59505.79</v>
      </c>
      <c r="C210" s="18" t="n">
        <f aca="false">IF('Cohort Data'!D210=Assumptions!$B$16,ROUND('Cohort Data'!E210*Assumptions!$B$6,Assumptions!$B$10),Assumptions!$B$13)</f>
        <v>4900</v>
      </c>
      <c r="D210" s="18" t="n">
        <f aca="false">SUM(B210:C210)</f>
        <v>64405.79</v>
      </c>
      <c r="E210" s="18" t="n">
        <f aca="false">ROUND(D210/Assumptions!$F$6,Assumptions!$B$10)</f>
        <v>62529.89</v>
      </c>
      <c r="F210" s="18" t="n">
        <f aca="false">ROUND(E210*Assumptions!$B$7,Assumptions!$B$10)</f>
        <v>2501.2</v>
      </c>
      <c r="G210" s="18" t="n">
        <f aca="false">SUM(E210:F210)</f>
        <v>65031.09</v>
      </c>
      <c r="H210" s="18" t="n">
        <f aca="false">ROUND(G210-'Cohort Data'!H210,Assumptions!$B$10)</f>
        <v>13296.5</v>
      </c>
      <c r="I210" s="18" t="n">
        <f aca="false">CEILING(G210,Assumptions!$B$12)</f>
        <v>65100</v>
      </c>
      <c r="J210" s="18" t="n">
        <f aca="false">FLOOR(G210,Assumptions!$B$12)</f>
        <v>65000</v>
      </c>
      <c r="K210" s="18" t="n">
        <f aca="false">ROUNDUP(G210,Assumptions!$B$10)</f>
        <v>65031.09</v>
      </c>
      <c r="L210" s="18" t="n">
        <f aca="false">ROUNDDOWN(G210,Assumptions!$B$10)</f>
        <v>65031.09</v>
      </c>
      <c r="M210" s="19" t="n">
        <f aca="false">INT('Cohort Data'!E210/Assumptions!$B$11)</f>
        <v>1</v>
      </c>
    </row>
    <row r="211" customFormat="false" ht="15" hidden="false" customHeight="false" outlineLevel="0" collapsed="false">
      <c r="A211" s="2" t="s">
        <v>311</v>
      </c>
      <c r="B211" s="18" t="n">
        <f aca="false">IF('Cohort Data'!D211=Assumptions!$B$16,ROUND('Cohort Data'!L211*'Cohort Data'!J211*Assumptions!$F$4,Assumptions!$B$10),Assumptions!$B$13)</f>
        <v>25024.33</v>
      </c>
      <c r="C211" s="18" t="n">
        <f aca="false">IF('Cohort Data'!D211=Assumptions!$B$16,ROUND('Cohort Data'!E211*Assumptions!$B$6,Assumptions!$B$10),Assumptions!$B$13)</f>
        <v>3575</v>
      </c>
      <c r="D211" s="18" t="n">
        <f aca="false">SUM(B211:C211)</f>
        <v>28599.33</v>
      </c>
      <c r="E211" s="18" t="n">
        <f aca="false">ROUND(D211/Assumptions!$F$6,Assumptions!$B$10)</f>
        <v>27766.34</v>
      </c>
      <c r="F211" s="18" t="n">
        <f aca="false">ROUND(E211*Assumptions!$B$7,Assumptions!$B$10)</f>
        <v>1110.65</v>
      </c>
      <c r="G211" s="18" t="n">
        <f aca="false">SUM(E211:F211)</f>
        <v>28876.99</v>
      </c>
      <c r="H211" s="18" t="n">
        <f aca="false">ROUND(G211-'Cohort Data'!H211,Assumptions!$B$10)</f>
        <v>6508.07</v>
      </c>
      <c r="I211" s="18" t="n">
        <f aca="false">CEILING(G211,Assumptions!$B$12)</f>
        <v>28900</v>
      </c>
      <c r="J211" s="18" t="n">
        <f aca="false">FLOOR(G211,Assumptions!$B$12)</f>
        <v>28800</v>
      </c>
      <c r="K211" s="18" t="n">
        <f aca="false">ROUNDUP(G211,Assumptions!$B$10)</f>
        <v>28876.99</v>
      </c>
      <c r="L211" s="18" t="n">
        <f aca="false">ROUNDDOWN(G211,Assumptions!$B$10)</f>
        <v>28876.99</v>
      </c>
      <c r="M211" s="19" t="n">
        <f aca="false">INT('Cohort Data'!E211/Assumptions!$B$11)</f>
        <v>1</v>
      </c>
    </row>
    <row r="212" customFormat="false" ht="15" hidden="false" customHeight="false" outlineLevel="0" collapsed="false">
      <c r="A212" s="2" t="s">
        <v>312</v>
      </c>
      <c r="B212" s="18" t="n">
        <f aca="false">IF('Cohort Data'!D212=Assumptions!$B$16,ROUND('Cohort Data'!L212*'Cohort Data'!J212*Assumptions!$F$4,Assumptions!$B$10),Assumptions!$B$13)</f>
        <v>0</v>
      </c>
      <c r="C212" s="18" t="n">
        <f aca="false">IF('Cohort Data'!D212=Assumptions!$B$16,ROUND('Cohort Data'!E212*Assumptions!$B$6,Assumptions!$B$10),Assumptions!$B$13)</f>
        <v>0</v>
      </c>
      <c r="D212" s="18" t="n">
        <f aca="false">SUM(B212:C212)</f>
        <v>0</v>
      </c>
      <c r="E212" s="18" t="n">
        <f aca="false">ROUND(D212/Assumptions!$F$6,Assumptions!$B$10)</f>
        <v>0</v>
      </c>
      <c r="F212" s="18" t="n">
        <f aca="false">ROUND(E212*Assumptions!$B$7,Assumptions!$B$10)</f>
        <v>0</v>
      </c>
      <c r="G212" s="18" t="n">
        <f aca="false">SUM(E212:F212)</f>
        <v>0</v>
      </c>
      <c r="H212" s="18" t="n">
        <f aca="false">ROUND(G212-'Cohort Data'!H212,Assumptions!$B$10)</f>
        <v>-15876.96</v>
      </c>
      <c r="I212" s="18" t="n">
        <f aca="false">CEILING(G212,Assumptions!$B$12)</f>
        <v>0</v>
      </c>
      <c r="J212" s="18" t="n">
        <f aca="false">FLOOR(G212,Assumptions!$B$12)</f>
        <v>0</v>
      </c>
      <c r="K212" s="18" t="n">
        <f aca="false">ROUNDUP(G212,Assumptions!$B$10)</f>
        <v>0</v>
      </c>
      <c r="L212" s="18" t="n">
        <f aca="false">ROUNDDOWN(G212,Assumptions!$B$10)</f>
        <v>0</v>
      </c>
      <c r="M212" s="19" t="n">
        <f aca="false">INT('Cohort Data'!E212/Assumptions!$B$11)</f>
        <v>0</v>
      </c>
    </row>
    <row r="213" customFormat="false" ht="15" hidden="false" customHeight="false" outlineLevel="0" collapsed="false">
      <c r="A213" s="2" t="s">
        <v>313</v>
      </c>
      <c r="B213" s="18" t="n">
        <f aca="false">IF('Cohort Data'!D213=Assumptions!$B$16,ROUND('Cohort Data'!L213*'Cohort Data'!J213*Assumptions!$F$4,Assumptions!$B$10),Assumptions!$B$13)</f>
        <v>25066.54</v>
      </c>
      <c r="C213" s="18" t="n">
        <f aca="false">IF('Cohort Data'!D213=Assumptions!$B$16,ROUND('Cohort Data'!E213*Assumptions!$B$6,Assumptions!$B$10),Assumptions!$B$13)</f>
        <v>4025</v>
      </c>
      <c r="D213" s="18" t="n">
        <f aca="false">SUM(B213:C213)</f>
        <v>29091.54</v>
      </c>
      <c r="E213" s="18" t="n">
        <f aca="false">ROUND(D213/Assumptions!$F$6,Assumptions!$B$10)</f>
        <v>28244.21</v>
      </c>
      <c r="F213" s="18" t="n">
        <f aca="false">ROUND(E213*Assumptions!$B$7,Assumptions!$B$10)</f>
        <v>1129.77</v>
      </c>
      <c r="G213" s="18" t="n">
        <f aca="false">SUM(E213:F213)</f>
        <v>29373.98</v>
      </c>
      <c r="H213" s="18" t="n">
        <f aca="false">ROUND(G213-'Cohort Data'!H213,Assumptions!$B$10)</f>
        <v>6885.5</v>
      </c>
      <c r="I213" s="18" t="n">
        <f aca="false">CEILING(G213,Assumptions!$B$12)</f>
        <v>29400</v>
      </c>
      <c r="J213" s="18" t="n">
        <f aca="false">FLOOR(G213,Assumptions!$B$12)</f>
        <v>29300</v>
      </c>
      <c r="K213" s="18" t="n">
        <f aca="false">ROUNDUP(G213,Assumptions!$B$10)</f>
        <v>29373.98</v>
      </c>
      <c r="L213" s="18" t="n">
        <f aca="false">ROUNDDOWN(G213,Assumptions!$B$10)</f>
        <v>29373.98</v>
      </c>
      <c r="M213" s="19" t="n">
        <f aca="false">INT('Cohort Data'!E213/Assumptions!$B$11)</f>
        <v>1</v>
      </c>
    </row>
    <row r="214" customFormat="false" ht="15" hidden="false" customHeight="false" outlineLevel="0" collapsed="false">
      <c r="A214" s="2" t="s">
        <v>314</v>
      </c>
      <c r="B214" s="18" t="n">
        <f aca="false">IF('Cohort Data'!D214=Assumptions!$B$16,ROUND('Cohort Data'!L214*'Cohort Data'!J214*Assumptions!$F$4,Assumptions!$B$10),Assumptions!$B$13)</f>
        <v>30268.15</v>
      </c>
      <c r="C214" s="18" t="n">
        <f aca="false">IF('Cohort Data'!D214=Assumptions!$B$16,ROUND('Cohort Data'!E214*Assumptions!$B$6,Assumptions!$B$10),Assumptions!$B$13)</f>
        <v>3300</v>
      </c>
      <c r="D214" s="18" t="n">
        <f aca="false">SUM(B214:C214)</f>
        <v>33568.15</v>
      </c>
      <c r="E214" s="18" t="n">
        <f aca="false">ROUND(D214/Assumptions!$F$6,Assumptions!$B$10)</f>
        <v>32590.44</v>
      </c>
      <c r="F214" s="18" t="n">
        <f aca="false">ROUND(E214*Assumptions!$B$7,Assumptions!$B$10)</f>
        <v>1303.62</v>
      </c>
      <c r="G214" s="18" t="n">
        <f aca="false">SUM(E214:F214)</f>
        <v>33894.06</v>
      </c>
      <c r="H214" s="18" t="n">
        <f aca="false">ROUND(G214-'Cohort Data'!H214,Assumptions!$B$10)</f>
        <v>7128.68</v>
      </c>
      <c r="I214" s="18" t="n">
        <f aca="false">CEILING(G214,Assumptions!$B$12)</f>
        <v>33900</v>
      </c>
      <c r="J214" s="18" t="n">
        <f aca="false">FLOOR(G214,Assumptions!$B$12)</f>
        <v>33800</v>
      </c>
      <c r="K214" s="18" t="n">
        <f aca="false">ROUNDUP(G214,Assumptions!$B$10)</f>
        <v>33894.06</v>
      </c>
      <c r="L214" s="18" t="n">
        <f aca="false">ROUNDDOWN(G214,Assumptions!$B$10)</f>
        <v>33894.06</v>
      </c>
      <c r="M214" s="19" t="n">
        <f aca="false">INT('Cohort Data'!E214/Assumptions!$B$11)</f>
        <v>1</v>
      </c>
    </row>
    <row r="215" customFormat="false" ht="15" hidden="false" customHeight="false" outlineLevel="0" collapsed="false">
      <c r="A215" s="2" t="s">
        <v>315</v>
      </c>
      <c r="B215" s="18" t="n">
        <f aca="false">IF('Cohort Data'!D215=Assumptions!$B$16,ROUND('Cohort Data'!L215*'Cohort Data'!J215*Assumptions!$F$4,Assumptions!$B$10),Assumptions!$B$13)</f>
        <v>15626.86</v>
      </c>
      <c r="C215" s="18" t="n">
        <f aca="false">IF('Cohort Data'!D215=Assumptions!$B$16,ROUND('Cohort Data'!E215*Assumptions!$B$6,Assumptions!$B$10),Assumptions!$B$13)</f>
        <v>2325</v>
      </c>
      <c r="D215" s="18" t="n">
        <f aca="false">SUM(B215:C215)</f>
        <v>17951.86</v>
      </c>
      <c r="E215" s="18" t="n">
        <f aca="false">ROUND(D215/Assumptions!$F$6,Assumptions!$B$10)</f>
        <v>17428.99</v>
      </c>
      <c r="F215" s="18" t="n">
        <f aca="false">ROUND(E215*Assumptions!$B$7,Assumptions!$B$10)</f>
        <v>697.16</v>
      </c>
      <c r="G215" s="18" t="n">
        <f aca="false">SUM(E215:F215)</f>
        <v>18126.15</v>
      </c>
      <c r="H215" s="18" t="n">
        <f aca="false">ROUND(G215-'Cohort Data'!H215,Assumptions!$B$10)</f>
        <v>4868.07</v>
      </c>
      <c r="I215" s="18" t="n">
        <f aca="false">CEILING(G215,Assumptions!$B$12)</f>
        <v>18200</v>
      </c>
      <c r="J215" s="18" t="n">
        <f aca="false">FLOOR(G215,Assumptions!$B$12)</f>
        <v>18100</v>
      </c>
      <c r="K215" s="18" t="n">
        <f aca="false">ROUNDUP(G215,Assumptions!$B$10)</f>
        <v>18126.15</v>
      </c>
      <c r="L215" s="18" t="n">
        <f aca="false">ROUNDDOWN(G215,Assumptions!$B$10)</f>
        <v>18126.15</v>
      </c>
      <c r="M215" s="19" t="n">
        <f aca="false">INT('Cohort Data'!E215/Assumptions!$B$11)</f>
        <v>0</v>
      </c>
    </row>
    <row r="216" customFormat="false" ht="15" hidden="false" customHeight="false" outlineLevel="0" collapsed="false">
      <c r="A216" s="2" t="s">
        <v>316</v>
      </c>
      <c r="B216" s="18" t="n">
        <f aca="false">IF('Cohort Data'!D216=Assumptions!$B$16,ROUND('Cohort Data'!L216*'Cohort Data'!J216*Assumptions!$F$4,Assumptions!$B$10),Assumptions!$B$13)</f>
        <v>17126.21</v>
      </c>
      <c r="C216" s="18" t="n">
        <f aca="false">IF('Cohort Data'!D216=Assumptions!$B$16,ROUND('Cohort Data'!E216*Assumptions!$B$6,Assumptions!$B$10),Assumptions!$B$13)</f>
        <v>2500</v>
      </c>
      <c r="D216" s="18" t="n">
        <f aca="false">SUM(B216:C216)</f>
        <v>19626.21</v>
      </c>
      <c r="E216" s="18" t="n">
        <f aca="false">ROUND(D216/Assumptions!$F$6,Assumptions!$B$10)</f>
        <v>19054.57</v>
      </c>
      <c r="F216" s="18" t="n">
        <f aca="false">ROUND(E216*Assumptions!$B$7,Assumptions!$B$10)</f>
        <v>762.18</v>
      </c>
      <c r="G216" s="18" t="n">
        <f aca="false">SUM(E216:F216)</f>
        <v>19816.75</v>
      </c>
      <c r="H216" s="18" t="n">
        <f aca="false">ROUND(G216-'Cohort Data'!H216,Assumptions!$B$10)</f>
        <v>5560.75</v>
      </c>
      <c r="I216" s="18" t="n">
        <f aca="false">CEILING(G216,Assumptions!$B$12)</f>
        <v>19900</v>
      </c>
      <c r="J216" s="18" t="n">
        <f aca="false">FLOOR(G216,Assumptions!$B$12)</f>
        <v>19800</v>
      </c>
      <c r="K216" s="18" t="n">
        <f aca="false">ROUNDUP(G216,Assumptions!$B$10)</f>
        <v>19816.75</v>
      </c>
      <c r="L216" s="18" t="n">
        <f aca="false">ROUNDDOWN(G216,Assumptions!$B$10)</f>
        <v>19816.75</v>
      </c>
      <c r="M216" s="19" t="n">
        <f aca="false">INT('Cohort Data'!E216/Assumptions!$B$11)</f>
        <v>1</v>
      </c>
    </row>
    <row r="217" customFormat="false" ht="15" hidden="false" customHeight="false" outlineLevel="0" collapsed="false">
      <c r="A217" s="2" t="s">
        <v>317</v>
      </c>
      <c r="B217" s="18" t="n">
        <f aca="false">IF('Cohort Data'!D217=Assumptions!$B$16,ROUND('Cohort Data'!L217*'Cohort Data'!J217*Assumptions!$F$4,Assumptions!$B$10),Assumptions!$B$13)</f>
        <v>24945.88</v>
      </c>
      <c r="C217" s="18" t="n">
        <f aca="false">IF('Cohort Data'!D217=Assumptions!$B$16,ROUND('Cohort Data'!E217*Assumptions!$B$6,Assumptions!$B$10),Assumptions!$B$13)</f>
        <v>2650</v>
      </c>
      <c r="D217" s="18" t="n">
        <f aca="false">SUM(B217:C217)</f>
        <v>27595.88</v>
      </c>
      <c r="E217" s="18" t="n">
        <f aca="false">ROUND(D217/Assumptions!$F$6,Assumptions!$B$10)</f>
        <v>26792.12</v>
      </c>
      <c r="F217" s="18" t="n">
        <f aca="false">ROUND(E217*Assumptions!$B$7,Assumptions!$B$10)</f>
        <v>1071.68</v>
      </c>
      <c r="G217" s="18" t="n">
        <f aca="false">SUM(E217:F217)</f>
        <v>27863.8</v>
      </c>
      <c r="H217" s="18" t="n">
        <f aca="false">ROUND(G217-'Cohort Data'!H217,Assumptions!$B$10)</f>
        <v>4366.14</v>
      </c>
      <c r="I217" s="18" t="n">
        <f aca="false">CEILING(G217,Assumptions!$B$12)</f>
        <v>27900</v>
      </c>
      <c r="J217" s="18" t="n">
        <f aca="false">FLOOR(G217,Assumptions!$B$12)</f>
        <v>27800</v>
      </c>
      <c r="K217" s="18" t="n">
        <f aca="false">ROUNDUP(G217,Assumptions!$B$10)</f>
        <v>27863.8</v>
      </c>
      <c r="L217" s="18" t="n">
        <f aca="false">ROUNDDOWN(G217,Assumptions!$B$10)</f>
        <v>27863.8</v>
      </c>
      <c r="M217" s="19" t="n">
        <f aca="false">INT('Cohort Data'!E217/Assumptions!$B$11)</f>
        <v>1</v>
      </c>
    </row>
    <row r="218" customFormat="false" ht="15" hidden="false" customHeight="false" outlineLevel="0" collapsed="false">
      <c r="A218" s="2" t="s">
        <v>318</v>
      </c>
      <c r="B218" s="18" t="n">
        <f aca="false">IF('Cohort Data'!D218=Assumptions!$B$16,ROUND('Cohort Data'!L218*'Cohort Data'!J218*Assumptions!$F$4,Assumptions!$B$10),Assumptions!$B$13)</f>
        <v>31876.83</v>
      </c>
      <c r="C218" s="18" t="n">
        <f aca="false">IF('Cohort Data'!D218=Assumptions!$B$16,ROUND('Cohort Data'!E218*Assumptions!$B$6,Assumptions!$B$10),Assumptions!$B$13)</f>
        <v>3925</v>
      </c>
      <c r="D218" s="18" t="n">
        <f aca="false">SUM(B218:C218)</f>
        <v>35801.83</v>
      </c>
      <c r="E218" s="18" t="n">
        <f aca="false">ROUND(D218/Assumptions!$F$6,Assumptions!$B$10)</f>
        <v>34759.06</v>
      </c>
      <c r="F218" s="18" t="n">
        <f aca="false">ROUND(E218*Assumptions!$B$7,Assumptions!$B$10)</f>
        <v>1390.36</v>
      </c>
      <c r="G218" s="18" t="n">
        <f aca="false">SUM(E218:F218)</f>
        <v>36149.42</v>
      </c>
      <c r="H218" s="18" t="n">
        <f aca="false">ROUND(G218-'Cohort Data'!H218,Assumptions!$B$10)</f>
        <v>6400.12</v>
      </c>
      <c r="I218" s="18" t="n">
        <f aca="false">CEILING(G218,Assumptions!$B$12)</f>
        <v>36200</v>
      </c>
      <c r="J218" s="18" t="n">
        <f aca="false">FLOOR(G218,Assumptions!$B$12)</f>
        <v>36100</v>
      </c>
      <c r="K218" s="18" t="n">
        <f aca="false">ROUNDUP(G218,Assumptions!$B$10)</f>
        <v>36149.42</v>
      </c>
      <c r="L218" s="18" t="n">
        <f aca="false">ROUNDDOWN(G218,Assumptions!$B$10)</f>
        <v>36149.42</v>
      </c>
      <c r="M218" s="19" t="n">
        <f aca="false">INT('Cohort Data'!E218/Assumptions!$B$11)</f>
        <v>1</v>
      </c>
    </row>
    <row r="219" customFormat="false" ht="15" hidden="false" customHeight="false" outlineLevel="0" collapsed="false">
      <c r="A219" s="2" t="s">
        <v>319</v>
      </c>
      <c r="B219" s="18" t="n">
        <f aca="false">IF('Cohort Data'!D219=Assumptions!$B$16,ROUND('Cohort Data'!L219*'Cohort Data'!J219*Assumptions!$F$4,Assumptions!$B$10),Assumptions!$B$13)</f>
        <v>18916.68</v>
      </c>
      <c r="C219" s="18" t="n">
        <f aca="false">IF('Cohort Data'!D219=Assumptions!$B$16,ROUND('Cohort Data'!E219*Assumptions!$B$6,Assumptions!$B$10),Assumptions!$B$13)</f>
        <v>2250</v>
      </c>
      <c r="D219" s="18" t="n">
        <f aca="false">SUM(B219:C219)</f>
        <v>21166.68</v>
      </c>
      <c r="E219" s="18" t="n">
        <f aca="false">ROUND(D219/Assumptions!$F$6,Assumptions!$B$10)</f>
        <v>20550.17</v>
      </c>
      <c r="F219" s="18" t="n">
        <f aca="false">ROUND(E219*Assumptions!$B$7,Assumptions!$B$10)</f>
        <v>822.01</v>
      </c>
      <c r="G219" s="18" t="n">
        <f aca="false">SUM(E219:F219)</f>
        <v>21372.18</v>
      </c>
      <c r="H219" s="18" t="n">
        <f aca="false">ROUND(G219-'Cohort Data'!H219,Assumptions!$B$10)</f>
        <v>5100.9</v>
      </c>
      <c r="I219" s="18" t="n">
        <f aca="false">CEILING(G219,Assumptions!$B$12)</f>
        <v>21400</v>
      </c>
      <c r="J219" s="18" t="n">
        <f aca="false">FLOOR(G219,Assumptions!$B$12)</f>
        <v>21300</v>
      </c>
      <c r="K219" s="18" t="n">
        <f aca="false">ROUNDUP(G219,Assumptions!$B$10)</f>
        <v>21372.18</v>
      </c>
      <c r="L219" s="18" t="n">
        <f aca="false">ROUNDDOWN(G219,Assumptions!$B$10)</f>
        <v>21372.17</v>
      </c>
      <c r="M219" s="19" t="n">
        <f aca="false">INT('Cohort Data'!E219/Assumptions!$B$11)</f>
        <v>0</v>
      </c>
    </row>
    <row r="220" customFormat="false" ht="15" hidden="false" customHeight="false" outlineLevel="0" collapsed="false">
      <c r="A220" s="2" t="s">
        <v>320</v>
      </c>
      <c r="B220" s="18" t="n">
        <f aca="false">IF('Cohort Data'!D220=Assumptions!$B$16,ROUND('Cohort Data'!L220*'Cohort Data'!J220*Assumptions!$F$4,Assumptions!$B$10),Assumptions!$B$13)</f>
        <v>30412.97</v>
      </c>
      <c r="C220" s="18" t="n">
        <f aca="false">IF('Cohort Data'!D220=Assumptions!$B$16,ROUND('Cohort Data'!E220*Assumptions!$B$6,Assumptions!$B$10),Assumptions!$B$13)</f>
        <v>4200</v>
      </c>
      <c r="D220" s="18" t="n">
        <f aca="false">SUM(B220:C220)</f>
        <v>34612.97</v>
      </c>
      <c r="E220" s="18" t="n">
        <f aca="false">ROUND(D220/Assumptions!$F$6,Assumptions!$B$10)</f>
        <v>33604.83</v>
      </c>
      <c r="F220" s="18" t="n">
        <f aca="false">ROUND(E220*Assumptions!$B$7,Assumptions!$B$10)</f>
        <v>1344.19</v>
      </c>
      <c r="G220" s="18" t="n">
        <f aca="false">SUM(E220:F220)</f>
        <v>34949.02</v>
      </c>
      <c r="H220" s="18" t="n">
        <f aca="false">ROUND(G220-'Cohort Data'!H220,Assumptions!$B$10)</f>
        <v>7470.94</v>
      </c>
      <c r="I220" s="18" t="n">
        <f aca="false">CEILING(G220,Assumptions!$B$12)</f>
        <v>35000</v>
      </c>
      <c r="J220" s="18" t="n">
        <f aca="false">FLOOR(G220,Assumptions!$B$12)</f>
        <v>34900</v>
      </c>
      <c r="K220" s="18" t="n">
        <f aca="false">ROUNDUP(G220,Assumptions!$B$10)</f>
        <v>34949.03</v>
      </c>
      <c r="L220" s="18" t="n">
        <f aca="false">ROUNDDOWN(G220,Assumptions!$B$10)</f>
        <v>34949.02</v>
      </c>
      <c r="M220" s="19" t="n">
        <f aca="false">INT('Cohort Data'!E220/Assumptions!$B$11)</f>
        <v>1</v>
      </c>
    </row>
    <row r="221" customFormat="false" ht="15" hidden="false" customHeight="false" outlineLevel="0" collapsed="false">
      <c r="A221" s="2" t="s">
        <v>321</v>
      </c>
      <c r="B221" s="18" t="n">
        <f aca="false">IF('Cohort Data'!D221=Assumptions!$B$16,ROUND('Cohort Data'!L221*'Cohort Data'!J221*Assumptions!$F$4,Assumptions!$B$10),Assumptions!$B$13)</f>
        <v>21759.98</v>
      </c>
      <c r="C221" s="18" t="n">
        <f aca="false">IF('Cohort Data'!D221=Assumptions!$B$16,ROUND('Cohort Data'!E221*Assumptions!$B$6,Assumptions!$B$10),Assumptions!$B$13)</f>
        <v>2775</v>
      </c>
      <c r="D221" s="18" t="n">
        <f aca="false">SUM(B221:C221)</f>
        <v>24534.98</v>
      </c>
      <c r="E221" s="18" t="n">
        <f aca="false">ROUND(D221/Assumptions!$F$6,Assumptions!$B$10)</f>
        <v>23820.37</v>
      </c>
      <c r="F221" s="18" t="n">
        <f aca="false">ROUND(E221*Assumptions!$B$7,Assumptions!$B$10)</f>
        <v>952.81</v>
      </c>
      <c r="G221" s="18" t="n">
        <f aca="false">SUM(E221:F221)</f>
        <v>24773.18</v>
      </c>
      <c r="H221" s="18" t="n">
        <f aca="false">ROUND(G221-'Cohort Data'!H221,Assumptions!$B$10)</f>
        <v>4465.51</v>
      </c>
      <c r="I221" s="18" t="n">
        <f aca="false">CEILING(G221,Assumptions!$B$12)</f>
        <v>24800</v>
      </c>
      <c r="J221" s="18" t="n">
        <f aca="false">FLOOR(G221,Assumptions!$B$12)</f>
        <v>24700</v>
      </c>
      <c r="K221" s="18" t="n">
        <f aca="false">ROUNDUP(G221,Assumptions!$B$10)</f>
        <v>24773.18</v>
      </c>
      <c r="L221" s="18" t="n">
        <f aca="false">ROUNDDOWN(G221,Assumptions!$B$10)</f>
        <v>24773.18</v>
      </c>
      <c r="M221" s="19" t="n">
        <f aca="false">INT('Cohort Data'!E221/Assumptions!$B$11)</f>
        <v>1</v>
      </c>
    </row>
    <row r="222" customFormat="false" ht="15" hidden="false" customHeight="false" outlineLevel="0" collapsed="false">
      <c r="A222" s="2" t="s">
        <v>322</v>
      </c>
      <c r="B222" s="18" t="n">
        <f aca="false">IF('Cohort Data'!D222=Assumptions!$B$16,ROUND('Cohort Data'!L222*'Cohort Data'!J222*Assumptions!$F$4,Assumptions!$B$10),Assumptions!$B$13)</f>
        <v>70061.76</v>
      </c>
      <c r="C222" s="18" t="n">
        <f aca="false">IF('Cohort Data'!D222=Assumptions!$B$16,ROUND('Cohort Data'!E222*Assumptions!$B$6,Assumptions!$B$10),Assumptions!$B$13)</f>
        <v>6250</v>
      </c>
      <c r="D222" s="18" t="n">
        <f aca="false">SUM(B222:C222)</f>
        <v>76311.76</v>
      </c>
      <c r="E222" s="18" t="n">
        <f aca="false">ROUND(D222/Assumptions!$F$6,Assumptions!$B$10)</f>
        <v>74089.09</v>
      </c>
      <c r="F222" s="18" t="n">
        <f aca="false">ROUND(E222*Assumptions!$B$7,Assumptions!$B$10)</f>
        <v>2963.56</v>
      </c>
      <c r="G222" s="18" t="n">
        <f aca="false">SUM(E222:F222)</f>
        <v>77052.65</v>
      </c>
      <c r="H222" s="18" t="n">
        <f aca="false">ROUND(G222-'Cohort Data'!H222,Assumptions!$B$10)</f>
        <v>18732.65</v>
      </c>
      <c r="I222" s="18" t="n">
        <f aca="false">CEILING(G222,Assumptions!$B$12)</f>
        <v>77100</v>
      </c>
      <c r="J222" s="18" t="n">
        <f aca="false">FLOOR(G222,Assumptions!$B$12)</f>
        <v>77000</v>
      </c>
      <c r="K222" s="18" t="n">
        <f aca="false">ROUNDUP(G222,Assumptions!$B$10)</f>
        <v>77052.65</v>
      </c>
      <c r="L222" s="18" t="n">
        <f aca="false">ROUNDDOWN(G222,Assumptions!$B$10)</f>
        <v>77052.65</v>
      </c>
      <c r="M222" s="19" t="n">
        <f aca="false">INT('Cohort Data'!E222/Assumptions!$B$11)</f>
        <v>2</v>
      </c>
    </row>
    <row r="223" customFormat="false" ht="15" hidden="false" customHeight="false" outlineLevel="0" collapsed="false">
      <c r="A223" s="2" t="s">
        <v>323</v>
      </c>
      <c r="B223" s="18" t="n">
        <f aca="false">IF('Cohort Data'!D223=Assumptions!$B$16,ROUND('Cohort Data'!L223*'Cohort Data'!J223*Assumptions!$F$4,Assumptions!$B$10),Assumptions!$B$13)</f>
        <v>21506.32</v>
      </c>
      <c r="C223" s="18" t="n">
        <f aca="false">IF('Cohort Data'!D223=Assumptions!$B$16,ROUND('Cohort Data'!E223*Assumptions!$B$6,Assumptions!$B$10),Assumptions!$B$13)</f>
        <v>2025</v>
      </c>
      <c r="D223" s="18" t="n">
        <f aca="false">SUM(B223:C223)</f>
        <v>23531.32</v>
      </c>
      <c r="E223" s="18" t="n">
        <f aca="false">ROUND(D223/Assumptions!$F$6,Assumptions!$B$10)</f>
        <v>22845.94</v>
      </c>
      <c r="F223" s="18" t="n">
        <f aca="false">ROUND(E223*Assumptions!$B$7,Assumptions!$B$10)</f>
        <v>913.84</v>
      </c>
      <c r="G223" s="18" t="n">
        <f aca="false">SUM(E223:F223)</f>
        <v>23759.78</v>
      </c>
      <c r="H223" s="18" t="n">
        <f aca="false">ROUND(G223-'Cohort Data'!H223,Assumptions!$B$10)</f>
        <v>5155.7</v>
      </c>
      <c r="I223" s="18" t="n">
        <f aca="false">CEILING(G223,Assumptions!$B$12)</f>
        <v>23800</v>
      </c>
      <c r="J223" s="18" t="n">
        <f aca="false">FLOOR(G223,Assumptions!$B$12)</f>
        <v>23700</v>
      </c>
      <c r="K223" s="18" t="n">
        <f aca="false">ROUNDUP(G223,Assumptions!$B$10)</f>
        <v>23759.78</v>
      </c>
      <c r="L223" s="18" t="n">
        <f aca="false">ROUNDDOWN(G223,Assumptions!$B$10)</f>
        <v>23759.78</v>
      </c>
      <c r="M223" s="19" t="n">
        <f aca="false">INT('Cohort Data'!E223/Assumptions!$B$11)</f>
        <v>0</v>
      </c>
    </row>
    <row r="224" customFormat="false" ht="15" hidden="false" customHeight="false" outlineLevel="0" collapsed="false">
      <c r="A224" s="2" t="s">
        <v>324</v>
      </c>
      <c r="B224" s="18" t="n">
        <f aca="false">IF('Cohort Data'!D224=Assumptions!$B$16,ROUND('Cohort Data'!L224*'Cohort Data'!J224*Assumptions!$F$4,Assumptions!$B$10),Assumptions!$B$13)</f>
        <v>21563.94</v>
      </c>
      <c r="C224" s="18" t="n">
        <f aca="false">IF('Cohort Data'!D224=Assumptions!$B$16,ROUND('Cohort Data'!E224*Assumptions!$B$6,Assumptions!$B$10),Assumptions!$B$13)</f>
        <v>2200</v>
      </c>
      <c r="D224" s="18" t="n">
        <f aca="false">SUM(B224:C224)</f>
        <v>23763.94</v>
      </c>
      <c r="E224" s="18" t="n">
        <f aca="false">ROUND(D224/Assumptions!$F$6,Assumptions!$B$10)</f>
        <v>23071.79</v>
      </c>
      <c r="F224" s="18" t="n">
        <f aca="false">ROUND(E224*Assumptions!$B$7,Assumptions!$B$10)</f>
        <v>922.87</v>
      </c>
      <c r="G224" s="18" t="n">
        <f aca="false">SUM(E224:F224)</f>
        <v>23994.66</v>
      </c>
      <c r="H224" s="18" t="n">
        <f aca="false">ROUND(G224-'Cohort Data'!H224,Assumptions!$B$10)</f>
        <v>4683.06</v>
      </c>
      <c r="I224" s="18" t="n">
        <f aca="false">CEILING(G224,Assumptions!$B$12)</f>
        <v>24000</v>
      </c>
      <c r="J224" s="18" t="n">
        <f aca="false">FLOOR(G224,Assumptions!$B$12)</f>
        <v>23900</v>
      </c>
      <c r="K224" s="18" t="n">
        <f aca="false">ROUNDUP(G224,Assumptions!$B$10)</f>
        <v>23994.66</v>
      </c>
      <c r="L224" s="18" t="n">
        <f aca="false">ROUNDDOWN(G224,Assumptions!$B$10)</f>
        <v>23994.66</v>
      </c>
      <c r="M224" s="19" t="n">
        <f aca="false">INT('Cohort Data'!E224/Assumptions!$B$11)</f>
        <v>0</v>
      </c>
    </row>
    <row r="225" customFormat="false" ht="15" hidden="false" customHeight="false" outlineLevel="0" collapsed="false">
      <c r="A225" s="2" t="s">
        <v>325</v>
      </c>
      <c r="B225" s="18" t="n">
        <f aca="false">IF('Cohort Data'!D225=Assumptions!$B$16,ROUND('Cohort Data'!L225*'Cohort Data'!J225*Assumptions!$F$4,Assumptions!$B$10),Assumptions!$B$13)</f>
        <v>46053.93</v>
      </c>
      <c r="C225" s="18" t="n">
        <f aca="false">IF('Cohort Data'!D225=Assumptions!$B$16,ROUND('Cohort Data'!E225*Assumptions!$B$6,Assumptions!$B$10),Assumptions!$B$13)</f>
        <v>4350</v>
      </c>
      <c r="D225" s="18" t="n">
        <f aca="false">SUM(B225:C225)</f>
        <v>50403.93</v>
      </c>
      <c r="E225" s="18" t="n">
        <f aca="false">ROUND(D225/Assumptions!$F$6,Assumptions!$B$10)</f>
        <v>48935.85</v>
      </c>
      <c r="F225" s="18" t="n">
        <f aca="false">ROUND(E225*Assumptions!$B$7,Assumptions!$B$10)</f>
        <v>1957.43</v>
      </c>
      <c r="G225" s="18" t="n">
        <f aca="false">SUM(E225:F225)</f>
        <v>50893.28</v>
      </c>
      <c r="H225" s="18" t="n">
        <f aca="false">ROUND(G225-'Cohort Data'!H225,Assumptions!$B$10)</f>
        <v>10001.89</v>
      </c>
      <c r="I225" s="18" t="n">
        <f aca="false">CEILING(G225,Assumptions!$B$12)</f>
        <v>50900</v>
      </c>
      <c r="J225" s="18" t="n">
        <f aca="false">FLOOR(G225,Assumptions!$B$12)</f>
        <v>50800</v>
      </c>
      <c r="K225" s="18" t="n">
        <f aca="false">ROUNDUP(G225,Assumptions!$B$10)</f>
        <v>50893.28</v>
      </c>
      <c r="L225" s="18" t="n">
        <f aca="false">ROUNDDOWN(G225,Assumptions!$B$10)</f>
        <v>50893.28</v>
      </c>
      <c r="M225" s="19" t="n">
        <f aca="false">INT('Cohort Data'!E225/Assumptions!$B$11)</f>
        <v>1</v>
      </c>
    </row>
    <row r="226" customFormat="false" ht="15" hidden="false" customHeight="false" outlineLevel="0" collapsed="false">
      <c r="A226" s="2" t="s">
        <v>326</v>
      </c>
      <c r="B226" s="18" t="n">
        <f aca="false">IF('Cohort Data'!D226=Assumptions!$B$16,ROUND('Cohort Data'!L226*'Cohort Data'!J226*Assumptions!$F$4,Assumptions!$B$10),Assumptions!$B$13)</f>
        <v>32790.49</v>
      </c>
      <c r="C226" s="18" t="n">
        <f aca="false">IF('Cohort Data'!D226=Assumptions!$B$16,ROUND('Cohort Data'!E226*Assumptions!$B$6,Assumptions!$B$10),Assumptions!$B$13)</f>
        <v>6175</v>
      </c>
      <c r="D226" s="18" t="n">
        <f aca="false">SUM(B226:C226)</f>
        <v>38965.49</v>
      </c>
      <c r="E226" s="18" t="n">
        <f aca="false">ROUND(D226/Assumptions!$F$6,Assumptions!$B$10)</f>
        <v>37830.57</v>
      </c>
      <c r="F226" s="18" t="n">
        <f aca="false">ROUND(E226*Assumptions!$B$7,Assumptions!$B$10)</f>
        <v>1513.22</v>
      </c>
      <c r="G226" s="18" t="n">
        <f aca="false">SUM(E226:F226)</f>
        <v>39343.79</v>
      </c>
      <c r="H226" s="18" t="n">
        <f aca="false">ROUND(G226-'Cohort Data'!H226,Assumptions!$B$10)</f>
        <v>7826.59</v>
      </c>
      <c r="I226" s="18" t="n">
        <f aca="false">CEILING(G226,Assumptions!$B$12)</f>
        <v>39400</v>
      </c>
      <c r="J226" s="18" t="n">
        <f aca="false">FLOOR(G226,Assumptions!$B$12)</f>
        <v>39300</v>
      </c>
      <c r="K226" s="18" t="n">
        <f aca="false">ROUNDUP(G226,Assumptions!$B$10)</f>
        <v>39343.79</v>
      </c>
      <c r="L226" s="18" t="n">
        <f aca="false">ROUNDDOWN(G226,Assumptions!$B$10)</f>
        <v>39343.79</v>
      </c>
      <c r="M226" s="19" t="n">
        <f aca="false">INT('Cohort Data'!E226/Assumptions!$B$11)</f>
        <v>2</v>
      </c>
    </row>
    <row r="227" customFormat="false" ht="15" hidden="false" customHeight="false" outlineLevel="0" collapsed="false">
      <c r="A227" s="2" t="s">
        <v>327</v>
      </c>
      <c r="B227" s="18" t="n">
        <f aca="false">IF('Cohort Data'!D227=Assumptions!$B$16,ROUND('Cohort Data'!L227*'Cohort Data'!J227*Assumptions!$F$4,Assumptions!$B$10),Assumptions!$B$13)</f>
        <v>20506.75</v>
      </c>
      <c r="C227" s="18" t="n">
        <f aca="false">IF('Cohort Data'!D227=Assumptions!$B$16,ROUND('Cohort Data'!E227*Assumptions!$B$6,Assumptions!$B$10),Assumptions!$B$13)</f>
        <v>2525</v>
      </c>
      <c r="D227" s="18" t="n">
        <f aca="false">SUM(B227:C227)</f>
        <v>23031.75</v>
      </c>
      <c r="E227" s="18" t="n">
        <f aca="false">ROUND(D227/Assumptions!$F$6,Assumptions!$B$10)</f>
        <v>22360.92</v>
      </c>
      <c r="F227" s="18" t="n">
        <f aca="false">ROUND(E227*Assumptions!$B$7,Assumptions!$B$10)</f>
        <v>894.44</v>
      </c>
      <c r="G227" s="18" t="n">
        <f aca="false">SUM(E227:F227)</f>
        <v>23255.36</v>
      </c>
      <c r="H227" s="18" t="n">
        <f aca="false">ROUND(G227-'Cohort Data'!H227,Assumptions!$B$10)</f>
        <v>3923.96</v>
      </c>
      <c r="I227" s="18" t="n">
        <f aca="false">CEILING(G227,Assumptions!$B$12)</f>
        <v>23300</v>
      </c>
      <c r="J227" s="18" t="n">
        <f aca="false">FLOOR(G227,Assumptions!$B$12)</f>
        <v>23200</v>
      </c>
      <c r="K227" s="18" t="n">
        <f aca="false">ROUNDUP(G227,Assumptions!$B$10)</f>
        <v>23255.36</v>
      </c>
      <c r="L227" s="18" t="n">
        <f aca="false">ROUNDDOWN(G227,Assumptions!$B$10)</f>
        <v>23255.35</v>
      </c>
      <c r="M227" s="19" t="n">
        <f aca="false">INT('Cohort Data'!E227/Assumptions!$B$11)</f>
        <v>1</v>
      </c>
    </row>
    <row r="228" customFormat="false" ht="15" hidden="false" customHeight="false" outlineLevel="0" collapsed="false">
      <c r="A228" s="2" t="s">
        <v>328</v>
      </c>
      <c r="B228" s="18" t="n">
        <f aca="false">IF('Cohort Data'!D228=Assumptions!$B$16,ROUND('Cohort Data'!L228*'Cohort Data'!J228*Assumptions!$F$4,Assumptions!$B$10),Assumptions!$B$13)</f>
        <v>50351.05</v>
      </c>
      <c r="C228" s="18" t="n">
        <f aca="false">IF('Cohort Data'!D228=Assumptions!$B$16,ROUND('Cohort Data'!E228*Assumptions!$B$6,Assumptions!$B$10),Assumptions!$B$13)</f>
        <v>3850</v>
      </c>
      <c r="D228" s="18" t="n">
        <f aca="false">SUM(B228:C228)</f>
        <v>54201.05</v>
      </c>
      <c r="E228" s="18" t="n">
        <f aca="false">ROUND(D228/Assumptions!$F$6,Assumptions!$B$10)</f>
        <v>52622.38</v>
      </c>
      <c r="F228" s="18" t="n">
        <f aca="false">ROUND(E228*Assumptions!$B$7,Assumptions!$B$10)</f>
        <v>2104.9</v>
      </c>
      <c r="G228" s="18" t="n">
        <f aca="false">SUM(E228:F228)</f>
        <v>54727.28</v>
      </c>
      <c r="H228" s="18" t="n">
        <f aca="false">ROUND(G228-'Cohort Data'!H228,Assumptions!$B$10)</f>
        <v>10020.46</v>
      </c>
      <c r="I228" s="18" t="n">
        <f aca="false">CEILING(G228,Assumptions!$B$12)</f>
        <v>54800</v>
      </c>
      <c r="J228" s="18" t="n">
        <f aca="false">FLOOR(G228,Assumptions!$B$12)</f>
        <v>54700</v>
      </c>
      <c r="K228" s="18" t="n">
        <f aca="false">ROUNDUP(G228,Assumptions!$B$10)</f>
        <v>54727.28</v>
      </c>
      <c r="L228" s="18" t="n">
        <f aca="false">ROUNDDOWN(G228,Assumptions!$B$10)</f>
        <v>54727.28</v>
      </c>
      <c r="M228" s="19" t="n">
        <f aca="false">INT('Cohort Data'!E228/Assumptions!$B$11)</f>
        <v>1</v>
      </c>
    </row>
    <row r="229" customFormat="false" ht="15" hidden="false" customHeight="false" outlineLevel="0" collapsed="false">
      <c r="A229" s="2" t="s">
        <v>329</v>
      </c>
      <c r="B229" s="18" t="n">
        <f aca="false">IF('Cohort Data'!D229=Assumptions!$B$16,ROUND('Cohort Data'!L229*'Cohort Data'!J229*Assumptions!$F$4,Assumptions!$B$10),Assumptions!$B$13)</f>
        <v>41491.98</v>
      </c>
      <c r="C229" s="18" t="n">
        <f aca="false">IF('Cohort Data'!D229=Assumptions!$B$16,ROUND('Cohort Data'!E229*Assumptions!$B$6,Assumptions!$B$10),Assumptions!$B$13)</f>
        <v>4775</v>
      </c>
      <c r="D229" s="18" t="n">
        <f aca="false">SUM(B229:C229)</f>
        <v>46266.98</v>
      </c>
      <c r="E229" s="18" t="n">
        <f aca="false">ROUND(D229/Assumptions!$F$6,Assumptions!$B$10)</f>
        <v>44919.4</v>
      </c>
      <c r="F229" s="18" t="n">
        <f aca="false">ROUND(E229*Assumptions!$B$7,Assumptions!$B$10)</f>
        <v>1796.78</v>
      </c>
      <c r="G229" s="18" t="n">
        <f aca="false">SUM(E229:F229)</f>
        <v>46716.18</v>
      </c>
      <c r="H229" s="18" t="n">
        <f aca="false">ROUND(G229-'Cohort Data'!H229,Assumptions!$B$10)</f>
        <v>9228.23</v>
      </c>
      <c r="I229" s="18" t="n">
        <f aca="false">CEILING(G229,Assumptions!$B$12)</f>
        <v>46800</v>
      </c>
      <c r="J229" s="18" t="n">
        <f aca="false">FLOOR(G229,Assumptions!$B$12)</f>
        <v>46700</v>
      </c>
      <c r="K229" s="18" t="n">
        <f aca="false">ROUNDUP(G229,Assumptions!$B$10)</f>
        <v>46716.18</v>
      </c>
      <c r="L229" s="18" t="n">
        <f aca="false">ROUNDDOWN(G229,Assumptions!$B$10)</f>
        <v>46716.18</v>
      </c>
      <c r="M229" s="19" t="n">
        <f aca="false">INT('Cohort Data'!E229/Assumptions!$B$11)</f>
        <v>1</v>
      </c>
    </row>
    <row r="230" customFormat="false" ht="15" hidden="false" customHeight="false" outlineLevel="0" collapsed="false">
      <c r="A230" s="2" t="s">
        <v>330</v>
      </c>
      <c r="B230" s="18" t="n">
        <f aca="false">IF('Cohort Data'!D230=Assumptions!$B$16,ROUND('Cohort Data'!L230*'Cohort Data'!J230*Assumptions!$F$4,Assumptions!$B$10),Assumptions!$B$13)</f>
        <v>36980.76</v>
      </c>
      <c r="C230" s="18" t="n">
        <f aca="false">IF('Cohort Data'!D230=Assumptions!$B$16,ROUND('Cohort Data'!E230*Assumptions!$B$6,Assumptions!$B$10),Assumptions!$B$13)</f>
        <v>3475</v>
      </c>
      <c r="D230" s="18" t="n">
        <f aca="false">SUM(B230:C230)</f>
        <v>40455.76</v>
      </c>
      <c r="E230" s="18" t="n">
        <f aca="false">ROUND(D230/Assumptions!$F$6,Assumptions!$B$10)</f>
        <v>39277.44</v>
      </c>
      <c r="F230" s="18" t="n">
        <f aca="false">ROUND(E230*Assumptions!$B$7,Assumptions!$B$10)</f>
        <v>1571.1</v>
      </c>
      <c r="G230" s="18" t="n">
        <f aca="false">SUM(E230:F230)</f>
        <v>40848.54</v>
      </c>
      <c r="H230" s="18" t="n">
        <f aca="false">ROUND(G230-'Cohort Data'!H230,Assumptions!$B$10)</f>
        <v>7033.18</v>
      </c>
      <c r="I230" s="18" t="n">
        <f aca="false">CEILING(G230,Assumptions!$B$12)</f>
        <v>40900</v>
      </c>
      <c r="J230" s="18" t="n">
        <f aca="false">FLOOR(G230,Assumptions!$B$12)</f>
        <v>40800</v>
      </c>
      <c r="K230" s="18" t="n">
        <f aca="false">ROUNDUP(G230,Assumptions!$B$10)</f>
        <v>40848.54</v>
      </c>
      <c r="L230" s="18" t="n">
        <f aca="false">ROUNDDOWN(G230,Assumptions!$B$10)</f>
        <v>40848.54</v>
      </c>
      <c r="M230" s="19" t="n">
        <f aca="false">INT('Cohort Data'!E230/Assumptions!$B$11)</f>
        <v>1</v>
      </c>
    </row>
    <row r="231" customFormat="false" ht="15" hidden="false" customHeight="false" outlineLevel="0" collapsed="false">
      <c r="A231" s="2" t="s">
        <v>331</v>
      </c>
      <c r="B231" s="18" t="n">
        <f aca="false">IF('Cohort Data'!D231=Assumptions!$B$16,ROUND('Cohort Data'!L231*'Cohort Data'!J231*Assumptions!$F$4,Assumptions!$B$10),Assumptions!$B$13)</f>
        <v>0</v>
      </c>
      <c r="C231" s="18" t="n">
        <f aca="false">IF('Cohort Data'!D231=Assumptions!$B$16,ROUND('Cohort Data'!E231*Assumptions!$B$6,Assumptions!$B$10),Assumptions!$B$13)</f>
        <v>0</v>
      </c>
      <c r="D231" s="18" t="n">
        <f aca="false">SUM(B231:C231)</f>
        <v>0</v>
      </c>
      <c r="E231" s="18" t="n">
        <f aca="false">ROUND(D231/Assumptions!$F$6,Assumptions!$B$10)</f>
        <v>0</v>
      </c>
      <c r="F231" s="18" t="n">
        <f aca="false">ROUND(E231*Assumptions!$B$7,Assumptions!$B$10)</f>
        <v>0</v>
      </c>
      <c r="G231" s="18" t="n">
        <f aca="false">SUM(E231:F231)</f>
        <v>0</v>
      </c>
      <c r="H231" s="18" t="n">
        <f aca="false">ROUND(G231-'Cohort Data'!H231,Assumptions!$B$10)</f>
        <v>-42681.6</v>
      </c>
      <c r="I231" s="18" t="n">
        <f aca="false">CEILING(G231,Assumptions!$B$12)</f>
        <v>0</v>
      </c>
      <c r="J231" s="18" t="n">
        <f aca="false">FLOOR(G231,Assumptions!$B$12)</f>
        <v>0</v>
      </c>
      <c r="K231" s="18" t="n">
        <f aca="false">ROUNDUP(G231,Assumptions!$B$10)</f>
        <v>0</v>
      </c>
      <c r="L231" s="18" t="n">
        <f aca="false">ROUNDDOWN(G231,Assumptions!$B$10)</f>
        <v>0</v>
      </c>
      <c r="M231" s="19" t="n">
        <f aca="false">INT('Cohort Data'!E231/Assumptions!$B$11)</f>
        <v>1</v>
      </c>
    </row>
    <row r="232" customFormat="false" ht="15" hidden="false" customHeight="false" outlineLevel="0" collapsed="false">
      <c r="A232" s="2" t="s">
        <v>332</v>
      </c>
      <c r="B232" s="18" t="n">
        <f aca="false">IF('Cohort Data'!D232=Assumptions!$B$16,ROUND('Cohort Data'!L232*'Cohort Data'!J232*Assumptions!$F$4,Assumptions!$B$10),Assumptions!$B$13)</f>
        <v>42795.4</v>
      </c>
      <c r="C232" s="18" t="n">
        <f aca="false">IF('Cohort Data'!D232=Assumptions!$B$16,ROUND('Cohort Data'!E232*Assumptions!$B$6,Assumptions!$B$10),Assumptions!$B$13)</f>
        <v>4925</v>
      </c>
      <c r="D232" s="18" t="n">
        <f aca="false">SUM(B232:C232)</f>
        <v>47720.4</v>
      </c>
      <c r="E232" s="18" t="n">
        <f aca="false">ROUND(D232/Assumptions!$F$6,Assumptions!$B$10)</f>
        <v>46330.49</v>
      </c>
      <c r="F232" s="18" t="n">
        <f aca="false">ROUND(E232*Assumptions!$B$7,Assumptions!$B$10)</f>
        <v>1853.22</v>
      </c>
      <c r="G232" s="18" t="n">
        <f aca="false">SUM(E232:F232)</f>
        <v>48183.71</v>
      </c>
      <c r="H232" s="18" t="n">
        <f aca="false">ROUND(G232-'Cohort Data'!H232,Assumptions!$B$10)</f>
        <v>9929.46</v>
      </c>
      <c r="I232" s="18" t="n">
        <f aca="false">CEILING(G232,Assumptions!$B$12)</f>
        <v>48200</v>
      </c>
      <c r="J232" s="18" t="n">
        <f aca="false">FLOOR(G232,Assumptions!$B$12)</f>
        <v>48100</v>
      </c>
      <c r="K232" s="18" t="n">
        <f aca="false">ROUNDUP(G232,Assumptions!$B$10)</f>
        <v>48183.71</v>
      </c>
      <c r="L232" s="18" t="n">
        <f aca="false">ROUNDDOWN(G232,Assumptions!$B$10)</f>
        <v>48183.71</v>
      </c>
      <c r="M232" s="19" t="n">
        <f aca="false">INT('Cohort Data'!E232/Assumptions!$B$11)</f>
        <v>1</v>
      </c>
    </row>
    <row r="233" customFormat="false" ht="15" hidden="false" customHeight="false" outlineLevel="0" collapsed="false">
      <c r="A233" s="2" t="s">
        <v>333</v>
      </c>
      <c r="B233" s="18" t="n">
        <f aca="false">IF('Cohort Data'!D233=Assumptions!$B$16,ROUND('Cohort Data'!L233*'Cohort Data'!J233*Assumptions!$F$4,Assumptions!$B$10),Assumptions!$B$13)</f>
        <v>24532.49</v>
      </c>
      <c r="C233" s="18" t="n">
        <f aca="false">IF('Cohort Data'!D233=Assumptions!$B$16,ROUND('Cohort Data'!E233*Assumptions!$B$6,Assumptions!$B$10),Assumptions!$B$13)</f>
        <v>3650</v>
      </c>
      <c r="D233" s="18" t="n">
        <f aca="false">SUM(B233:C233)</f>
        <v>28182.49</v>
      </c>
      <c r="E233" s="18" t="n">
        <f aca="false">ROUND(D233/Assumptions!$F$6,Assumptions!$B$10)</f>
        <v>27361.64</v>
      </c>
      <c r="F233" s="18" t="n">
        <f aca="false">ROUND(E233*Assumptions!$B$7,Assumptions!$B$10)</f>
        <v>1094.47</v>
      </c>
      <c r="G233" s="18" t="n">
        <f aca="false">SUM(E233:F233)</f>
        <v>28456.11</v>
      </c>
      <c r="H233" s="18" t="n">
        <f aca="false">ROUND(G233-'Cohort Data'!H233,Assumptions!$B$10)</f>
        <v>6254.77</v>
      </c>
      <c r="I233" s="18" t="n">
        <f aca="false">CEILING(G233,Assumptions!$B$12)</f>
        <v>28500</v>
      </c>
      <c r="J233" s="18" t="n">
        <f aca="false">FLOOR(G233,Assumptions!$B$12)</f>
        <v>28400</v>
      </c>
      <c r="K233" s="18" t="n">
        <f aca="false">ROUNDUP(G233,Assumptions!$B$10)</f>
        <v>28456.11</v>
      </c>
      <c r="L233" s="18" t="n">
        <f aca="false">ROUNDDOWN(G233,Assumptions!$B$10)</f>
        <v>28456.11</v>
      </c>
      <c r="M233" s="19" t="n">
        <f aca="false">INT('Cohort Data'!E233/Assumptions!$B$11)</f>
        <v>1</v>
      </c>
    </row>
    <row r="234" customFormat="false" ht="15" hidden="false" customHeight="false" outlineLevel="0" collapsed="false">
      <c r="A234" s="2" t="s">
        <v>334</v>
      </c>
      <c r="B234" s="18" t="n">
        <f aca="false">IF('Cohort Data'!D234=Assumptions!$B$16,ROUND('Cohort Data'!L234*'Cohort Data'!J234*Assumptions!$F$4,Assumptions!$B$10),Assumptions!$B$13)</f>
        <v>81590.81</v>
      </c>
      <c r="C234" s="18" t="n">
        <f aca="false">IF('Cohort Data'!D234=Assumptions!$B$16,ROUND('Cohort Data'!E234*Assumptions!$B$6,Assumptions!$B$10),Assumptions!$B$13)</f>
        <v>5575</v>
      </c>
      <c r="D234" s="18" t="n">
        <f aca="false">SUM(B234:C234)</f>
        <v>87165.81</v>
      </c>
      <c r="E234" s="18" t="n">
        <f aca="false">ROUND(D234/Assumptions!$F$6,Assumptions!$B$10)</f>
        <v>84627</v>
      </c>
      <c r="F234" s="18" t="n">
        <f aca="false">ROUND(E234*Assumptions!$B$7,Assumptions!$B$10)</f>
        <v>3385.08</v>
      </c>
      <c r="G234" s="18" t="n">
        <f aca="false">SUM(E234:F234)</f>
        <v>88012.08</v>
      </c>
      <c r="H234" s="18" t="n">
        <f aca="false">ROUND(G234-'Cohort Data'!H234,Assumptions!$B$10)</f>
        <v>12548.88</v>
      </c>
      <c r="I234" s="18" t="n">
        <f aca="false">CEILING(G234,Assumptions!$B$12)</f>
        <v>88100</v>
      </c>
      <c r="J234" s="18" t="n">
        <f aca="false">FLOOR(G234,Assumptions!$B$12)</f>
        <v>88000</v>
      </c>
      <c r="K234" s="18" t="n">
        <f aca="false">ROUNDUP(G234,Assumptions!$B$10)</f>
        <v>88012.08</v>
      </c>
      <c r="L234" s="18" t="n">
        <f aca="false">ROUNDDOWN(G234,Assumptions!$B$10)</f>
        <v>88012.08</v>
      </c>
      <c r="M234" s="19" t="n">
        <f aca="false">INT('Cohort Data'!E234/Assumptions!$B$11)</f>
        <v>2</v>
      </c>
    </row>
    <row r="235" customFormat="false" ht="15" hidden="false" customHeight="false" outlineLevel="0" collapsed="false">
      <c r="A235" s="2" t="s">
        <v>335</v>
      </c>
      <c r="B235" s="18" t="n">
        <f aca="false">IF('Cohort Data'!D235=Assumptions!$B$16,ROUND('Cohort Data'!L235*'Cohort Data'!J235*Assumptions!$F$4,Assumptions!$B$10),Assumptions!$B$13)</f>
        <v>49040.92</v>
      </c>
      <c r="C235" s="18" t="n">
        <f aca="false">IF('Cohort Data'!D235=Assumptions!$B$16,ROUND('Cohort Data'!E235*Assumptions!$B$6,Assumptions!$B$10),Assumptions!$B$13)</f>
        <v>4725</v>
      </c>
      <c r="D235" s="18" t="n">
        <f aca="false">SUM(B235:C235)</f>
        <v>53765.92</v>
      </c>
      <c r="E235" s="18" t="n">
        <f aca="false">ROUND(D235/Assumptions!$F$6,Assumptions!$B$10)</f>
        <v>52199.92</v>
      </c>
      <c r="F235" s="18" t="n">
        <f aca="false">ROUND(E235*Assumptions!$B$7,Assumptions!$B$10)</f>
        <v>2088</v>
      </c>
      <c r="G235" s="18" t="n">
        <f aca="false">SUM(E235:F235)</f>
        <v>54287.92</v>
      </c>
      <c r="H235" s="18" t="n">
        <f aca="false">ROUND(G235-'Cohort Data'!H235,Assumptions!$B$10)</f>
        <v>7151.32</v>
      </c>
      <c r="I235" s="18" t="n">
        <f aca="false">CEILING(G235,Assumptions!$B$12)</f>
        <v>54300</v>
      </c>
      <c r="J235" s="18" t="n">
        <f aca="false">FLOOR(G235,Assumptions!$B$12)</f>
        <v>54200</v>
      </c>
      <c r="K235" s="18" t="n">
        <f aca="false">ROUNDUP(G235,Assumptions!$B$10)</f>
        <v>54287.92</v>
      </c>
      <c r="L235" s="18" t="n">
        <f aca="false">ROUNDDOWN(G235,Assumptions!$B$10)</f>
        <v>54287.92</v>
      </c>
      <c r="M235" s="19" t="n">
        <f aca="false">INT('Cohort Data'!E235/Assumptions!$B$11)</f>
        <v>1</v>
      </c>
    </row>
    <row r="236" customFormat="false" ht="15" hidden="false" customHeight="false" outlineLevel="0" collapsed="false">
      <c r="A236" s="2" t="s">
        <v>336</v>
      </c>
      <c r="B236" s="18" t="n">
        <f aca="false">IF('Cohort Data'!D236=Assumptions!$B$16,ROUND('Cohort Data'!L236*'Cohort Data'!J236*Assumptions!$F$4,Assumptions!$B$10),Assumptions!$B$13)</f>
        <v>55912.22</v>
      </c>
      <c r="C236" s="18" t="n">
        <f aca="false">IF('Cohort Data'!D236=Assumptions!$B$16,ROUND('Cohort Data'!E236*Assumptions!$B$6,Assumptions!$B$10),Assumptions!$B$13)</f>
        <v>6050</v>
      </c>
      <c r="D236" s="18" t="n">
        <f aca="false">SUM(B236:C236)</f>
        <v>61962.22</v>
      </c>
      <c r="E236" s="18" t="n">
        <f aca="false">ROUND(D236/Assumptions!$F$6,Assumptions!$B$10)</f>
        <v>60157.5</v>
      </c>
      <c r="F236" s="18" t="n">
        <f aca="false">ROUND(E236*Assumptions!$B$7,Assumptions!$B$10)</f>
        <v>2406.3</v>
      </c>
      <c r="G236" s="18" t="n">
        <f aca="false">SUM(E236:F236)</f>
        <v>62563.8</v>
      </c>
      <c r="H236" s="18" t="n">
        <f aca="false">ROUND(G236-'Cohort Data'!H236,Assumptions!$B$10)</f>
        <v>15126.96</v>
      </c>
      <c r="I236" s="18" t="n">
        <f aca="false">CEILING(G236,Assumptions!$B$12)</f>
        <v>62600</v>
      </c>
      <c r="J236" s="18" t="n">
        <f aca="false">FLOOR(G236,Assumptions!$B$12)</f>
        <v>62500</v>
      </c>
      <c r="K236" s="18" t="n">
        <f aca="false">ROUNDUP(G236,Assumptions!$B$10)</f>
        <v>62563.8</v>
      </c>
      <c r="L236" s="18" t="n">
        <f aca="false">ROUNDDOWN(G236,Assumptions!$B$10)</f>
        <v>62563.8</v>
      </c>
      <c r="M236" s="19" t="n">
        <f aca="false">INT('Cohort Data'!E236/Assumptions!$B$11)</f>
        <v>2</v>
      </c>
    </row>
    <row r="237" customFormat="false" ht="15" hidden="false" customHeight="false" outlineLevel="0" collapsed="false">
      <c r="A237" s="2" t="s">
        <v>337</v>
      </c>
      <c r="B237" s="18" t="n">
        <f aca="false">IF('Cohort Data'!D237=Assumptions!$B$16,ROUND('Cohort Data'!L237*'Cohort Data'!J237*Assumptions!$F$4,Assumptions!$B$10),Assumptions!$B$13)</f>
        <v>49471.39</v>
      </c>
      <c r="C237" s="18" t="n">
        <f aca="false">IF('Cohort Data'!D237=Assumptions!$B$16,ROUND('Cohort Data'!E237*Assumptions!$B$6,Assumptions!$B$10),Assumptions!$B$13)</f>
        <v>3875</v>
      </c>
      <c r="D237" s="18" t="n">
        <f aca="false">SUM(B237:C237)</f>
        <v>53346.39</v>
      </c>
      <c r="E237" s="18" t="n">
        <f aca="false">ROUND(D237/Assumptions!$F$6,Assumptions!$B$10)</f>
        <v>51792.61</v>
      </c>
      <c r="F237" s="18" t="n">
        <f aca="false">ROUND(E237*Assumptions!$B$7,Assumptions!$B$10)</f>
        <v>2071.7</v>
      </c>
      <c r="G237" s="18" t="n">
        <f aca="false">SUM(E237:F237)</f>
        <v>53864.31</v>
      </c>
      <c r="H237" s="18" t="n">
        <f aca="false">ROUND(G237-'Cohort Data'!H237,Assumptions!$B$10)</f>
        <v>9938.55</v>
      </c>
      <c r="I237" s="18" t="n">
        <f aca="false">CEILING(G237,Assumptions!$B$12)</f>
        <v>53900</v>
      </c>
      <c r="J237" s="18" t="n">
        <f aca="false">FLOOR(G237,Assumptions!$B$12)</f>
        <v>53800</v>
      </c>
      <c r="K237" s="18" t="n">
        <f aca="false">ROUNDUP(G237,Assumptions!$B$10)</f>
        <v>53864.31</v>
      </c>
      <c r="L237" s="18" t="n">
        <f aca="false">ROUNDDOWN(G237,Assumptions!$B$10)</f>
        <v>53864.31</v>
      </c>
      <c r="M237" s="19" t="n">
        <f aca="false">INT('Cohort Data'!E237/Assumptions!$B$11)</f>
        <v>1</v>
      </c>
    </row>
    <row r="238" customFormat="false" ht="15" hidden="false" customHeight="false" outlineLevel="0" collapsed="false">
      <c r="A238" s="2" t="s">
        <v>338</v>
      </c>
      <c r="B238" s="18" t="n">
        <f aca="false">IF('Cohort Data'!D238=Assumptions!$B$16,ROUND('Cohort Data'!L238*'Cohort Data'!J238*Assumptions!$F$4,Assumptions!$B$10),Assumptions!$B$13)</f>
        <v>21361.49</v>
      </c>
      <c r="C238" s="18" t="n">
        <f aca="false">IF('Cohort Data'!D238=Assumptions!$B$16,ROUND('Cohort Data'!E238*Assumptions!$B$6,Assumptions!$B$10),Assumptions!$B$13)</f>
        <v>4425</v>
      </c>
      <c r="D238" s="18" t="n">
        <f aca="false">SUM(B238:C238)</f>
        <v>25786.49</v>
      </c>
      <c r="E238" s="18" t="n">
        <f aca="false">ROUND(D238/Assumptions!$F$6,Assumptions!$B$10)</f>
        <v>25035.43</v>
      </c>
      <c r="F238" s="18" t="n">
        <f aca="false">ROUND(E238*Assumptions!$B$7,Assumptions!$B$10)</f>
        <v>1001.42</v>
      </c>
      <c r="G238" s="18" t="n">
        <f aca="false">SUM(E238:F238)</f>
        <v>26036.85</v>
      </c>
      <c r="H238" s="18" t="n">
        <f aca="false">ROUND(G238-'Cohort Data'!H238,Assumptions!$B$10)</f>
        <v>6942.09</v>
      </c>
      <c r="I238" s="18" t="n">
        <f aca="false">CEILING(G238,Assumptions!$B$12)</f>
        <v>26100</v>
      </c>
      <c r="J238" s="18" t="n">
        <f aca="false">FLOOR(G238,Assumptions!$B$12)</f>
        <v>26000</v>
      </c>
      <c r="K238" s="18" t="n">
        <f aca="false">ROUNDUP(G238,Assumptions!$B$10)</f>
        <v>26036.85</v>
      </c>
      <c r="L238" s="18" t="n">
        <f aca="false">ROUNDDOWN(G238,Assumptions!$B$10)</f>
        <v>26036.85</v>
      </c>
      <c r="M238" s="19" t="n">
        <f aca="false">INT('Cohort Data'!E238/Assumptions!$B$11)</f>
        <v>1</v>
      </c>
    </row>
    <row r="239" customFormat="false" ht="15" hidden="false" customHeight="false" outlineLevel="0" collapsed="false">
      <c r="A239" s="2" t="s">
        <v>339</v>
      </c>
      <c r="B239" s="18" t="n">
        <f aca="false">IF('Cohort Data'!D239=Assumptions!$B$16,ROUND('Cohort Data'!L239*'Cohort Data'!J239*Assumptions!$F$4,Assumptions!$B$10),Assumptions!$B$13)</f>
        <v>17398.18</v>
      </c>
      <c r="C239" s="18" t="n">
        <f aca="false">IF('Cohort Data'!D239=Assumptions!$B$16,ROUND('Cohort Data'!E239*Assumptions!$B$6,Assumptions!$B$10),Assumptions!$B$13)</f>
        <v>1775</v>
      </c>
      <c r="D239" s="18" t="n">
        <f aca="false">SUM(B239:C239)</f>
        <v>19173.18</v>
      </c>
      <c r="E239" s="18" t="n">
        <f aca="false">ROUND(D239/Assumptions!$F$6,Assumptions!$B$10)</f>
        <v>18614.74</v>
      </c>
      <c r="F239" s="18" t="n">
        <f aca="false">ROUND(E239*Assumptions!$B$7,Assumptions!$B$10)</f>
        <v>744.59</v>
      </c>
      <c r="G239" s="18" t="n">
        <f aca="false">SUM(E239:F239)</f>
        <v>19359.33</v>
      </c>
      <c r="H239" s="18" t="n">
        <f aca="false">ROUND(G239-'Cohort Data'!H239,Assumptions!$B$10)</f>
        <v>3942.39</v>
      </c>
      <c r="I239" s="18" t="n">
        <f aca="false">CEILING(G239,Assumptions!$B$12)</f>
        <v>19400</v>
      </c>
      <c r="J239" s="18" t="n">
        <f aca="false">FLOOR(G239,Assumptions!$B$12)</f>
        <v>19300</v>
      </c>
      <c r="K239" s="18" t="n">
        <f aca="false">ROUNDUP(G239,Assumptions!$B$10)</f>
        <v>19359.33</v>
      </c>
      <c r="L239" s="18" t="n">
        <f aca="false">ROUNDDOWN(G239,Assumptions!$B$10)</f>
        <v>19359.33</v>
      </c>
      <c r="M239" s="19" t="n">
        <f aca="false">INT('Cohort Data'!E239/Assumptions!$B$11)</f>
        <v>0</v>
      </c>
    </row>
    <row r="240" customFormat="false" ht="15" hidden="false" customHeight="false" outlineLevel="0" collapsed="false">
      <c r="A240" s="2" t="s">
        <v>340</v>
      </c>
      <c r="B240" s="18" t="n">
        <f aca="false">IF('Cohort Data'!D240=Assumptions!$B$16,ROUND('Cohort Data'!L240*'Cohort Data'!J240*Assumptions!$F$4,Assumptions!$B$10),Assumptions!$B$13)</f>
        <v>67025.75</v>
      </c>
      <c r="C240" s="18" t="n">
        <f aca="false">IF('Cohort Data'!D240=Assumptions!$B$16,ROUND('Cohort Data'!E240*Assumptions!$B$6,Assumptions!$B$10),Assumptions!$B$13)</f>
        <v>5125</v>
      </c>
      <c r="D240" s="18" t="n">
        <f aca="false">SUM(B240:C240)</f>
        <v>72150.75</v>
      </c>
      <c r="E240" s="18" t="n">
        <f aca="false">ROUND(D240/Assumptions!$F$6,Assumptions!$B$10)</f>
        <v>70049.27</v>
      </c>
      <c r="F240" s="18" t="n">
        <f aca="false">ROUND(E240*Assumptions!$B$7,Assumptions!$B$10)</f>
        <v>2801.97</v>
      </c>
      <c r="G240" s="18" t="n">
        <f aca="false">SUM(E240:F240)</f>
        <v>72851.24</v>
      </c>
      <c r="H240" s="18" t="n">
        <f aca="false">ROUND(G240-'Cohort Data'!H240,Assumptions!$B$10)</f>
        <v>15818.6</v>
      </c>
      <c r="I240" s="18" t="n">
        <f aca="false">CEILING(G240,Assumptions!$B$12)</f>
        <v>72900</v>
      </c>
      <c r="J240" s="18" t="n">
        <f aca="false">FLOOR(G240,Assumptions!$B$12)</f>
        <v>72800</v>
      </c>
      <c r="K240" s="18" t="n">
        <f aca="false">ROUNDUP(G240,Assumptions!$B$10)</f>
        <v>72851.24</v>
      </c>
      <c r="L240" s="18" t="n">
        <f aca="false">ROUNDDOWN(G240,Assumptions!$B$10)</f>
        <v>72851.24</v>
      </c>
      <c r="M240" s="19" t="n">
        <f aca="false">INT('Cohort Data'!E240/Assumptions!$B$11)</f>
        <v>2</v>
      </c>
    </row>
    <row r="241" customFormat="false" ht="15" hidden="false" customHeight="false" outlineLevel="0" collapsed="false">
      <c r="A241" s="2" t="s">
        <v>341</v>
      </c>
      <c r="B241" s="18" t="n">
        <f aca="false">IF('Cohort Data'!D241=Assumptions!$B$16,ROUND('Cohort Data'!L241*'Cohort Data'!J241*Assumptions!$F$4,Assumptions!$B$10),Assumptions!$B$13)</f>
        <v>53886.48</v>
      </c>
      <c r="C241" s="18" t="n">
        <f aca="false">IF('Cohort Data'!D241=Assumptions!$B$16,ROUND('Cohort Data'!E241*Assumptions!$B$6,Assumptions!$B$10),Assumptions!$B$13)</f>
        <v>4750</v>
      </c>
      <c r="D241" s="18" t="n">
        <f aca="false">SUM(B241:C241)</f>
        <v>58636.48</v>
      </c>
      <c r="E241" s="18" t="n">
        <f aca="false">ROUND(D241/Assumptions!$F$6,Assumptions!$B$10)</f>
        <v>56928.62</v>
      </c>
      <c r="F241" s="18" t="n">
        <f aca="false">ROUND(E241*Assumptions!$B$7,Assumptions!$B$10)</f>
        <v>2277.14</v>
      </c>
      <c r="G241" s="18" t="n">
        <f aca="false">SUM(E241:F241)</f>
        <v>59205.76</v>
      </c>
      <c r="H241" s="18" t="n">
        <f aca="false">ROUND(G241-'Cohort Data'!H241,Assumptions!$B$10)</f>
        <v>8447.64</v>
      </c>
      <c r="I241" s="18" t="n">
        <f aca="false">CEILING(G241,Assumptions!$B$12)</f>
        <v>59300</v>
      </c>
      <c r="J241" s="18" t="n">
        <f aca="false">FLOOR(G241,Assumptions!$B$12)</f>
        <v>59200</v>
      </c>
      <c r="K241" s="18" t="n">
        <f aca="false">ROUNDUP(G241,Assumptions!$B$10)</f>
        <v>59205.76</v>
      </c>
      <c r="L241" s="18" t="n">
        <f aca="false">ROUNDDOWN(G241,Assumptions!$B$10)</f>
        <v>59205.76</v>
      </c>
      <c r="M241" s="19" t="n">
        <f aca="false">INT('Cohort Data'!E241/Assumptions!$B$11)</f>
        <v>1</v>
      </c>
    </row>
    <row r="242" customFormat="false" ht="15" hidden="false" customHeight="false" outlineLevel="0" collapsed="false">
      <c r="A242" s="2" t="s">
        <v>342</v>
      </c>
      <c r="B242" s="18" t="n">
        <f aca="false">IF('Cohort Data'!D242=Assumptions!$B$16,ROUND('Cohort Data'!L242*'Cohort Data'!J242*Assumptions!$F$4,Assumptions!$B$10),Assumptions!$B$13)</f>
        <v>38773.09</v>
      </c>
      <c r="C242" s="18" t="n">
        <f aca="false">IF('Cohort Data'!D242=Assumptions!$B$16,ROUND('Cohort Data'!E242*Assumptions!$B$6,Assumptions!$B$10),Assumptions!$B$13)</f>
        <v>3550</v>
      </c>
      <c r="D242" s="18" t="n">
        <f aca="false">SUM(B242:C242)</f>
        <v>42323.09</v>
      </c>
      <c r="E242" s="18" t="n">
        <f aca="false">ROUND(D242/Assumptions!$F$6,Assumptions!$B$10)</f>
        <v>41090.38</v>
      </c>
      <c r="F242" s="18" t="n">
        <f aca="false">ROUND(E242*Assumptions!$B$7,Assumptions!$B$10)</f>
        <v>1643.62</v>
      </c>
      <c r="G242" s="18" t="n">
        <f aca="false">SUM(E242:F242)</f>
        <v>42734</v>
      </c>
      <c r="H242" s="18" t="n">
        <f aca="false">ROUND(G242-'Cohort Data'!H242,Assumptions!$B$10)</f>
        <v>9838.28</v>
      </c>
      <c r="I242" s="18" t="n">
        <f aca="false">CEILING(G242,Assumptions!$B$12)</f>
        <v>42800</v>
      </c>
      <c r="J242" s="18" t="n">
        <f aca="false">FLOOR(G242,Assumptions!$B$12)</f>
        <v>42700</v>
      </c>
      <c r="K242" s="18" t="n">
        <f aca="false">ROUNDUP(G242,Assumptions!$B$10)</f>
        <v>42734</v>
      </c>
      <c r="L242" s="18" t="n">
        <f aca="false">ROUNDDOWN(G242,Assumptions!$B$10)</f>
        <v>42734</v>
      </c>
      <c r="M242" s="19" t="n">
        <f aca="false">INT('Cohort Data'!E242/Assumptions!$B$11)</f>
        <v>1</v>
      </c>
    </row>
    <row r="243" customFormat="false" ht="15" hidden="false" customHeight="false" outlineLevel="0" collapsed="false">
      <c r="A243" s="2" t="s">
        <v>343</v>
      </c>
      <c r="B243" s="18" t="n">
        <f aca="false">IF('Cohort Data'!D243=Assumptions!$B$16,ROUND('Cohort Data'!L243*'Cohort Data'!J243*Assumptions!$F$4,Assumptions!$B$10),Assumptions!$B$13)</f>
        <v>39421.42</v>
      </c>
      <c r="C243" s="18" t="n">
        <f aca="false">IF('Cohort Data'!D243=Assumptions!$B$16,ROUND('Cohort Data'!E243*Assumptions!$B$6,Assumptions!$B$10),Assumptions!$B$13)</f>
        <v>5275</v>
      </c>
      <c r="D243" s="18" t="n">
        <f aca="false">SUM(B243:C243)</f>
        <v>44696.42</v>
      </c>
      <c r="E243" s="18" t="n">
        <f aca="false">ROUND(D243/Assumptions!$F$6,Assumptions!$B$10)</f>
        <v>43394.58</v>
      </c>
      <c r="F243" s="18" t="n">
        <f aca="false">ROUND(E243*Assumptions!$B$7,Assumptions!$B$10)</f>
        <v>1735.78</v>
      </c>
      <c r="G243" s="18" t="n">
        <f aca="false">SUM(E243:F243)</f>
        <v>45130.36</v>
      </c>
      <c r="H243" s="18" t="n">
        <f aca="false">ROUND(G243-'Cohort Data'!H243,Assumptions!$B$10)</f>
        <v>10857.21</v>
      </c>
      <c r="I243" s="18" t="n">
        <f aca="false">CEILING(G243,Assumptions!$B$12)</f>
        <v>45200</v>
      </c>
      <c r="J243" s="18" t="n">
        <f aca="false">FLOOR(G243,Assumptions!$B$12)</f>
        <v>45100</v>
      </c>
      <c r="K243" s="18" t="n">
        <f aca="false">ROUNDUP(G243,Assumptions!$B$10)</f>
        <v>45130.36</v>
      </c>
      <c r="L243" s="18" t="n">
        <f aca="false">ROUNDDOWN(G243,Assumptions!$B$10)</f>
        <v>45130.36</v>
      </c>
      <c r="M243" s="19" t="n">
        <f aca="false">INT('Cohort Data'!E243/Assumptions!$B$11)</f>
        <v>2</v>
      </c>
    </row>
    <row r="244" customFormat="false" ht="15" hidden="false" customHeight="false" outlineLevel="0" collapsed="false">
      <c r="A244" s="2" t="s">
        <v>344</v>
      </c>
      <c r="B244" s="18" t="n">
        <f aca="false">IF('Cohort Data'!D244=Assumptions!$B$16,ROUND('Cohort Data'!L244*'Cohort Data'!J244*Assumptions!$F$4,Assumptions!$B$10),Assumptions!$B$13)</f>
        <v>14434.09</v>
      </c>
      <c r="C244" s="18" t="n">
        <f aca="false">IF('Cohort Data'!D244=Assumptions!$B$16,ROUND('Cohort Data'!E244*Assumptions!$B$6,Assumptions!$B$10),Assumptions!$B$13)</f>
        <v>2300</v>
      </c>
      <c r="D244" s="18" t="n">
        <f aca="false">SUM(B244:C244)</f>
        <v>16734.09</v>
      </c>
      <c r="E244" s="18" t="n">
        <f aca="false">ROUND(D244/Assumptions!$F$6,Assumptions!$B$10)</f>
        <v>16246.69</v>
      </c>
      <c r="F244" s="18" t="n">
        <f aca="false">ROUND(E244*Assumptions!$B$7,Assumptions!$B$10)</f>
        <v>649.87</v>
      </c>
      <c r="G244" s="18" t="n">
        <f aca="false">SUM(E244:F244)</f>
        <v>16896.56</v>
      </c>
      <c r="H244" s="18" t="n">
        <f aca="false">ROUND(G244-'Cohort Data'!H244,Assumptions!$B$10)</f>
        <v>3300.43</v>
      </c>
      <c r="I244" s="18" t="n">
        <f aca="false">CEILING(G244,Assumptions!$B$12)</f>
        <v>16900</v>
      </c>
      <c r="J244" s="18" t="n">
        <f aca="false">FLOOR(G244,Assumptions!$B$12)</f>
        <v>16800</v>
      </c>
      <c r="K244" s="18" t="n">
        <f aca="false">ROUNDUP(G244,Assumptions!$B$10)</f>
        <v>16896.56</v>
      </c>
      <c r="L244" s="18" t="n">
        <f aca="false">ROUNDDOWN(G244,Assumptions!$B$10)</f>
        <v>16896.56</v>
      </c>
      <c r="M244" s="19" t="n">
        <f aca="false">INT('Cohort Data'!E244/Assumptions!$B$11)</f>
        <v>0</v>
      </c>
    </row>
    <row r="245" customFormat="false" ht="15" hidden="false" customHeight="false" outlineLevel="0" collapsed="false">
      <c r="A245" s="2" t="s">
        <v>345</v>
      </c>
      <c r="B245" s="18" t="n">
        <f aca="false">IF('Cohort Data'!D245=Assumptions!$B$16,ROUND('Cohort Data'!L245*'Cohort Data'!J245*Assumptions!$F$4,Assumptions!$B$10),Assumptions!$B$13)</f>
        <v>31883.83</v>
      </c>
      <c r="C245" s="18" t="n">
        <f aca="false">IF('Cohort Data'!D245=Assumptions!$B$16,ROUND('Cohort Data'!E245*Assumptions!$B$6,Assumptions!$B$10),Assumptions!$B$13)</f>
        <v>3450</v>
      </c>
      <c r="D245" s="18" t="n">
        <f aca="false">SUM(B245:C245)</f>
        <v>35333.83</v>
      </c>
      <c r="E245" s="18" t="n">
        <f aca="false">ROUND(D245/Assumptions!$F$6,Assumptions!$B$10)</f>
        <v>34304.69</v>
      </c>
      <c r="F245" s="18" t="n">
        <f aca="false">ROUND(E245*Assumptions!$B$7,Assumptions!$B$10)</f>
        <v>1372.19</v>
      </c>
      <c r="G245" s="18" t="n">
        <f aca="false">SUM(E245:F245)</f>
        <v>35676.88</v>
      </c>
      <c r="H245" s="18" t="n">
        <f aca="false">ROUND(G245-'Cohort Data'!H245,Assumptions!$B$10)</f>
        <v>6522.17</v>
      </c>
      <c r="I245" s="18" t="n">
        <f aca="false">CEILING(G245,Assumptions!$B$12)</f>
        <v>35700</v>
      </c>
      <c r="J245" s="18" t="n">
        <f aca="false">FLOOR(G245,Assumptions!$B$12)</f>
        <v>35600</v>
      </c>
      <c r="K245" s="18" t="n">
        <f aca="false">ROUNDUP(G245,Assumptions!$B$10)</f>
        <v>35676.89</v>
      </c>
      <c r="L245" s="18" t="n">
        <f aca="false">ROUNDDOWN(G245,Assumptions!$B$10)</f>
        <v>35676.88</v>
      </c>
      <c r="M245" s="19" t="n">
        <f aca="false">INT('Cohort Data'!E245/Assumptions!$B$11)</f>
        <v>1</v>
      </c>
    </row>
    <row r="246" customFormat="false" ht="15" hidden="false" customHeight="false" outlineLevel="0" collapsed="false">
      <c r="A246" s="2" t="s">
        <v>346</v>
      </c>
      <c r="B246" s="18" t="n">
        <f aca="false">IF('Cohort Data'!D246=Assumptions!$B$16,ROUND('Cohort Data'!L246*'Cohort Data'!J246*Assumptions!$F$4,Assumptions!$B$10),Assumptions!$B$13)</f>
        <v>43593.98</v>
      </c>
      <c r="C246" s="18" t="n">
        <f aca="false">IF('Cohort Data'!D246=Assumptions!$B$16,ROUND('Cohort Data'!E246*Assumptions!$B$6,Assumptions!$B$10),Assumptions!$B$13)</f>
        <v>5000</v>
      </c>
      <c r="D246" s="18" t="n">
        <f aca="false">SUM(B246:C246)</f>
        <v>48593.98</v>
      </c>
      <c r="E246" s="18" t="n">
        <f aca="false">ROUND(D246/Assumptions!$F$6,Assumptions!$B$10)</f>
        <v>47178.62</v>
      </c>
      <c r="F246" s="18" t="n">
        <f aca="false">ROUND(E246*Assumptions!$B$7,Assumptions!$B$10)</f>
        <v>1887.14</v>
      </c>
      <c r="G246" s="18" t="n">
        <f aca="false">SUM(E246:F246)</f>
        <v>49065.76</v>
      </c>
      <c r="H246" s="18" t="n">
        <f aca="false">ROUND(G246-'Cohort Data'!H246,Assumptions!$B$10)</f>
        <v>10358.56</v>
      </c>
      <c r="I246" s="18" t="n">
        <f aca="false">CEILING(G246,Assumptions!$B$12)</f>
        <v>49100</v>
      </c>
      <c r="J246" s="18" t="n">
        <f aca="false">FLOOR(G246,Assumptions!$B$12)</f>
        <v>49000</v>
      </c>
      <c r="K246" s="18" t="n">
        <f aca="false">ROUNDUP(G246,Assumptions!$B$10)</f>
        <v>49065.76</v>
      </c>
      <c r="L246" s="18" t="n">
        <f aca="false">ROUNDDOWN(G246,Assumptions!$B$10)</f>
        <v>49065.76</v>
      </c>
      <c r="M246" s="19" t="n">
        <f aca="false">INT('Cohort Data'!E246/Assumptions!$B$11)</f>
        <v>2</v>
      </c>
    </row>
    <row r="247" customFormat="false" ht="15" hidden="false" customHeight="false" outlineLevel="0" collapsed="false">
      <c r="A247" s="2" t="s">
        <v>347</v>
      </c>
      <c r="B247" s="18" t="n">
        <f aca="false">IF('Cohort Data'!D247=Assumptions!$B$16,ROUND('Cohort Data'!L247*'Cohort Data'!J247*Assumptions!$F$4,Assumptions!$B$10),Assumptions!$B$13)</f>
        <v>38848.95</v>
      </c>
      <c r="C247" s="18" t="n">
        <f aca="false">IF('Cohort Data'!D247=Assumptions!$B$16,ROUND('Cohort Data'!E247*Assumptions!$B$6,Assumptions!$B$10),Assumptions!$B$13)</f>
        <v>5550</v>
      </c>
      <c r="D247" s="18" t="n">
        <f aca="false">SUM(B247:C247)</f>
        <v>44398.95</v>
      </c>
      <c r="E247" s="18" t="n">
        <f aca="false">ROUND(D247/Assumptions!$F$6,Assumptions!$B$10)</f>
        <v>43105.78</v>
      </c>
      <c r="F247" s="18" t="n">
        <f aca="false">ROUND(E247*Assumptions!$B$7,Assumptions!$B$10)</f>
        <v>1724.23</v>
      </c>
      <c r="G247" s="18" t="n">
        <f aca="false">SUM(E247:F247)</f>
        <v>44830.01</v>
      </c>
      <c r="H247" s="18" t="n">
        <f aca="false">ROUND(G247-'Cohort Data'!H247,Assumptions!$B$10)</f>
        <v>8983.23</v>
      </c>
      <c r="I247" s="18" t="n">
        <f aca="false">CEILING(G247,Assumptions!$B$12)</f>
        <v>44900</v>
      </c>
      <c r="J247" s="18" t="n">
        <f aca="false">FLOOR(G247,Assumptions!$B$12)</f>
        <v>44800</v>
      </c>
      <c r="K247" s="18" t="n">
        <f aca="false">ROUNDUP(G247,Assumptions!$B$10)</f>
        <v>44830.01</v>
      </c>
      <c r="L247" s="18" t="n">
        <f aca="false">ROUNDDOWN(G247,Assumptions!$B$10)</f>
        <v>44830.01</v>
      </c>
      <c r="M247" s="19" t="n">
        <f aca="false">INT('Cohort Data'!E247/Assumptions!$B$11)</f>
        <v>2</v>
      </c>
    </row>
    <row r="248" customFormat="false" ht="15" hidden="false" customHeight="false" outlineLevel="0" collapsed="false">
      <c r="A248" s="2" t="s">
        <v>348</v>
      </c>
      <c r="B248" s="18" t="n">
        <f aca="false">IF('Cohort Data'!D248=Assumptions!$B$16,ROUND('Cohort Data'!L248*'Cohort Data'!J248*Assumptions!$F$4,Assumptions!$B$10),Assumptions!$B$13)</f>
        <v>49212</v>
      </c>
      <c r="C248" s="18" t="n">
        <f aca="false">IF('Cohort Data'!D248=Assumptions!$B$16,ROUND('Cohort Data'!E248*Assumptions!$B$6,Assumptions!$B$10),Assumptions!$B$13)</f>
        <v>5325</v>
      </c>
      <c r="D248" s="18" t="n">
        <f aca="false">SUM(B248:C248)</f>
        <v>54537</v>
      </c>
      <c r="E248" s="18" t="n">
        <f aca="false">ROUND(D248/Assumptions!$F$6,Assumptions!$B$10)</f>
        <v>52948.54</v>
      </c>
      <c r="F248" s="18" t="n">
        <f aca="false">ROUND(E248*Assumptions!$B$7,Assumptions!$B$10)</f>
        <v>2117.94</v>
      </c>
      <c r="G248" s="18" t="n">
        <f aca="false">SUM(E248:F248)</f>
        <v>55066.48</v>
      </c>
      <c r="H248" s="18" t="n">
        <f aca="false">ROUND(G248-'Cohort Data'!H248,Assumptions!$B$10)</f>
        <v>13314.22</v>
      </c>
      <c r="I248" s="18" t="n">
        <f aca="false">CEILING(G248,Assumptions!$B$12)</f>
        <v>55100</v>
      </c>
      <c r="J248" s="18" t="n">
        <f aca="false">FLOOR(G248,Assumptions!$B$12)</f>
        <v>55000</v>
      </c>
      <c r="K248" s="18" t="n">
        <f aca="false">ROUNDUP(G248,Assumptions!$B$10)</f>
        <v>55066.48</v>
      </c>
      <c r="L248" s="18" t="n">
        <f aca="false">ROUNDDOWN(G248,Assumptions!$B$10)</f>
        <v>55066.48</v>
      </c>
      <c r="M248" s="19" t="n">
        <f aca="false">INT('Cohort Data'!E248/Assumptions!$B$11)</f>
        <v>2</v>
      </c>
    </row>
    <row r="249" customFormat="false" ht="15" hidden="false" customHeight="false" outlineLevel="0" collapsed="false">
      <c r="A249" s="2" t="s">
        <v>349</v>
      </c>
      <c r="B249" s="18" t="n">
        <f aca="false">IF('Cohort Data'!D249=Assumptions!$B$16,ROUND('Cohort Data'!L249*'Cohort Data'!J249*Assumptions!$F$4,Assumptions!$B$10),Assumptions!$B$13)</f>
        <v>30702.62</v>
      </c>
      <c r="C249" s="18" t="n">
        <f aca="false">IF('Cohort Data'!D249=Assumptions!$B$16,ROUND('Cohort Data'!E249*Assumptions!$B$6,Assumptions!$B$10),Assumptions!$B$13)</f>
        <v>2900</v>
      </c>
      <c r="D249" s="18" t="n">
        <f aca="false">SUM(B249:C249)</f>
        <v>33602.62</v>
      </c>
      <c r="E249" s="18" t="n">
        <f aca="false">ROUND(D249/Assumptions!$F$6,Assumptions!$B$10)</f>
        <v>32623.9</v>
      </c>
      <c r="F249" s="18" t="n">
        <f aca="false">ROUND(E249*Assumptions!$B$7,Assumptions!$B$10)</f>
        <v>1304.96</v>
      </c>
      <c r="G249" s="18" t="n">
        <f aca="false">SUM(E249:F249)</f>
        <v>33928.86</v>
      </c>
      <c r="H249" s="18" t="n">
        <f aca="false">ROUND(G249-'Cohort Data'!H249,Assumptions!$B$10)</f>
        <v>8371.74</v>
      </c>
      <c r="I249" s="18" t="n">
        <f aca="false">CEILING(G249,Assumptions!$B$12)</f>
        <v>34000</v>
      </c>
      <c r="J249" s="18" t="n">
        <f aca="false">FLOOR(G249,Assumptions!$B$12)</f>
        <v>33900</v>
      </c>
      <c r="K249" s="18" t="n">
        <f aca="false">ROUNDUP(G249,Assumptions!$B$10)</f>
        <v>33928.86</v>
      </c>
      <c r="L249" s="18" t="n">
        <f aca="false">ROUNDDOWN(G249,Assumptions!$B$10)</f>
        <v>33928.86</v>
      </c>
      <c r="M249" s="19" t="n">
        <f aca="false">INT('Cohort Data'!E249/Assumptions!$B$11)</f>
        <v>1</v>
      </c>
    </row>
    <row r="250" customFormat="false" ht="15" hidden="false" customHeight="false" outlineLevel="0" collapsed="false">
      <c r="A250" s="2" t="s">
        <v>350</v>
      </c>
      <c r="B250" s="18" t="n">
        <f aca="false">IF('Cohort Data'!D250=Assumptions!$B$16,ROUND('Cohort Data'!L250*'Cohort Data'!J250*Assumptions!$F$4,Assumptions!$B$10),Assumptions!$B$13)</f>
        <v>0</v>
      </c>
      <c r="C250" s="18" t="n">
        <f aca="false">IF('Cohort Data'!D250=Assumptions!$B$16,ROUND('Cohort Data'!E250*Assumptions!$B$6,Assumptions!$B$10),Assumptions!$B$13)</f>
        <v>0</v>
      </c>
      <c r="D250" s="18" t="n">
        <f aca="false">SUM(B250:C250)</f>
        <v>0</v>
      </c>
      <c r="E250" s="18" t="n">
        <f aca="false">ROUND(D250/Assumptions!$F$6,Assumptions!$B$10)</f>
        <v>0</v>
      </c>
      <c r="F250" s="18" t="n">
        <f aca="false">ROUND(E250*Assumptions!$B$7,Assumptions!$B$10)</f>
        <v>0</v>
      </c>
      <c r="G250" s="18" t="n">
        <f aca="false">SUM(E250:F250)</f>
        <v>0</v>
      </c>
      <c r="H250" s="18" t="n">
        <f aca="false">ROUND(G250-'Cohort Data'!H250,Assumptions!$B$10)</f>
        <v>-28301.33</v>
      </c>
      <c r="I250" s="18" t="n">
        <f aca="false">CEILING(G250,Assumptions!$B$12)</f>
        <v>0</v>
      </c>
      <c r="J250" s="18" t="n">
        <f aca="false">FLOOR(G250,Assumptions!$B$12)</f>
        <v>0</v>
      </c>
      <c r="K250" s="18" t="n">
        <f aca="false">ROUNDUP(G250,Assumptions!$B$10)</f>
        <v>0</v>
      </c>
      <c r="L250" s="18" t="n">
        <f aca="false">ROUNDDOWN(G250,Assumptions!$B$10)</f>
        <v>0</v>
      </c>
      <c r="M250" s="19" t="n">
        <f aca="false">INT('Cohort Data'!E250/Assumptions!$B$11)</f>
        <v>1</v>
      </c>
    </row>
    <row r="251" customFormat="false" ht="15" hidden="false" customHeight="false" outlineLevel="0" collapsed="false">
      <c r="A251" s="2" t="s">
        <v>351</v>
      </c>
      <c r="B251" s="18" t="n">
        <f aca="false">IF('Cohort Data'!D251=Assumptions!$B$16,ROUND('Cohort Data'!L251*'Cohort Data'!J251*Assumptions!$F$4,Assumptions!$B$10),Assumptions!$B$13)</f>
        <v>53769.83</v>
      </c>
      <c r="C251" s="18" t="n">
        <f aca="false">IF('Cohort Data'!D251=Assumptions!$B$16,ROUND('Cohort Data'!E251*Assumptions!$B$6,Assumptions!$B$10),Assumptions!$B$13)</f>
        <v>6000</v>
      </c>
      <c r="D251" s="18" t="n">
        <f aca="false">SUM(B251:C251)</f>
        <v>59769.83</v>
      </c>
      <c r="E251" s="18" t="n">
        <f aca="false">ROUND(D251/Assumptions!$F$6,Assumptions!$B$10)</f>
        <v>58028.96</v>
      </c>
      <c r="F251" s="18" t="n">
        <f aca="false">ROUND(E251*Assumptions!$B$7,Assumptions!$B$10)</f>
        <v>2321.16</v>
      </c>
      <c r="G251" s="18" t="n">
        <f aca="false">SUM(E251:F251)</f>
        <v>60350.12</v>
      </c>
      <c r="H251" s="18" t="n">
        <f aca="false">ROUND(G251-'Cohort Data'!H251,Assumptions!$B$10)</f>
        <v>13717.16</v>
      </c>
      <c r="I251" s="18" t="n">
        <f aca="false">CEILING(G251,Assumptions!$B$12)</f>
        <v>60400</v>
      </c>
      <c r="J251" s="18" t="n">
        <f aca="false">FLOOR(G251,Assumptions!$B$12)</f>
        <v>60300</v>
      </c>
      <c r="K251" s="18" t="n">
        <f aca="false">ROUNDUP(G251,Assumptions!$B$10)</f>
        <v>60350.12</v>
      </c>
      <c r="L251" s="18" t="n">
        <f aca="false">ROUNDDOWN(G251,Assumptions!$B$10)</f>
        <v>60350.11</v>
      </c>
      <c r="M251" s="19" t="n">
        <f aca="false">INT('Cohort Data'!E251/Assumptions!$B$11)</f>
        <v>2</v>
      </c>
    </row>
    <row r="252" customFormat="false" ht="15" hidden="false" customHeight="false" outlineLevel="0" collapsed="false">
      <c r="A252" s="2" t="s">
        <v>352</v>
      </c>
      <c r="B252" s="18" t="n">
        <f aca="false">IF('Cohort Data'!D252=Assumptions!$B$16,ROUND('Cohort Data'!L252*'Cohort Data'!J252*Assumptions!$F$4,Assumptions!$B$10),Assumptions!$B$13)</f>
        <v>15553.71</v>
      </c>
      <c r="C252" s="18" t="n">
        <f aca="false">IF('Cohort Data'!D252=Assumptions!$B$16,ROUND('Cohort Data'!E252*Assumptions!$B$6,Assumptions!$B$10),Assumptions!$B$13)</f>
        <v>1850</v>
      </c>
      <c r="D252" s="18" t="n">
        <f aca="false">SUM(B252:C252)</f>
        <v>17403.71</v>
      </c>
      <c r="E252" s="18" t="n">
        <f aca="false">ROUND(D252/Assumptions!$F$6,Assumptions!$B$10)</f>
        <v>16896.81</v>
      </c>
      <c r="F252" s="18" t="n">
        <f aca="false">ROUND(E252*Assumptions!$B$7,Assumptions!$B$10)</f>
        <v>675.87</v>
      </c>
      <c r="G252" s="18" t="n">
        <f aca="false">SUM(E252:F252)</f>
        <v>17572.68</v>
      </c>
      <c r="H252" s="18" t="n">
        <f aca="false">ROUND(G252-'Cohort Data'!H252,Assumptions!$B$10)</f>
        <v>4481.78</v>
      </c>
      <c r="I252" s="18" t="n">
        <f aca="false">CEILING(G252,Assumptions!$B$12)</f>
        <v>17600</v>
      </c>
      <c r="J252" s="18" t="n">
        <f aca="false">FLOOR(G252,Assumptions!$B$12)</f>
        <v>17500</v>
      </c>
      <c r="K252" s="18" t="n">
        <f aca="false">ROUNDUP(G252,Assumptions!$B$10)</f>
        <v>17572.68</v>
      </c>
      <c r="L252" s="18" t="n">
        <f aca="false">ROUNDDOWN(G252,Assumptions!$B$10)</f>
        <v>17572.68</v>
      </c>
      <c r="M252" s="19" t="n">
        <f aca="false">INT('Cohort Data'!E252/Assumptions!$B$11)</f>
        <v>0</v>
      </c>
    </row>
    <row r="253" customFormat="false" ht="15" hidden="false" customHeight="false" outlineLevel="0" collapsed="false">
      <c r="A253" s="2" t="s">
        <v>353</v>
      </c>
      <c r="B253" s="18" t="n">
        <f aca="false">IF('Cohort Data'!D253=Assumptions!$B$16,ROUND('Cohort Data'!L253*'Cohort Data'!J253*Assumptions!$F$4,Assumptions!$B$10),Assumptions!$B$13)</f>
        <v>24837.26</v>
      </c>
      <c r="C253" s="18" t="n">
        <f aca="false">IF('Cohort Data'!D253=Assumptions!$B$16,ROUND('Cohort Data'!E253*Assumptions!$B$6,Assumptions!$B$10),Assumptions!$B$13)</f>
        <v>3675</v>
      </c>
      <c r="D253" s="18" t="n">
        <f aca="false">SUM(B253:C253)</f>
        <v>28512.26</v>
      </c>
      <c r="E253" s="18" t="n">
        <f aca="false">ROUND(D253/Assumptions!$F$6,Assumptions!$B$10)</f>
        <v>27681.81</v>
      </c>
      <c r="F253" s="18" t="n">
        <f aca="false">ROUND(E253*Assumptions!$B$7,Assumptions!$B$10)</f>
        <v>1107.27</v>
      </c>
      <c r="G253" s="18" t="n">
        <f aca="false">SUM(E253:F253)</f>
        <v>28789.08</v>
      </c>
      <c r="H253" s="18" t="n">
        <f aca="false">ROUND(G253-'Cohort Data'!H253,Assumptions!$B$10)</f>
        <v>4916.28</v>
      </c>
      <c r="I253" s="18" t="n">
        <f aca="false">CEILING(G253,Assumptions!$B$12)</f>
        <v>28800</v>
      </c>
      <c r="J253" s="18" t="n">
        <f aca="false">FLOOR(G253,Assumptions!$B$12)</f>
        <v>28700</v>
      </c>
      <c r="K253" s="18" t="n">
        <f aca="false">ROUNDUP(G253,Assumptions!$B$10)</f>
        <v>28789.08</v>
      </c>
      <c r="L253" s="18" t="n">
        <f aca="false">ROUNDDOWN(G253,Assumptions!$B$10)</f>
        <v>28789.08</v>
      </c>
      <c r="M253" s="19" t="n">
        <f aca="false">INT('Cohort Data'!E253/Assumptions!$B$11)</f>
        <v>1</v>
      </c>
    </row>
    <row r="254" customFormat="false" ht="15" hidden="false" customHeight="false" outlineLevel="0" collapsed="false">
      <c r="A254" s="2" t="s">
        <v>354</v>
      </c>
      <c r="B254" s="18" t="n">
        <f aca="false">IF('Cohort Data'!D254=Assumptions!$B$16,ROUND('Cohort Data'!L254*'Cohort Data'!J254*Assumptions!$F$4,Assumptions!$B$10),Assumptions!$B$13)</f>
        <v>53489.78</v>
      </c>
      <c r="C254" s="18" t="n">
        <f aca="false">IF('Cohort Data'!D254=Assumptions!$B$16,ROUND('Cohort Data'!E254*Assumptions!$B$6,Assumptions!$B$10),Assumptions!$B$13)</f>
        <v>4775</v>
      </c>
      <c r="D254" s="18" t="n">
        <f aca="false">SUM(B254:C254)</f>
        <v>58264.78</v>
      </c>
      <c r="E254" s="18" t="n">
        <f aca="false">ROUND(D254/Assumptions!$F$6,Assumptions!$B$10)</f>
        <v>56567.75</v>
      </c>
      <c r="F254" s="18" t="n">
        <f aca="false">ROUND(E254*Assumptions!$B$7,Assumptions!$B$10)</f>
        <v>2262.71</v>
      </c>
      <c r="G254" s="18" t="n">
        <f aca="false">SUM(E254:F254)</f>
        <v>58830.46</v>
      </c>
      <c r="H254" s="18" t="n">
        <f aca="false">ROUND(G254-'Cohort Data'!H254,Assumptions!$B$10)</f>
        <v>13448.86</v>
      </c>
      <c r="I254" s="18" t="n">
        <f aca="false">CEILING(G254,Assumptions!$B$12)</f>
        <v>58900</v>
      </c>
      <c r="J254" s="18" t="n">
        <f aca="false">FLOOR(G254,Assumptions!$B$12)</f>
        <v>58800</v>
      </c>
      <c r="K254" s="18" t="n">
        <f aca="false">ROUNDUP(G254,Assumptions!$B$10)</f>
        <v>58830.46</v>
      </c>
      <c r="L254" s="18" t="n">
        <f aca="false">ROUNDDOWN(G254,Assumptions!$B$10)</f>
        <v>58830.46</v>
      </c>
      <c r="M254" s="19" t="n">
        <f aca="false">INT('Cohort Data'!E254/Assumptions!$B$11)</f>
        <v>1</v>
      </c>
    </row>
    <row r="255" customFormat="false" ht="15" hidden="false" customHeight="false" outlineLevel="0" collapsed="false">
      <c r="A255" s="2" t="s">
        <v>355</v>
      </c>
      <c r="B255" s="18" t="n">
        <f aca="false">IF('Cohort Data'!D255=Assumptions!$B$16,ROUND('Cohort Data'!L255*'Cohort Data'!J255*Assumptions!$F$4,Assumptions!$B$10),Assumptions!$B$13)</f>
        <v>33512.88</v>
      </c>
      <c r="C255" s="18" t="n">
        <f aca="false">IF('Cohort Data'!D255=Assumptions!$B$16,ROUND('Cohort Data'!E255*Assumptions!$B$6,Assumptions!$B$10),Assumptions!$B$13)</f>
        <v>3075</v>
      </c>
      <c r="D255" s="18" t="n">
        <f aca="false">SUM(B255:C255)</f>
        <v>36587.88</v>
      </c>
      <c r="E255" s="18" t="n">
        <f aca="false">ROUND(D255/Assumptions!$F$6,Assumptions!$B$10)</f>
        <v>35522.21</v>
      </c>
      <c r="F255" s="18" t="n">
        <f aca="false">ROUND(E255*Assumptions!$B$7,Assumptions!$B$10)</f>
        <v>1420.89</v>
      </c>
      <c r="G255" s="18" t="n">
        <f aca="false">SUM(E255:F255)</f>
        <v>36943.1</v>
      </c>
      <c r="H255" s="18" t="n">
        <f aca="false">ROUND(G255-'Cohort Data'!H255,Assumptions!$B$10)</f>
        <v>6567.02</v>
      </c>
      <c r="I255" s="18" t="n">
        <f aca="false">CEILING(G255,Assumptions!$B$12)</f>
        <v>37000</v>
      </c>
      <c r="J255" s="18" t="n">
        <f aca="false">FLOOR(G255,Assumptions!$B$12)</f>
        <v>36900</v>
      </c>
      <c r="K255" s="18" t="n">
        <f aca="false">ROUNDUP(G255,Assumptions!$B$10)</f>
        <v>36943.1</v>
      </c>
      <c r="L255" s="18" t="n">
        <f aca="false">ROUNDDOWN(G255,Assumptions!$B$10)</f>
        <v>36943.1</v>
      </c>
      <c r="M255" s="19" t="n">
        <f aca="false">INT('Cohort Data'!E255/Assumptions!$B$11)</f>
        <v>1</v>
      </c>
    </row>
    <row r="256" customFormat="false" ht="15" hidden="false" customHeight="false" outlineLevel="0" collapsed="false">
      <c r="A256" s="2" t="s">
        <v>356</v>
      </c>
      <c r="B256" s="18" t="n">
        <f aca="false">IF('Cohort Data'!D256=Assumptions!$B$16,ROUND('Cohort Data'!L256*'Cohort Data'!J256*Assumptions!$F$4,Assumptions!$B$10),Assumptions!$B$13)</f>
        <v>17523.67</v>
      </c>
      <c r="C256" s="18" t="n">
        <f aca="false">IF('Cohort Data'!D256=Assumptions!$B$16,ROUND('Cohort Data'!E256*Assumptions!$B$6,Assumptions!$B$10),Assumptions!$B$13)</f>
        <v>1650</v>
      </c>
      <c r="D256" s="18" t="n">
        <f aca="false">SUM(B256:C256)</f>
        <v>19173.67</v>
      </c>
      <c r="E256" s="18" t="n">
        <f aca="false">ROUND(D256/Assumptions!$F$6,Assumptions!$B$10)</f>
        <v>18615.21</v>
      </c>
      <c r="F256" s="18" t="n">
        <f aca="false">ROUND(E256*Assumptions!$B$7,Assumptions!$B$10)</f>
        <v>744.61</v>
      </c>
      <c r="G256" s="18" t="n">
        <f aca="false">SUM(E256:F256)</f>
        <v>19359.82</v>
      </c>
      <c r="H256" s="18" t="n">
        <f aca="false">ROUND(G256-'Cohort Data'!H256,Assumptions!$B$10)</f>
        <v>3358.78</v>
      </c>
      <c r="I256" s="18" t="n">
        <f aca="false">CEILING(G256,Assumptions!$B$12)</f>
        <v>19400</v>
      </c>
      <c r="J256" s="18" t="n">
        <f aca="false">FLOOR(G256,Assumptions!$B$12)</f>
        <v>19300</v>
      </c>
      <c r="K256" s="18" t="n">
        <f aca="false">ROUNDUP(G256,Assumptions!$B$10)</f>
        <v>19359.82</v>
      </c>
      <c r="L256" s="18" t="n">
        <f aca="false">ROUNDDOWN(G256,Assumptions!$B$10)</f>
        <v>19359.82</v>
      </c>
      <c r="M256" s="19" t="n">
        <f aca="false">INT('Cohort Data'!E256/Assumptions!$B$11)</f>
        <v>0</v>
      </c>
    </row>
    <row r="257" customFormat="false" ht="15" hidden="false" customHeight="false" outlineLevel="0" collapsed="false">
      <c r="A257" s="2" t="s">
        <v>357</v>
      </c>
      <c r="B257" s="18" t="n">
        <f aca="false">IF('Cohort Data'!D257=Assumptions!$B$16,ROUND('Cohort Data'!L257*'Cohort Data'!J257*Assumptions!$F$4,Assumptions!$B$10),Assumptions!$B$13)</f>
        <v>52817.66</v>
      </c>
      <c r="C257" s="18" t="n">
        <f aca="false">IF('Cohort Data'!D257=Assumptions!$B$16,ROUND('Cohort Data'!E257*Assumptions!$B$6,Assumptions!$B$10),Assumptions!$B$13)</f>
        <v>4600</v>
      </c>
      <c r="D257" s="18" t="n">
        <f aca="false">SUM(B257:C257)</f>
        <v>57417.66</v>
      </c>
      <c r="E257" s="18" t="n">
        <f aca="false">ROUND(D257/Assumptions!$F$6,Assumptions!$B$10)</f>
        <v>55745.3</v>
      </c>
      <c r="F257" s="18" t="n">
        <f aca="false">ROUND(E257*Assumptions!$B$7,Assumptions!$B$10)</f>
        <v>2229.81</v>
      </c>
      <c r="G257" s="18" t="n">
        <f aca="false">SUM(E257:F257)</f>
        <v>57975.11</v>
      </c>
      <c r="H257" s="18" t="n">
        <f aca="false">ROUND(G257-'Cohort Data'!H257,Assumptions!$B$10)</f>
        <v>10176.33</v>
      </c>
      <c r="I257" s="18" t="n">
        <f aca="false">CEILING(G257,Assumptions!$B$12)</f>
        <v>58000</v>
      </c>
      <c r="J257" s="18" t="n">
        <f aca="false">FLOOR(G257,Assumptions!$B$12)</f>
        <v>57900</v>
      </c>
      <c r="K257" s="18" t="n">
        <f aca="false">ROUNDUP(G257,Assumptions!$B$10)</f>
        <v>57975.11</v>
      </c>
      <c r="L257" s="18" t="n">
        <f aca="false">ROUNDDOWN(G257,Assumptions!$B$10)</f>
        <v>57975.11</v>
      </c>
      <c r="M257" s="19" t="n">
        <f aca="false">INT('Cohort Data'!E257/Assumptions!$B$11)</f>
        <v>1</v>
      </c>
    </row>
    <row r="258" customFormat="false" ht="15" hidden="false" customHeight="false" outlineLevel="0" collapsed="false">
      <c r="A258" s="2" t="s">
        <v>358</v>
      </c>
      <c r="B258" s="18" t="n">
        <f aca="false">IF('Cohort Data'!D258=Assumptions!$B$16,ROUND('Cohort Data'!L258*'Cohort Data'!J258*Assumptions!$F$4,Assumptions!$B$10),Assumptions!$B$13)</f>
        <v>54461.34</v>
      </c>
      <c r="C258" s="18" t="n">
        <f aca="false">IF('Cohort Data'!D258=Assumptions!$B$16,ROUND('Cohort Data'!E258*Assumptions!$B$6,Assumptions!$B$10),Assumptions!$B$13)</f>
        <v>5300</v>
      </c>
      <c r="D258" s="18" t="n">
        <f aca="false">SUM(B258:C258)</f>
        <v>59761.34</v>
      </c>
      <c r="E258" s="18" t="n">
        <f aca="false">ROUND(D258/Assumptions!$F$6,Assumptions!$B$10)</f>
        <v>58020.72</v>
      </c>
      <c r="F258" s="18" t="n">
        <f aca="false">ROUND(E258*Assumptions!$B$7,Assumptions!$B$10)</f>
        <v>2320.83</v>
      </c>
      <c r="G258" s="18" t="n">
        <f aca="false">SUM(E258:F258)</f>
        <v>60341.55</v>
      </c>
      <c r="H258" s="18" t="n">
        <f aca="false">ROUND(G258-'Cohort Data'!H258,Assumptions!$B$10)</f>
        <v>12488.91</v>
      </c>
      <c r="I258" s="18" t="n">
        <f aca="false">CEILING(G258,Assumptions!$B$12)</f>
        <v>60400</v>
      </c>
      <c r="J258" s="18" t="n">
        <f aca="false">FLOOR(G258,Assumptions!$B$12)</f>
        <v>60300</v>
      </c>
      <c r="K258" s="18" t="n">
        <f aca="false">ROUNDUP(G258,Assumptions!$B$10)</f>
        <v>60341.55</v>
      </c>
      <c r="L258" s="18" t="n">
        <f aca="false">ROUNDDOWN(G258,Assumptions!$B$10)</f>
        <v>60341.55</v>
      </c>
      <c r="M258" s="19" t="n">
        <f aca="false">INT('Cohort Data'!E258/Assumptions!$B$11)</f>
        <v>2</v>
      </c>
    </row>
    <row r="259" customFormat="false" ht="15" hidden="false" customHeight="false" outlineLevel="0" collapsed="false">
      <c r="A259" s="2" t="s">
        <v>359</v>
      </c>
      <c r="B259" s="18" t="n">
        <f aca="false">IF('Cohort Data'!D259=Assumptions!$B$16,ROUND('Cohort Data'!L259*'Cohort Data'!J259*Assumptions!$F$4,Assumptions!$B$10),Assumptions!$B$13)</f>
        <v>23606.26</v>
      </c>
      <c r="C259" s="18" t="n">
        <f aca="false">IF('Cohort Data'!D259=Assumptions!$B$16,ROUND('Cohort Data'!E259*Assumptions!$B$6,Assumptions!$B$10),Assumptions!$B$13)</f>
        <v>4075</v>
      </c>
      <c r="D259" s="18" t="n">
        <f aca="false">SUM(B259:C259)</f>
        <v>27681.26</v>
      </c>
      <c r="E259" s="18" t="n">
        <f aca="false">ROUND(D259/Assumptions!$F$6,Assumptions!$B$10)</f>
        <v>26875.01</v>
      </c>
      <c r="F259" s="18" t="n">
        <f aca="false">ROUND(E259*Assumptions!$B$7,Assumptions!$B$10)</f>
        <v>1075</v>
      </c>
      <c r="G259" s="18" t="n">
        <f aca="false">SUM(E259:F259)</f>
        <v>27950.01</v>
      </c>
      <c r="H259" s="18" t="n">
        <f aca="false">ROUND(G259-'Cohort Data'!H259,Assumptions!$B$10)</f>
        <v>5714.2</v>
      </c>
      <c r="I259" s="18" t="n">
        <f aca="false">CEILING(G259,Assumptions!$B$12)</f>
        <v>28000</v>
      </c>
      <c r="J259" s="18" t="n">
        <f aca="false">FLOOR(G259,Assumptions!$B$12)</f>
        <v>27900</v>
      </c>
      <c r="K259" s="18" t="n">
        <f aca="false">ROUNDUP(G259,Assumptions!$B$10)</f>
        <v>27950.01</v>
      </c>
      <c r="L259" s="18" t="n">
        <f aca="false">ROUNDDOWN(G259,Assumptions!$B$10)</f>
        <v>27950.01</v>
      </c>
      <c r="M259" s="19" t="n">
        <f aca="false">INT('Cohort Data'!E259/Assumptions!$B$11)</f>
        <v>1</v>
      </c>
    </row>
    <row r="260" customFormat="false" ht="15" hidden="false" customHeight="false" outlineLevel="0" collapsed="false">
      <c r="A260" s="2" t="s">
        <v>360</v>
      </c>
      <c r="B260" s="18" t="n">
        <f aca="false">IF('Cohort Data'!D260=Assumptions!$B$16,ROUND('Cohort Data'!L260*'Cohort Data'!J260*Assumptions!$F$4,Assumptions!$B$10),Assumptions!$B$13)</f>
        <v>21563.94</v>
      </c>
      <c r="C260" s="18" t="n">
        <f aca="false">IF('Cohort Data'!D260=Assumptions!$B$16,ROUND('Cohort Data'!E260*Assumptions!$B$6,Assumptions!$B$10),Assumptions!$B$13)</f>
        <v>3850</v>
      </c>
      <c r="D260" s="18" t="n">
        <f aca="false">SUM(B260:C260)</f>
        <v>25413.94</v>
      </c>
      <c r="E260" s="18" t="n">
        <f aca="false">ROUND(D260/Assumptions!$F$6,Assumptions!$B$10)</f>
        <v>24673.73</v>
      </c>
      <c r="F260" s="18" t="n">
        <f aca="false">ROUND(E260*Assumptions!$B$7,Assumptions!$B$10)</f>
        <v>986.95</v>
      </c>
      <c r="G260" s="18" t="n">
        <f aca="false">SUM(E260:F260)</f>
        <v>25660.68</v>
      </c>
      <c r="H260" s="18" t="n">
        <f aca="false">ROUND(G260-'Cohort Data'!H260,Assumptions!$B$10)</f>
        <v>5535.96</v>
      </c>
      <c r="I260" s="18" t="n">
        <f aca="false">CEILING(G260,Assumptions!$B$12)</f>
        <v>25700</v>
      </c>
      <c r="J260" s="18" t="n">
        <f aca="false">FLOOR(G260,Assumptions!$B$12)</f>
        <v>25600</v>
      </c>
      <c r="K260" s="18" t="n">
        <f aca="false">ROUNDUP(G260,Assumptions!$B$10)</f>
        <v>25660.68</v>
      </c>
      <c r="L260" s="18" t="n">
        <f aca="false">ROUNDDOWN(G260,Assumptions!$B$10)</f>
        <v>25660.68</v>
      </c>
      <c r="M260" s="19" t="n">
        <f aca="false">INT('Cohort Data'!E260/Assumptions!$B$11)</f>
        <v>1</v>
      </c>
    </row>
    <row r="261" customFormat="false" ht="15" hidden="false" customHeight="false" outlineLevel="0" collapsed="false">
      <c r="A261" s="2" t="s">
        <v>361</v>
      </c>
      <c r="B261" s="18" t="n">
        <f aca="false">IF('Cohort Data'!D261=Assumptions!$B$16,ROUND('Cohort Data'!L261*'Cohort Data'!J261*Assumptions!$F$4,Assumptions!$B$10),Assumptions!$B$13)</f>
        <v>37989.04</v>
      </c>
      <c r="C261" s="18" t="n">
        <f aca="false">IF('Cohort Data'!D261=Assumptions!$B$16,ROUND('Cohort Data'!E261*Assumptions!$B$6,Assumptions!$B$10),Assumptions!$B$13)</f>
        <v>3050</v>
      </c>
      <c r="D261" s="18" t="n">
        <f aca="false">SUM(B261:C261)</f>
        <v>41039.04</v>
      </c>
      <c r="E261" s="18" t="n">
        <f aca="false">ROUND(D261/Assumptions!$F$6,Assumptions!$B$10)</f>
        <v>39843.73</v>
      </c>
      <c r="F261" s="18" t="n">
        <f aca="false">ROUND(E261*Assumptions!$B$7,Assumptions!$B$10)</f>
        <v>1593.75</v>
      </c>
      <c r="G261" s="18" t="n">
        <f aca="false">SUM(E261:F261)</f>
        <v>41437.48</v>
      </c>
      <c r="H261" s="18" t="n">
        <f aca="false">ROUND(G261-'Cohort Data'!H261,Assumptions!$B$10)</f>
        <v>8058.28</v>
      </c>
      <c r="I261" s="18" t="n">
        <f aca="false">CEILING(G261,Assumptions!$B$12)</f>
        <v>41500</v>
      </c>
      <c r="J261" s="18" t="n">
        <f aca="false">FLOOR(G261,Assumptions!$B$12)</f>
        <v>41400</v>
      </c>
      <c r="K261" s="18" t="n">
        <f aca="false">ROUNDUP(G261,Assumptions!$B$10)</f>
        <v>41437.48</v>
      </c>
      <c r="L261" s="18" t="n">
        <f aca="false">ROUNDDOWN(G261,Assumptions!$B$10)</f>
        <v>41437.48</v>
      </c>
      <c r="M261" s="19" t="n">
        <f aca="false">INT('Cohort Data'!E261/Assumptions!$B$11)</f>
        <v>1</v>
      </c>
    </row>
    <row r="262" customFormat="false" ht="15" hidden="false" customHeight="false" outlineLevel="0" collapsed="false">
      <c r="A262" s="2" t="s">
        <v>362</v>
      </c>
      <c r="B262" s="18" t="n">
        <f aca="false">IF('Cohort Data'!D262=Assumptions!$B$16,ROUND('Cohort Data'!L262*'Cohort Data'!J262*Assumptions!$F$4,Assumptions!$B$10),Assumptions!$B$13)</f>
        <v>16316.8</v>
      </c>
      <c r="C262" s="18" t="n">
        <f aca="false">IF('Cohort Data'!D262=Assumptions!$B$16,ROUND('Cohort Data'!E262*Assumptions!$B$6,Assumptions!$B$10),Assumptions!$B$13)</f>
        <v>2600</v>
      </c>
      <c r="D262" s="18" t="n">
        <f aca="false">SUM(B262:C262)</f>
        <v>18916.8</v>
      </c>
      <c r="E262" s="18" t="n">
        <f aca="false">ROUND(D262/Assumptions!$F$6,Assumptions!$B$10)</f>
        <v>18365.83</v>
      </c>
      <c r="F262" s="18" t="n">
        <f aca="false">ROUND(E262*Assumptions!$B$7,Assumptions!$B$10)</f>
        <v>734.63</v>
      </c>
      <c r="G262" s="18" t="n">
        <f aca="false">SUM(E262:F262)</f>
        <v>19100.46</v>
      </c>
      <c r="H262" s="18" t="n">
        <f aca="false">ROUND(G262-'Cohort Data'!H262,Assumptions!$B$10)</f>
        <v>4201.42</v>
      </c>
      <c r="I262" s="18" t="n">
        <f aca="false">CEILING(G262,Assumptions!$B$12)</f>
        <v>19200</v>
      </c>
      <c r="J262" s="18" t="n">
        <f aca="false">FLOOR(G262,Assumptions!$B$12)</f>
        <v>19100</v>
      </c>
      <c r="K262" s="18" t="n">
        <f aca="false">ROUNDUP(G262,Assumptions!$B$10)</f>
        <v>19100.47</v>
      </c>
      <c r="L262" s="18" t="n">
        <f aca="false">ROUNDDOWN(G262,Assumptions!$B$10)</f>
        <v>19100.46</v>
      </c>
      <c r="M262" s="19" t="n">
        <f aca="false">INT('Cohort Data'!E262/Assumptions!$B$11)</f>
        <v>1</v>
      </c>
    </row>
    <row r="263" customFormat="false" ht="15" hidden="false" customHeight="false" outlineLevel="0" collapsed="false">
      <c r="A263" s="2" t="s">
        <v>363</v>
      </c>
      <c r="B263" s="18" t="n">
        <f aca="false">IF('Cohort Data'!D263=Assumptions!$B$16,ROUND('Cohort Data'!L263*'Cohort Data'!J263*Assumptions!$F$4,Assumptions!$B$10),Assumptions!$B$13)</f>
        <v>28397.19</v>
      </c>
      <c r="C263" s="18" t="n">
        <f aca="false">IF('Cohort Data'!D263=Assumptions!$B$16,ROUND('Cohort Data'!E263*Assumptions!$B$6,Assumptions!$B$10),Assumptions!$B$13)</f>
        <v>2600</v>
      </c>
      <c r="D263" s="18" t="n">
        <f aca="false">SUM(B263:C263)</f>
        <v>30997.19</v>
      </c>
      <c r="E263" s="18" t="n">
        <f aca="false">ROUND(D263/Assumptions!$F$6,Assumptions!$B$10)</f>
        <v>30094.36</v>
      </c>
      <c r="F263" s="18" t="n">
        <f aca="false">ROUND(E263*Assumptions!$B$7,Assumptions!$B$10)</f>
        <v>1203.77</v>
      </c>
      <c r="G263" s="18" t="n">
        <f aca="false">SUM(E263:F263)</f>
        <v>31298.13</v>
      </c>
      <c r="H263" s="18" t="n">
        <f aca="false">ROUND(G263-'Cohort Data'!H263,Assumptions!$B$10)</f>
        <v>4796.23</v>
      </c>
      <c r="I263" s="18" t="n">
        <f aca="false">CEILING(G263,Assumptions!$B$12)</f>
        <v>31300</v>
      </c>
      <c r="J263" s="18" t="n">
        <f aca="false">FLOOR(G263,Assumptions!$B$12)</f>
        <v>31200</v>
      </c>
      <c r="K263" s="18" t="n">
        <f aca="false">ROUNDUP(G263,Assumptions!$B$10)</f>
        <v>31298.13</v>
      </c>
      <c r="L263" s="18" t="n">
        <f aca="false">ROUNDDOWN(G263,Assumptions!$B$10)</f>
        <v>31298.13</v>
      </c>
      <c r="M263" s="19" t="n">
        <f aca="false">INT('Cohort Data'!E263/Assumptions!$B$11)</f>
        <v>1</v>
      </c>
    </row>
    <row r="264" customFormat="false" ht="15" hidden="false" customHeight="false" outlineLevel="0" collapsed="false">
      <c r="A264" s="2" t="s">
        <v>364</v>
      </c>
      <c r="B264" s="18" t="n">
        <f aca="false">IF('Cohort Data'!D264=Assumptions!$B$16,ROUND('Cohort Data'!L264*'Cohort Data'!J264*Assumptions!$F$4,Assumptions!$B$10),Assumptions!$B$13)</f>
        <v>39927.42</v>
      </c>
      <c r="C264" s="18" t="n">
        <f aca="false">IF('Cohort Data'!D264=Assumptions!$B$16,ROUND('Cohort Data'!E264*Assumptions!$B$6,Assumptions!$B$10),Assumptions!$B$13)</f>
        <v>5575</v>
      </c>
      <c r="D264" s="18" t="n">
        <f aca="false">SUM(B264:C264)</f>
        <v>45502.42</v>
      </c>
      <c r="E264" s="18" t="n">
        <f aca="false">ROUND(D264/Assumptions!$F$6,Assumptions!$B$10)</f>
        <v>44177.11</v>
      </c>
      <c r="F264" s="18" t="n">
        <f aca="false">ROUND(E264*Assumptions!$B$7,Assumptions!$B$10)</f>
        <v>1767.08</v>
      </c>
      <c r="G264" s="18" t="n">
        <f aca="false">SUM(E264:F264)</f>
        <v>45944.19</v>
      </c>
      <c r="H264" s="18" t="n">
        <f aca="false">ROUND(G264-'Cohort Data'!H264,Assumptions!$B$10)</f>
        <v>12708.27</v>
      </c>
      <c r="I264" s="18" t="n">
        <f aca="false">CEILING(G264,Assumptions!$B$12)</f>
        <v>46000</v>
      </c>
      <c r="J264" s="18" t="n">
        <f aca="false">FLOOR(G264,Assumptions!$B$12)</f>
        <v>45900</v>
      </c>
      <c r="K264" s="18" t="n">
        <f aca="false">ROUNDUP(G264,Assumptions!$B$10)</f>
        <v>45944.19</v>
      </c>
      <c r="L264" s="18" t="n">
        <f aca="false">ROUNDDOWN(G264,Assumptions!$B$10)</f>
        <v>45944.19</v>
      </c>
      <c r="M264" s="19" t="n">
        <f aca="false">INT('Cohort Data'!E264/Assumptions!$B$11)</f>
        <v>2</v>
      </c>
    </row>
    <row r="265" customFormat="false" ht="15" hidden="false" customHeight="false" outlineLevel="0" collapsed="false">
      <c r="A265" s="2" t="s">
        <v>365</v>
      </c>
      <c r="B265" s="18" t="n">
        <f aca="false">IF('Cohort Data'!D265=Assumptions!$B$16,ROUND('Cohort Data'!L265*'Cohort Data'!J265*Assumptions!$F$4,Assumptions!$B$10),Assumptions!$B$13)</f>
        <v>31861.21</v>
      </c>
      <c r="C265" s="18" t="n">
        <f aca="false">IF('Cohort Data'!D265=Assumptions!$B$16,ROUND('Cohort Data'!E265*Assumptions!$B$6,Assumptions!$B$10),Assumptions!$B$13)</f>
        <v>5500</v>
      </c>
      <c r="D265" s="18" t="n">
        <f aca="false">SUM(B265:C265)</f>
        <v>37361.21</v>
      </c>
      <c r="E265" s="18" t="n">
        <f aca="false">ROUND(D265/Assumptions!$F$6,Assumptions!$B$10)</f>
        <v>36273.02</v>
      </c>
      <c r="F265" s="18" t="n">
        <f aca="false">ROUND(E265*Assumptions!$B$7,Assumptions!$B$10)</f>
        <v>1450.92</v>
      </c>
      <c r="G265" s="18" t="n">
        <f aca="false">SUM(E265:F265)</f>
        <v>37723.94</v>
      </c>
      <c r="H265" s="18" t="n">
        <f aca="false">ROUND(G265-'Cohort Data'!H265,Assumptions!$B$10)</f>
        <v>9856.1</v>
      </c>
      <c r="I265" s="18" t="n">
        <f aca="false">CEILING(G265,Assumptions!$B$12)</f>
        <v>37800</v>
      </c>
      <c r="J265" s="18" t="n">
        <f aca="false">FLOOR(G265,Assumptions!$B$12)</f>
        <v>37700</v>
      </c>
      <c r="K265" s="18" t="n">
        <f aca="false">ROUNDUP(G265,Assumptions!$B$10)</f>
        <v>37723.94</v>
      </c>
      <c r="L265" s="18" t="n">
        <f aca="false">ROUNDDOWN(G265,Assumptions!$B$10)</f>
        <v>37723.93</v>
      </c>
      <c r="M265" s="19" t="n">
        <f aca="false">INT('Cohort Data'!E265/Assumptions!$B$11)</f>
        <v>2</v>
      </c>
    </row>
    <row r="266" customFormat="false" ht="15" hidden="false" customHeight="false" outlineLevel="0" collapsed="false">
      <c r="A266" s="2" t="s">
        <v>366</v>
      </c>
      <c r="B266" s="18" t="n">
        <f aca="false">IF('Cohort Data'!D266=Assumptions!$B$16,ROUND('Cohort Data'!L266*'Cohort Data'!J266*Assumptions!$F$4,Assumptions!$B$10),Assumptions!$B$13)</f>
        <v>33858.19</v>
      </c>
      <c r="C266" s="18" t="n">
        <f aca="false">IF('Cohort Data'!D266=Assumptions!$B$16,ROUND('Cohort Data'!E266*Assumptions!$B$6,Assumptions!$B$10),Assumptions!$B$13)</f>
        <v>3900</v>
      </c>
      <c r="D266" s="18" t="n">
        <f aca="false">SUM(B266:C266)</f>
        <v>37758.19</v>
      </c>
      <c r="E266" s="18" t="n">
        <f aca="false">ROUND(D266/Assumptions!$F$6,Assumptions!$B$10)</f>
        <v>36658.44</v>
      </c>
      <c r="F266" s="18" t="n">
        <f aca="false">ROUND(E266*Assumptions!$B$7,Assumptions!$B$10)</f>
        <v>1466.34</v>
      </c>
      <c r="G266" s="18" t="n">
        <f aca="false">SUM(E266:F266)</f>
        <v>38124.78</v>
      </c>
      <c r="H266" s="18" t="n">
        <f aca="false">ROUND(G266-'Cohort Data'!H266,Assumptions!$B$10)</f>
        <v>7483.88</v>
      </c>
      <c r="I266" s="18" t="n">
        <f aca="false">CEILING(G266,Assumptions!$B$12)</f>
        <v>38200</v>
      </c>
      <c r="J266" s="18" t="n">
        <f aca="false">FLOOR(G266,Assumptions!$B$12)</f>
        <v>38100</v>
      </c>
      <c r="K266" s="18" t="n">
        <f aca="false">ROUNDUP(G266,Assumptions!$B$10)</f>
        <v>38124.78</v>
      </c>
      <c r="L266" s="18" t="n">
        <f aca="false">ROUNDDOWN(G266,Assumptions!$B$10)</f>
        <v>38124.78</v>
      </c>
      <c r="M266" s="19" t="n">
        <f aca="false">INT('Cohort Data'!E266/Assumptions!$B$11)</f>
        <v>1</v>
      </c>
    </row>
    <row r="267" customFormat="false" ht="15" hidden="false" customHeight="false" outlineLevel="0" collapsed="false">
      <c r="A267" s="2" t="s">
        <v>367</v>
      </c>
      <c r="B267" s="18" t="n">
        <f aca="false">IF('Cohort Data'!D267=Assumptions!$B$16,ROUND('Cohort Data'!L267*'Cohort Data'!J267*Assumptions!$F$4,Assumptions!$B$10),Assumptions!$B$13)</f>
        <v>29542.71</v>
      </c>
      <c r="C267" s="18" t="n">
        <f aca="false">IF('Cohort Data'!D267=Assumptions!$B$16,ROUND('Cohort Data'!E267*Assumptions!$B$6,Assumptions!$B$10),Assumptions!$B$13)</f>
        <v>4125</v>
      </c>
      <c r="D267" s="18" t="n">
        <f aca="false">SUM(B267:C267)</f>
        <v>33667.71</v>
      </c>
      <c r="E267" s="18" t="n">
        <f aca="false">ROUND(D267/Assumptions!$F$6,Assumptions!$B$10)</f>
        <v>32687.1</v>
      </c>
      <c r="F267" s="18" t="n">
        <f aca="false">ROUND(E267*Assumptions!$B$7,Assumptions!$B$10)</f>
        <v>1307.48</v>
      </c>
      <c r="G267" s="18" t="n">
        <f aca="false">SUM(E267:F267)</f>
        <v>33994.58</v>
      </c>
      <c r="H267" s="18" t="n">
        <f aca="false">ROUND(G267-'Cohort Data'!H267,Assumptions!$B$10)</f>
        <v>8583.26</v>
      </c>
      <c r="I267" s="18" t="n">
        <f aca="false">CEILING(G267,Assumptions!$B$12)</f>
        <v>34000</v>
      </c>
      <c r="J267" s="18" t="n">
        <f aca="false">FLOOR(G267,Assumptions!$B$12)</f>
        <v>33900</v>
      </c>
      <c r="K267" s="18" t="n">
        <f aca="false">ROUNDUP(G267,Assumptions!$B$10)</f>
        <v>33994.58</v>
      </c>
      <c r="L267" s="18" t="n">
        <f aca="false">ROUNDDOWN(G267,Assumptions!$B$10)</f>
        <v>33994.58</v>
      </c>
      <c r="M267" s="19" t="n">
        <f aca="false">INT('Cohort Data'!E267/Assumptions!$B$11)</f>
        <v>1</v>
      </c>
    </row>
    <row r="268" customFormat="false" ht="15" hidden="false" customHeight="false" outlineLevel="0" collapsed="false">
      <c r="A268" s="2" t="s">
        <v>368</v>
      </c>
      <c r="B268" s="18" t="n">
        <f aca="false">IF('Cohort Data'!D268=Assumptions!$B$16,ROUND('Cohort Data'!L268*'Cohort Data'!J268*Assumptions!$F$4,Assumptions!$B$10),Assumptions!$B$13)</f>
        <v>55268.34</v>
      </c>
      <c r="C268" s="18" t="n">
        <f aca="false">IF('Cohort Data'!D268=Assumptions!$B$16,ROUND('Cohort Data'!E268*Assumptions!$B$6,Assumptions!$B$10),Assumptions!$B$13)</f>
        <v>5325</v>
      </c>
      <c r="D268" s="18" t="n">
        <f aca="false">SUM(B268:C268)</f>
        <v>60593.34</v>
      </c>
      <c r="E268" s="18" t="n">
        <f aca="false">ROUND(D268/Assumptions!$F$6,Assumptions!$B$10)</f>
        <v>58828.49</v>
      </c>
      <c r="F268" s="18" t="n">
        <f aca="false">ROUND(E268*Assumptions!$B$7,Assumptions!$B$10)</f>
        <v>2353.14</v>
      </c>
      <c r="G268" s="18" t="n">
        <f aca="false">SUM(E268:F268)</f>
        <v>61181.63</v>
      </c>
      <c r="H268" s="18" t="n">
        <f aca="false">ROUND(G268-'Cohort Data'!H268,Assumptions!$B$10)</f>
        <v>12840.43</v>
      </c>
      <c r="I268" s="18" t="n">
        <f aca="false">CEILING(G268,Assumptions!$B$12)</f>
        <v>61200</v>
      </c>
      <c r="J268" s="18" t="n">
        <f aca="false">FLOOR(G268,Assumptions!$B$12)</f>
        <v>61100</v>
      </c>
      <c r="K268" s="18" t="n">
        <f aca="false">ROUNDUP(G268,Assumptions!$B$10)</f>
        <v>61181.63</v>
      </c>
      <c r="L268" s="18" t="n">
        <f aca="false">ROUNDDOWN(G268,Assumptions!$B$10)</f>
        <v>61181.63</v>
      </c>
      <c r="M268" s="19" t="n">
        <f aca="false">INT('Cohort Data'!E268/Assumptions!$B$11)</f>
        <v>2</v>
      </c>
    </row>
    <row r="269" customFormat="false" ht="15" hidden="false" customHeight="false" outlineLevel="0" collapsed="false">
      <c r="A269" s="2" t="s">
        <v>369</v>
      </c>
      <c r="B269" s="18" t="n">
        <f aca="false">IF('Cohort Data'!D269=Assumptions!$B$16,ROUND('Cohort Data'!L269*'Cohort Data'!J269*Assumptions!$F$4,Assumptions!$B$10),Assumptions!$B$13)</f>
        <v>0</v>
      </c>
      <c r="C269" s="18" t="n">
        <f aca="false">IF('Cohort Data'!D269=Assumptions!$B$16,ROUND('Cohort Data'!E269*Assumptions!$B$6,Assumptions!$B$10),Assumptions!$B$13)</f>
        <v>0</v>
      </c>
      <c r="D269" s="18" t="n">
        <f aca="false">SUM(B269:C269)</f>
        <v>0</v>
      </c>
      <c r="E269" s="18" t="n">
        <f aca="false">ROUND(D269/Assumptions!$F$6,Assumptions!$B$10)</f>
        <v>0</v>
      </c>
      <c r="F269" s="18" t="n">
        <f aca="false">ROUND(E269*Assumptions!$B$7,Assumptions!$B$10)</f>
        <v>0</v>
      </c>
      <c r="G269" s="18" t="n">
        <f aca="false">SUM(E269:F269)</f>
        <v>0</v>
      </c>
      <c r="H269" s="18" t="n">
        <f aca="false">ROUND(G269-'Cohort Data'!H269,Assumptions!$B$10)</f>
        <v>-27983.14</v>
      </c>
      <c r="I269" s="18" t="n">
        <f aca="false">CEILING(G269,Assumptions!$B$12)</f>
        <v>0</v>
      </c>
      <c r="J269" s="18" t="n">
        <f aca="false">FLOOR(G269,Assumptions!$B$12)</f>
        <v>0</v>
      </c>
      <c r="K269" s="18" t="n">
        <f aca="false">ROUNDUP(G269,Assumptions!$B$10)</f>
        <v>0</v>
      </c>
      <c r="L269" s="18" t="n">
        <f aca="false">ROUNDDOWN(G269,Assumptions!$B$10)</f>
        <v>0</v>
      </c>
      <c r="M269" s="19" t="n">
        <f aca="false">INT('Cohort Data'!E269/Assumptions!$B$11)</f>
        <v>0</v>
      </c>
    </row>
    <row r="270" customFormat="false" ht="15" hidden="false" customHeight="false" outlineLevel="0" collapsed="false">
      <c r="A270" s="2" t="s">
        <v>370</v>
      </c>
      <c r="B270" s="18" t="n">
        <f aca="false">IF('Cohort Data'!D270=Assumptions!$B$16,ROUND('Cohort Data'!L270*'Cohort Data'!J270*Assumptions!$F$4,Assumptions!$B$10),Assumptions!$B$13)</f>
        <v>14557.28</v>
      </c>
      <c r="C270" s="18" t="n">
        <f aca="false">IF('Cohort Data'!D270=Assumptions!$B$16,ROUND('Cohort Data'!E270*Assumptions!$B$6,Assumptions!$B$10),Assumptions!$B$13)</f>
        <v>2125</v>
      </c>
      <c r="D270" s="18" t="n">
        <f aca="false">SUM(B270:C270)</f>
        <v>16682.28</v>
      </c>
      <c r="E270" s="18" t="n">
        <f aca="false">ROUND(D270/Assumptions!$F$6,Assumptions!$B$10)</f>
        <v>16196.39</v>
      </c>
      <c r="F270" s="18" t="n">
        <f aca="false">ROUND(E270*Assumptions!$B$7,Assumptions!$B$10)</f>
        <v>647.86</v>
      </c>
      <c r="G270" s="18" t="n">
        <f aca="false">SUM(E270:F270)</f>
        <v>16844.25</v>
      </c>
      <c r="H270" s="18" t="n">
        <f aca="false">ROUND(G270-'Cohort Data'!H270,Assumptions!$B$10)</f>
        <v>3649.53</v>
      </c>
      <c r="I270" s="18" t="n">
        <f aca="false">CEILING(G270,Assumptions!$B$12)</f>
        <v>16900</v>
      </c>
      <c r="J270" s="18" t="n">
        <f aca="false">FLOOR(G270,Assumptions!$B$12)</f>
        <v>16800</v>
      </c>
      <c r="K270" s="18" t="n">
        <f aca="false">ROUNDUP(G270,Assumptions!$B$10)</f>
        <v>16844.25</v>
      </c>
      <c r="L270" s="18" t="n">
        <f aca="false">ROUNDDOWN(G270,Assumptions!$B$10)</f>
        <v>16844.25</v>
      </c>
      <c r="M270" s="19" t="n">
        <f aca="false">INT('Cohort Data'!E270/Assumptions!$B$11)</f>
        <v>0</v>
      </c>
    </row>
    <row r="271" customFormat="false" ht="15" hidden="false" customHeight="false" outlineLevel="0" collapsed="false">
      <c r="A271" s="2" t="s">
        <v>371</v>
      </c>
      <c r="B271" s="18" t="n">
        <f aca="false">IF('Cohort Data'!D271=Assumptions!$B$16,ROUND('Cohort Data'!L271*'Cohort Data'!J271*Assumptions!$F$4,Assumptions!$B$10),Assumptions!$B$13)</f>
        <v>29694.89</v>
      </c>
      <c r="C271" s="18" t="n">
        <f aca="false">IF('Cohort Data'!D271=Assumptions!$B$16,ROUND('Cohort Data'!E271*Assumptions!$B$6,Assumptions!$B$10),Assumptions!$B$13)</f>
        <v>3325</v>
      </c>
      <c r="D271" s="18" t="n">
        <f aca="false">SUM(B271:C271)</f>
        <v>33019.89</v>
      </c>
      <c r="E271" s="18" t="n">
        <f aca="false">ROUND(D271/Assumptions!$F$6,Assumptions!$B$10)</f>
        <v>32058.15</v>
      </c>
      <c r="F271" s="18" t="n">
        <f aca="false">ROUND(E271*Assumptions!$B$7,Assumptions!$B$10)</f>
        <v>1282.33</v>
      </c>
      <c r="G271" s="18" t="n">
        <f aca="false">SUM(E271:F271)</f>
        <v>33340.48</v>
      </c>
      <c r="H271" s="18" t="n">
        <f aca="false">ROUND(G271-'Cohort Data'!H271,Assumptions!$B$10)</f>
        <v>5369.52</v>
      </c>
      <c r="I271" s="18" t="n">
        <f aca="false">CEILING(G271,Assumptions!$B$12)</f>
        <v>33400</v>
      </c>
      <c r="J271" s="18" t="n">
        <f aca="false">FLOOR(G271,Assumptions!$B$12)</f>
        <v>33300</v>
      </c>
      <c r="K271" s="18" t="n">
        <f aca="false">ROUNDUP(G271,Assumptions!$B$10)</f>
        <v>33340.48</v>
      </c>
      <c r="L271" s="18" t="n">
        <f aca="false">ROUNDDOWN(G271,Assumptions!$B$10)</f>
        <v>33340.48</v>
      </c>
      <c r="M271" s="19" t="n">
        <f aca="false">INT('Cohort Data'!E271/Assumptions!$B$11)</f>
        <v>1</v>
      </c>
    </row>
    <row r="272" customFormat="false" ht="15" hidden="false" customHeight="false" outlineLevel="0" collapsed="false">
      <c r="A272" s="2" t="s">
        <v>372</v>
      </c>
      <c r="B272" s="18" t="n">
        <f aca="false">IF('Cohort Data'!D272=Assumptions!$B$16,ROUND('Cohort Data'!L272*'Cohort Data'!J272*Assumptions!$F$4,Assumptions!$B$10),Assumptions!$B$13)</f>
        <v>28733.25</v>
      </c>
      <c r="C272" s="18" t="n">
        <f aca="false">IF('Cohort Data'!D272=Assumptions!$B$16,ROUND('Cohort Data'!E272*Assumptions!$B$6,Assumptions!$B$10),Assumptions!$B$13)</f>
        <v>2700</v>
      </c>
      <c r="D272" s="18" t="n">
        <f aca="false">SUM(B272:C272)</f>
        <v>31433.25</v>
      </c>
      <c r="E272" s="18" t="n">
        <f aca="false">ROUND(D272/Assumptions!$F$6,Assumptions!$B$10)</f>
        <v>30517.72</v>
      </c>
      <c r="F272" s="18" t="n">
        <f aca="false">ROUND(E272*Assumptions!$B$7,Assumptions!$B$10)</f>
        <v>1220.71</v>
      </c>
      <c r="G272" s="18" t="n">
        <f aca="false">SUM(E272:F272)</f>
        <v>31738.43</v>
      </c>
      <c r="H272" s="18" t="n">
        <f aca="false">ROUND(G272-'Cohort Data'!H272,Assumptions!$B$10)</f>
        <v>6818.94</v>
      </c>
      <c r="I272" s="18" t="n">
        <f aca="false">CEILING(G272,Assumptions!$B$12)</f>
        <v>31800</v>
      </c>
      <c r="J272" s="18" t="n">
        <f aca="false">FLOOR(G272,Assumptions!$B$12)</f>
        <v>31700</v>
      </c>
      <c r="K272" s="18" t="n">
        <f aca="false">ROUNDUP(G272,Assumptions!$B$10)</f>
        <v>31738.43</v>
      </c>
      <c r="L272" s="18" t="n">
        <f aca="false">ROUNDDOWN(G272,Assumptions!$B$10)</f>
        <v>31738.43</v>
      </c>
      <c r="M272" s="19" t="n">
        <f aca="false">INT('Cohort Data'!E272/Assumptions!$B$11)</f>
        <v>1</v>
      </c>
    </row>
    <row r="273" customFormat="false" ht="15" hidden="false" customHeight="false" outlineLevel="0" collapsed="false">
      <c r="A273" s="2" t="s">
        <v>373</v>
      </c>
      <c r="B273" s="18" t="n">
        <f aca="false">IF('Cohort Data'!D273=Assumptions!$B$16,ROUND('Cohort Data'!L273*'Cohort Data'!J273*Assumptions!$F$4,Assumptions!$B$10),Assumptions!$B$13)</f>
        <v>38463.91</v>
      </c>
      <c r="C273" s="18" t="n">
        <f aca="false">IF('Cohort Data'!D273=Assumptions!$B$16,ROUND('Cohort Data'!E273*Assumptions!$B$6,Assumptions!$B$10),Assumptions!$B$13)</f>
        <v>4575</v>
      </c>
      <c r="D273" s="18" t="n">
        <f aca="false">SUM(B273:C273)</f>
        <v>43038.91</v>
      </c>
      <c r="E273" s="18" t="n">
        <f aca="false">ROUND(D273/Assumptions!$F$6,Assumptions!$B$10)</f>
        <v>41785.35</v>
      </c>
      <c r="F273" s="18" t="n">
        <f aca="false">ROUND(E273*Assumptions!$B$7,Assumptions!$B$10)</f>
        <v>1671.41</v>
      </c>
      <c r="G273" s="18" t="n">
        <f aca="false">SUM(E273:F273)</f>
        <v>43456.76</v>
      </c>
      <c r="H273" s="18" t="n">
        <f aca="false">ROUND(G273-'Cohort Data'!H273,Assumptions!$B$10)</f>
        <v>10727.58</v>
      </c>
      <c r="I273" s="18" t="n">
        <f aca="false">CEILING(G273,Assumptions!$B$12)</f>
        <v>43500</v>
      </c>
      <c r="J273" s="18" t="n">
        <f aca="false">FLOOR(G273,Assumptions!$B$12)</f>
        <v>43400</v>
      </c>
      <c r="K273" s="18" t="n">
        <f aca="false">ROUNDUP(G273,Assumptions!$B$10)</f>
        <v>43456.76</v>
      </c>
      <c r="L273" s="18" t="n">
        <f aca="false">ROUNDDOWN(G273,Assumptions!$B$10)</f>
        <v>43456.76</v>
      </c>
      <c r="M273" s="19" t="n">
        <f aca="false">INT('Cohort Data'!E273/Assumptions!$B$11)</f>
        <v>1</v>
      </c>
    </row>
    <row r="274" customFormat="false" ht="15" hidden="false" customHeight="false" outlineLevel="0" collapsed="false">
      <c r="A274" s="2" t="s">
        <v>374</v>
      </c>
      <c r="B274" s="18" t="n">
        <f aca="false">IF('Cohort Data'!D274=Assumptions!$B$16,ROUND('Cohort Data'!L274*'Cohort Data'!J274*Assumptions!$F$4,Assumptions!$B$10),Assumptions!$B$13)</f>
        <v>15152.18</v>
      </c>
      <c r="C274" s="18" t="n">
        <f aca="false">IF('Cohort Data'!D274=Assumptions!$B$16,ROUND('Cohort Data'!E274*Assumptions!$B$6,Assumptions!$B$10),Assumptions!$B$13)</f>
        <v>2325</v>
      </c>
      <c r="D274" s="18" t="n">
        <f aca="false">SUM(B274:C274)</f>
        <v>17477.18</v>
      </c>
      <c r="E274" s="18" t="n">
        <f aca="false">ROUND(D274/Assumptions!$F$6,Assumptions!$B$10)</f>
        <v>16968.14</v>
      </c>
      <c r="F274" s="18" t="n">
        <f aca="false">ROUND(E274*Assumptions!$B$7,Assumptions!$B$10)</f>
        <v>678.73</v>
      </c>
      <c r="G274" s="18" t="n">
        <f aca="false">SUM(E274:F274)</f>
        <v>17646.87</v>
      </c>
      <c r="H274" s="18" t="n">
        <f aca="false">ROUND(G274-'Cohort Data'!H274,Assumptions!$B$10)</f>
        <v>3665.62</v>
      </c>
      <c r="I274" s="18" t="n">
        <f aca="false">CEILING(G274,Assumptions!$B$12)</f>
        <v>17700</v>
      </c>
      <c r="J274" s="18" t="n">
        <f aca="false">FLOOR(G274,Assumptions!$B$12)</f>
        <v>17600</v>
      </c>
      <c r="K274" s="18" t="n">
        <f aca="false">ROUNDUP(G274,Assumptions!$B$10)</f>
        <v>17646.87</v>
      </c>
      <c r="L274" s="18" t="n">
        <f aca="false">ROUNDDOWN(G274,Assumptions!$B$10)</f>
        <v>17646.87</v>
      </c>
      <c r="M274" s="19" t="n">
        <f aca="false">INT('Cohort Data'!E274/Assumptions!$B$11)</f>
        <v>0</v>
      </c>
    </row>
    <row r="275" customFormat="false" ht="15" hidden="false" customHeight="false" outlineLevel="0" collapsed="false">
      <c r="A275" s="2" t="s">
        <v>375</v>
      </c>
      <c r="B275" s="18" t="n">
        <f aca="false">IF('Cohort Data'!D275=Assumptions!$B$16,ROUND('Cohort Data'!L275*'Cohort Data'!J275*Assumptions!$F$4,Assumptions!$B$10),Assumptions!$B$13)</f>
        <v>57130.44</v>
      </c>
      <c r="C275" s="18" t="n">
        <f aca="false">IF('Cohort Data'!D275=Assumptions!$B$16,ROUND('Cohort Data'!E275*Assumptions!$B$6,Assumptions!$B$10),Assumptions!$B$13)</f>
        <v>5100</v>
      </c>
      <c r="D275" s="18" t="n">
        <f aca="false">SUM(B275:C275)</f>
        <v>62230.44</v>
      </c>
      <c r="E275" s="18" t="n">
        <f aca="false">ROUND(D275/Assumptions!$F$6,Assumptions!$B$10)</f>
        <v>60417.9</v>
      </c>
      <c r="F275" s="18" t="n">
        <f aca="false">ROUND(E275*Assumptions!$B$7,Assumptions!$B$10)</f>
        <v>2416.72</v>
      </c>
      <c r="G275" s="18" t="n">
        <f aca="false">SUM(E275:F275)</f>
        <v>62834.62</v>
      </c>
      <c r="H275" s="18" t="n">
        <f aca="false">ROUND(G275-'Cohort Data'!H275,Assumptions!$B$10)</f>
        <v>14364.22</v>
      </c>
      <c r="I275" s="18" t="n">
        <f aca="false">CEILING(G275,Assumptions!$B$12)</f>
        <v>62900</v>
      </c>
      <c r="J275" s="18" t="n">
        <f aca="false">FLOOR(G275,Assumptions!$B$12)</f>
        <v>62800</v>
      </c>
      <c r="K275" s="18" t="n">
        <f aca="false">ROUNDUP(G275,Assumptions!$B$10)</f>
        <v>62834.62</v>
      </c>
      <c r="L275" s="18" t="n">
        <f aca="false">ROUNDDOWN(G275,Assumptions!$B$10)</f>
        <v>62834.62</v>
      </c>
      <c r="M275" s="19" t="n">
        <f aca="false">INT('Cohort Data'!E275/Assumptions!$B$11)</f>
        <v>2</v>
      </c>
    </row>
    <row r="276" customFormat="false" ht="15" hidden="false" customHeight="false" outlineLevel="0" collapsed="false">
      <c r="A276" s="2" t="s">
        <v>376</v>
      </c>
      <c r="B276" s="18" t="n">
        <f aca="false">IF('Cohort Data'!D276=Assumptions!$B$16,ROUND('Cohort Data'!L276*'Cohort Data'!J276*Assumptions!$F$4,Assumptions!$B$10),Assumptions!$B$13)</f>
        <v>22264.07</v>
      </c>
      <c r="C276" s="18" t="n">
        <f aca="false">IF('Cohort Data'!D276=Assumptions!$B$16,ROUND('Cohort Data'!E276*Assumptions!$B$6,Assumptions!$B$10),Assumptions!$B$13)</f>
        <v>2750</v>
      </c>
      <c r="D276" s="18" t="n">
        <f aca="false">SUM(B276:C276)</f>
        <v>25014.07</v>
      </c>
      <c r="E276" s="18" t="n">
        <f aca="false">ROUND(D276/Assumptions!$F$6,Assumptions!$B$10)</f>
        <v>24285.5</v>
      </c>
      <c r="F276" s="18" t="n">
        <f aca="false">ROUND(E276*Assumptions!$B$7,Assumptions!$B$10)</f>
        <v>971.42</v>
      </c>
      <c r="G276" s="18" t="n">
        <f aca="false">SUM(E276:F276)</f>
        <v>25256.92</v>
      </c>
      <c r="H276" s="18" t="n">
        <f aca="false">ROUND(G276-'Cohort Data'!H276,Assumptions!$B$10)</f>
        <v>6518.2</v>
      </c>
      <c r="I276" s="18" t="n">
        <f aca="false">CEILING(G276,Assumptions!$B$12)</f>
        <v>25300</v>
      </c>
      <c r="J276" s="18" t="n">
        <f aca="false">FLOOR(G276,Assumptions!$B$12)</f>
        <v>25200</v>
      </c>
      <c r="K276" s="18" t="n">
        <f aca="false">ROUNDUP(G276,Assumptions!$B$10)</f>
        <v>25256.92</v>
      </c>
      <c r="L276" s="18" t="n">
        <f aca="false">ROUNDDOWN(G276,Assumptions!$B$10)</f>
        <v>25256.92</v>
      </c>
      <c r="M276" s="19" t="n">
        <f aca="false">INT('Cohort Data'!E276/Assumptions!$B$11)</f>
        <v>1</v>
      </c>
    </row>
    <row r="277" customFormat="false" ht="15" hidden="false" customHeight="false" outlineLevel="0" collapsed="false">
      <c r="A277" s="2" t="s">
        <v>377</v>
      </c>
      <c r="B277" s="18" t="n">
        <f aca="false">IF('Cohort Data'!D277=Assumptions!$B$16,ROUND('Cohort Data'!L277*'Cohort Data'!J277*Assumptions!$F$4,Assumptions!$B$10),Assumptions!$B$13)</f>
        <v>50899.49</v>
      </c>
      <c r="C277" s="18" t="n">
        <f aca="false">IF('Cohort Data'!D277=Assumptions!$B$16,ROUND('Cohort Data'!E277*Assumptions!$B$6,Assumptions!$B$10),Assumptions!$B$13)</f>
        <v>6025</v>
      </c>
      <c r="D277" s="18" t="n">
        <f aca="false">SUM(B277:C277)</f>
        <v>56924.49</v>
      </c>
      <c r="E277" s="18" t="n">
        <f aca="false">ROUND(D277/Assumptions!$F$6,Assumptions!$B$10)</f>
        <v>55266.5</v>
      </c>
      <c r="F277" s="18" t="n">
        <f aca="false">ROUND(E277*Assumptions!$B$7,Assumptions!$B$10)</f>
        <v>2210.66</v>
      </c>
      <c r="G277" s="18" t="n">
        <f aca="false">SUM(E277:F277)</f>
        <v>57477.16</v>
      </c>
      <c r="H277" s="18" t="n">
        <f aca="false">ROUND(G277-'Cohort Data'!H277,Assumptions!$B$10)</f>
        <v>9043.39</v>
      </c>
      <c r="I277" s="18" t="n">
        <f aca="false">CEILING(G277,Assumptions!$B$12)</f>
        <v>57500</v>
      </c>
      <c r="J277" s="18" t="n">
        <f aca="false">FLOOR(G277,Assumptions!$B$12)</f>
        <v>57400</v>
      </c>
      <c r="K277" s="18" t="n">
        <f aca="false">ROUNDUP(G277,Assumptions!$B$10)</f>
        <v>57477.16</v>
      </c>
      <c r="L277" s="18" t="n">
        <f aca="false">ROUNDDOWN(G277,Assumptions!$B$10)</f>
        <v>57477.16</v>
      </c>
      <c r="M277" s="19" t="n">
        <f aca="false">INT('Cohort Data'!E277/Assumptions!$B$11)</f>
        <v>2</v>
      </c>
    </row>
    <row r="278" customFormat="false" ht="15" hidden="false" customHeight="false" outlineLevel="0" collapsed="false">
      <c r="A278" s="2" t="s">
        <v>378</v>
      </c>
      <c r="B278" s="18" t="n">
        <f aca="false">IF('Cohort Data'!D278=Assumptions!$B$16,ROUND('Cohort Data'!L278*'Cohort Data'!J278*Assumptions!$F$4,Assumptions!$B$10),Assumptions!$B$13)</f>
        <v>36966.76</v>
      </c>
      <c r="C278" s="18" t="n">
        <f aca="false">IF('Cohort Data'!D278=Assumptions!$B$16,ROUND('Cohort Data'!E278*Assumptions!$B$6,Assumptions!$B$10),Assumptions!$B$13)</f>
        <v>4125</v>
      </c>
      <c r="D278" s="18" t="n">
        <f aca="false">SUM(B278:C278)</f>
        <v>41091.76</v>
      </c>
      <c r="E278" s="18" t="n">
        <f aca="false">ROUND(D278/Assumptions!$F$6,Assumptions!$B$10)</f>
        <v>39894.91</v>
      </c>
      <c r="F278" s="18" t="n">
        <f aca="false">ROUND(E278*Assumptions!$B$7,Assumptions!$B$10)</f>
        <v>1595.8</v>
      </c>
      <c r="G278" s="18" t="n">
        <f aca="false">SUM(E278:F278)</f>
        <v>41490.71</v>
      </c>
      <c r="H278" s="18" t="n">
        <f aca="false">ROUND(G278-'Cohort Data'!H278,Assumptions!$B$10)</f>
        <v>7339.67</v>
      </c>
      <c r="I278" s="18" t="n">
        <f aca="false">CEILING(G278,Assumptions!$B$12)</f>
        <v>41500</v>
      </c>
      <c r="J278" s="18" t="n">
        <f aca="false">FLOOR(G278,Assumptions!$B$12)</f>
        <v>41400</v>
      </c>
      <c r="K278" s="18" t="n">
        <f aca="false">ROUNDUP(G278,Assumptions!$B$10)</f>
        <v>41490.72</v>
      </c>
      <c r="L278" s="18" t="n">
        <f aca="false">ROUNDDOWN(G278,Assumptions!$B$10)</f>
        <v>41490.71</v>
      </c>
      <c r="M278" s="19" t="n">
        <f aca="false">INT('Cohort Data'!E278/Assumptions!$B$11)</f>
        <v>1</v>
      </c>
    </row>
    <row r="279" customFormat="false" ht="15" hidden="false" customHeight="false" outlineLevel="0" collapsed="false">
      <c r="A279" s="2" t="s">
        <v>379</v>
      </c>
      <c r="B279" s="18" t="n">
        <f aca="false">IF('Cohort Data'!D279=Assumptions!$B$16,ROUND('Cohort Data'!L279*'Cohort Data'!J279*Assumptions!$F$4,Assumptions!$B$10),Assumptions!$B$13)</f>
        <v>24630.6</v>
      </c>
      <c r="C279" s="18" t="n">
        <f aca="false">IF('Cohort Data'!D279=Assumptions!$B$16,ROUND('Cohort Data'!E279*Assumptions!$B$6,Assumptions!$B$10),Assumptions!$B$13)</f>
        <v>2825</v>
      </c>
      <c r="D279" s="18" t="n">
        <f aca="false">SUM(B279:C279)</f>
        <v>27455.6</v>
      </c>
      <c r="E279" s="18" t="n">
        <f aca="false">ROUND(D279/Assumptions!$F$6,Assumptions!$B$10)</f>
        <v>26655.92</v>
      </c>
      <c r="F279" s="18" t="n">
        <f aca="false">ROUND(E279*Assumptions!$B$7,Assumptions!$B$10)</f>
        <v>1066.24</v>
      </c>
      <c r="G279" s="18" t="n">
        <f aca="false">SUM(E279:F279)</f>
        <v>27722.16</v>
      </c>
      <c r="H279" s="18" t="n">
        <f aca="false">ROUND(G279-'Cohort Data'!H279,Assumptions!$B$10)</f>
        <v>6763.82</v>
      </c>
      <c r="I279" s="18" t="n">
        <f aca="false">CEILING(G279,Assumptions!$B$12)</f>
        <v>27800</v>
      </c>
      <c r="J279" s="18" t="n">
        <f aca="false">FLOOR(G279,Assumptions!$B$12)</f>
        <v>27700</v>
      </c>
      <c r="K279" s="18" t="n">
        <f aca="false">ROUNDUP(G279,Assumptions!$B$10)</f>
        <v>27722.16</v>
      </c>
      <c r="L279" s="18" t="n">
        <f aca="false">ROUNDDOWN(G279,Assumptions!$B$10)</f>
        <v>27722.16</v>
      </c>
      <c r="M279" s="19" t="n">
        <f aca="false">INT('Cohort Data'!E279/Assumptions!$B$11)</f>
        <v>1</v>
      </c>
    </row>
    <row r="280" customFormat="false" ht="15" hidden="false" customHeight="false" outlineLevel="0" collapsed="false">
      <c r="A280" s="2" t="s">
        <v>380</v>
      </c>
      <c r="B280" s="18" t="n">
        <f aca="false">IF('Cohort Data'!D280=Assumptions!$B$16,ROUND('Cohort Data'!L280*'Cohort Data'!J280*Assumptions!$F$4,Assumptions!$B$10),Assumptions!$B$13)</f>
        <v>48576.28</v>
      </c>
      <c r="C280" s="18" t="n">
        <f aca="false">IF('Cohort Data'!D280=Assumptions!$B$16,ROUND('Cohort Data'!E280*Assumptions!$B$6,Assumptions!$B$10),Assumptions!$B$13)</f>
        <v>5750</v>
      </c>
      <c r="D280" s="18" t="n">
        <f aca="false">SUM(B280:C280)</f>
        <v>54326.28</v>
      </c>
      <c r="E280" s="18" t="n">
        <f aca="false">ROUND(D280/Assumptions!$F$6,Assumptions!$B$10)</f>
        <v>52743.96</v>
      </c>
      <c r="F280" s="18" t="n">
        <f aca="false">ROUND(E280*Assumptions!$B$7,Assumptions!$B$10)</f>
        <v>2109.76</v>
      </c>
      <c r="G280" s="18" t="n">
        <f aca="false">SUM(E280:F280)</f>
        <v>54853.72</v>
      </c>
      <c r="H280" s="18" t="n">
        <f aca="false">ROUND(G280-'Cohort Data'!H280,Assumptions!$B$10)</f>
        <v>12832.72</v>
      </c>
      <c r="I280" s="18" t="n">
        <f aca="false">CEILING(G280,Assumptions!$B$12)</f>
        <v>54900</v>
      </c>
      <c r="J280" s="18" t="n">
        <f aca="false">FLOOR(G280,Assumptions!$B$12)</f>
        <v>54800</v>
      </c>
      <c r="K280" s="18" t="n">
        <f aca="false">ROUNDUP(G280,Assumptions!$B$10)</f>
        <v>54853.72</v>
      </c>
      <c r="L280" s="18" t="n">
        <f aca="false">ROUNDDOWN(G280,Assumptions!$B$10)</f>
        <v>54853.72</v>
      </c>
      <c r="M280" s="19" t="n">
        <f aca="false">INT('Cohort Data'!E280/Assumptions!$B$11)</f>
        <v>2</v>
      </c>
    </row>
    <row r="281" customFormat="false" ht="15" hidden="false" customHeight="false" outlineLevel="0" collapsed="false">
      <c r="A281" s="2" t="s">
        <v>381</v>
      </c>
      <c r="B281" s="18" t="n">
        <f aca="false">IF('Cohort Data'!D281=Assumptions!$B$16,ROUND('Cohort Data'!L281*'Cohort Data'!J281*Assumptions!$F$4,Assumptions!$B$10),Assumptions!$B$13)</f>
        <v>49464.04</v>
      </c>
      <c r="C281" s="18" t="n">
        <f aca="false">IF('Cohort Data'!D281=Assumptions!$B$16,ROUND('Cohort Data'!E281*Assumptions!$B$6,Assumptions!$B$10),Assumptions!$B$13)</f>
        <v>3925</v>
      </c>
      <c r="D281" s="18" t="n">
        <f aca="false">SUM(B281:C281)</f>
        <v>53389.04</v>
      </c>
      <c r="E281" s="18" t="n">
        <f aca="false">ROUND(D281/Assumptions!$F$6,Assumptions!$B$10)</f>
        <v>51834.02</v>
      </c>
      <c r="F281" s="18" t="n">
        <f aca="false">ROUND(E281*Assumptions!$B$7,Assumptions!$B$10)</f>
        <v>2073.36</v>
      </c>
      <c r="G281" s="18" t="n">
        <f aca="false">SUM(E281:F281)</f>
        <v>53907.38</v>
      </c>
      <c r="H281" s="18" t="n">
        <f aca="false">ROUND(G281-'Cohort Data'!H281,Assumptions!$B$10)</f>
        <v>7278.38</v>
      </c>
      <c r="I281" s="18" t="n">
        <f aca="false">CEILING(G281,Assumptions!$B$12)</f>
        <v>54000</v>
      </c>
      <c r="J281" s="18" t="n">
        <f aca="false">FLOOR(G281,Assumptions!$B$12)</f>
        <v>53900</v>
      </c>
      <c r="K281" s="18" t="n">
        <f aca="false">ROUNDUP(G281,Assumptions!$B$10)</f>
        <v>53907.38</v>
      </c>
      <c r="L281" s="18" t="n">
        <f aca="false">ROUNDDOWN(G281,Assumptions!$B$10)</f>
        <v>53907.38</v>
      </c>
      <c r="M281" s="19" t="n">
        <f aca="false">INT('Cohort Data'!E281/Assumptions!$B$11)</f>
        <v>1</v>
      </c>
    </row>
    <row r="282" customFormat="false" ht="15" hidden="false" customHeight="false" outlineLevel="0" collapsed="false">
      <c r="A282" s="2" t="s">
        <v>382</v>
      </c>
      <c r="B282" s="18" t="n">
        <f aca="false">IF('Cohort Data'!D282=Assumptions!$B$16,ROUND('Cohort Data'!L282*'Cohort Data'!J282*Assumptions!$F$4,Assumptions!$B$10),Assumptions!$B$13)</f>
        <v>39880.71</v>
      </c>
      <c r="C282" s="18" t="n">
        <f aca="false">IF('Cohort Data'!D282=Assumptions!$B$16,ROUND('Cohort Data'!E282*Assumptions!$B$6,Assumptions!$B$10),Assumptions!$B$13)</f>
        <v>2725</v>
      </c>
      <c r="D282" s="18" t="n">
        <f aca="false">SUM(B282:C282)</f>
        <v>42605.71</v>
      </c>
      <c r="E282" s="18" t="n">
        <f aca="false">ROUND(D282/Assumptions!$F$6,Assumptions!$B$10)</f>
        <v>41364.77</v>
      </c>
      <c r="F282" s="18" t="n">
        <f aca="false">ROUND(E282*Assumptions!$B$7,Assumptions!$B$10)</f>
        <v>1654.59</v>
      </c>
      <c r="G282" s="18" t="n">
        <f aca="false">SUM(E282:F282)</f>
        <v>43019.36</v>
      </c>
      <c r="H282" s="18" t="n">
        <f aca="false">ROUND(G282-'Cohort Data'!H282,Assumptions!$B$10)</f>
        <v>7609.18</v>
      </c>
      <c r="I282" s="18" t="n">
        <f aca="false">CEILING(G282,Assumptions!$B$12)</f>
        <v>43100</v>
      </c>
      <c r="J282" s="18" t="n">
        <f aca="false">FLOOR(G282,Assumptions!$B$12)</f>
        <v>43000</v>
      </c>
      <c r="K282" s="18" t="n">
        <f aca="false">ROUNDUP(G282,Assumptions!$B$10)</f>
        <v>43019.36</v>
      </c>
      <c r="L282" s="18" t="n">
        <f aca="false">ROUNDDOWN(G282,Assumptions!$B$10)</f>
        <v>43019.35</v>
      </c>
      <c r="M282" s="19" t="n">
        <f aca="false">INT('Cohort Data'!E282/Assumptions!$B$11)</f>
        <v>1</v>
      </c>
    </row>
    <row r="283" customFormat="false" ht="15" hidden="false" customHeight="false" outlineLevel="0" collapsed="false">
      <c r="A283" s="2" t="s">
        <v>383</v>
      </c>
      <c r="B283" s="18" t="n">
        <f aca="false">IF('Cohort Data'!D283=Assumptions!$B$16,ROUND('Cohort Data'!L283*'Cohort Data'!J283*Assumptions!$F$4,Assumptions!$B$10),Assumptions!$B$13)</f>
        <v>40357.53</v>
      </c>
      <c r="C283" s="18" t="n">
        <f aca="false">IF('Cohort Data'!D283=Assumptions!$B$16,ROUND('Cohort Data'!E283*Assumptions!$B$6,Assumptions!$B$10),Assumptions!$B$13)</f>
        <v>3800</v>
      </c>
      <c r="D283" s="18" t="n">
        <f aca="false">SUM(B283:C283)</f>
        <v>44157.53</v>
      </c>
      <c r="E283" s="18" t="n">
        <f aca="false">ROUND(D283/Assumptions!$F$6,Assumptions!$B$10)</f>
        <v>42871.39</v>
      </c>
      <c r="F283" s="18" t="n">
        <f aca="false">ROUND(E283*Assumptions!$B$7,Assumptions!$B$10)</f>
        <v>1714.86</v>
      </c>
      <c r="G283" s="18" t="n">
        <f aca="false">SUM(E283:F283)</f>
        <v>44586.25</v>
      </c>
      <c r="H283" s="18" t="n">
        <f aca="false">ROUND(G283-'Cohort Data'!H283,Assumptions!$B$10)</f>
        <v>6959.56</v>
      </c>
      <c r="I283" s="18" t="n">
        <f aca="false">CEILING(G283,Assumptions!$B$12)</f>
        <v>44600</v>
      </c>
      <c r="J283" s="18" t="n">
        <f aca="false">FLOOR(G283,Assumptions!$B$12)</f>
        <v>44500</v>
      </c>
      <c r="K283" s="18" t="n">
        <f aca="false">ROUNDUP(G283,Assumptions!$B$10)</f>
        <v>44586.25</v>
      </c>
      <c r="L283" s="18" t="n">
        <f aca="false">ROUNDDOWN(G283,Assumptions!$B$10)</f>
        <v>44586.25</v>
      </c>
      <c r="M283" s="19" t="n">
        <f aca="false">INT('Cohort Data'!E283/Assumptions!$B$11)</f>
        <v>1</v>
      </c>
    </row>
    <row r="284" customFormat="false" ht="15" hidden="false" customHeight="false" outlineLevel="0" collapsed="false">
      <c r="A284" s="2" t="s">
        <v>384</v>
      </c>
      <c r="B284" s="18" t="n">
        <f aca="false">IF('Cohort Data'!D284=Assumptions!$B$16,ROUND('Cohort Data'!L284*'Cohort Data'!J284*Assumptions!$F$4,Assumptions!$B$10),Assumptions!$B$13)</f>
        <v>10417.9</v>
      </c>
      <c r="C284" s="18" t="n">
        <f aca="false">IF('Cohort Data'!D284=Assumptions!$B$16,ROUND('Cohort Data'!E284*Assumptions!$B$6,Assumptions!$B$10),Assumptions!$B$13)</f>
        <v>1550</v>
      </c>
      <c r="D284" s="18" t="n">
        <f aca="false">SUM(B284:C284)</f>
        <v>11967.9</v>
      </c>
      <c r="E284" s="18" t="n">
        <f aca="false">ROUND(D284/Assumptions!$F$6,Assumptions!$B$10)</f>
        <v>11619.32</v>
      </c>
      <c r="F284" s="18" t="n">
        <f aca="false">ROUND(E284*Assumptions!$B$7,Assumptions!$B$10)</f>
        <v>464.77</v>
      </c>
      <c r="G284" s="18" t="n">
        <f aca="false">SUM(E284:F284)</f>
        <v>12084.09</v>
      </c>
      <c r="H284" s="18" t="n">
        <f aca="false">ROUND(G284-'Cohort Data'!H284,Assumptions!$B$10)</f>
        <v>2852.54</v>
      </c>
      <c r="I284" s="18" t="n">
        <f aca="false">CEILING(G284,Assumptions!$B$12)</f>
        <v>12100</v>
      </c>
      <c r="J284" s="18" t="n">
        <f aca="false">FLOOR(G284,Assumptions!$B$12)</f>
        <v>12000</v>
      </c>
      <c r="K284" s="18" t="n">
        <f aca="false">ROUNDUP(G284,Assumptions!$B$10)</f>
        <v>12084.09</v>
      </c>
      <c r="L284" s="18" t="n">
        <f aca="false">ROUNDDOWN(G284,Assumptions!$B$10)</f>
        <v>12084.09</v>
      </c>
      <c r="M284" s="19" t="n">
        <f aca="false">INT('Cohort Data'!E284/Assumptions!$B$11)</f>
        <v>0</v>
      </c>
    </row>
    <row r="285" customFormat="false" ht="15" hidden="false" customHeight="false" outlineLevel="0" collapsed="false">
      <c r="A285" s="2" t="s">
        <v>385</v>
      </c>
      <c r="B285" s="18" t="n">
        <f aca="false">IF('Cohort Data'!D285=Assumptions!$B$16,ROUND('Cohort Data'!L285*'Cohort Data'!J285*Assumptions!$F$4,Assumptions!$B$10),Assumptions!$B$13)</f>
        <v>27401.93</v>
      </c>
      <c r="C285" s="18" t="n">
        <f aca="false">IF('Cohort Data'!D285=Assumptions!$B$16,ROUND('Cohort Data'!E285*Assumptions!$B$6,Assumptions!$B$10),Assumptions!$B$13)</f>
        <v>2200</v>
      </c>
      <c r="D285" s="18" t="n">
        <f aca="false">SUM(B285:C285)</f>
        <v>29601.93</v>
      </c>
      <c r="E285" s="18" t="n">
        <f aca="false">ROUND(D285/Assumptions!$F$6,Assumptions!$B$10)</f>
        <v>28739.74</v>
      </c>
      <c r="F285" s="18" t="n">
        <f aca="false">ROUND(E285*Assumptions!$B$7,Assumptions!$B$10)</f>
        <v>1149.59</v>
      </c>
      <c r="G285" s="18" t="n">
        <f aca="false">SUM(E285:F285)</f>
        <v>29889.33</v>
      </c>
      <c r="H285" s="18" t="n">
        <f aca="false">ROUND(G285-'Cohort Data'!H285,Assumptions!$B$10)</f>
        <v>6319.41</v>
      </c>
      <c r="I285" s="18" t="n">
        <f aca="false">CEILING(G285,Assumptions!$B$12)</f>
        <v>29900</v>
      </c>
      <c r="J285" s="18" t="n">
        <f aca="false">FLOOR(G285,Assumptions!$B$12)</f>
        <v>29800</v>
      </c>
      <c r="K285" s="18" t="n">
        <f aca="false">ROUNDUP(G285,Assumptions!$B$10)</f>
        <v>29889.33</v>
      </c>
      <c r="L285" s="18" t="n">
        <f aca="false">ROUNDDOWN(G285,Assumptions!$B$10)</f>
        <v>29889.33</v>
      </c>
      <c r="M285" s="19" t="n">
        <f aca="false">INT('Cohort Data'!E285/Assumptions!$B$11)</f>
        <v>0</v>
      </c>
    </row>
    <row r="286" customFormat="false" ht="15" hidden="false" customHeight="false" outlineLevel="0" collapsed="false">
      <c r="A286" s="2" t="s">
        <v>386</v>
      </c>
      <c r="B286" s="18" t="n">
        <f aca="false">IF('Cohort Data'!D286=Assumptions!$B$16,ROUND('Cohort Data'!L286*'Cohort Data'!J286*Assumptions!$F$4,Assumptions!$B$10),Assumptions!$B$13)</f>
        <v>35723.17</v>
      </c>
      <c r="C286" s="18" t="n">
        <f aca="false">IF('Cohort Data'!D286=Assumptions!$B$16,ROUND('Cohort Data'!E286*Assumptions!$B$6,Assumptions!$B$10),Assumptions!$B$13)</f>
        <v>4000</v>
      </c>
      <c r="D286" s="18" t="n">
        <f aca="false">SUM(B286:C286)</f>
        <v>39723.17</v>
      </c>
      <c r="E286" s="18" t="n">
        <f aca="false">ROUND(D286/Assumptions!$F$6,Assumptions!$B$10)</f>
        <v>38566.18</v>
      </c>
      <c r="F286" s="18" t="n">
        <f aca="false">ROUND(E286*Assumptions!$B$7,Assumptions!$B$10)</f>
        <v>1542.65</v>
      </c>
      <c r="G286" s="18" t="n">
        <f aca="false">SUM(E286:F286)</f>
        <v>40108.83</v>
      </c>
      <c r="H286" s="18" t="n">
        <f aca="false">ROUND(G286-'Cohort Data'!H286,Assumptions!$B$10)</f>
        <v>7146.27</v>
      </c>
      <c r="I286" s="18" t="n">
        <f aca="false">CEILING(G286,Assumptions!$B$12)</f>
        <v>40200</v>
      </c>
      <c r="J286" s="18" t="n">
        <f aca="false">FLOOR(G286,Assumptions!$B$12)</f>
        <v>40100</v>
      </c>
      <c r="K286" s="18" t="n">
        <f aca="false">ROUNDUP(G286,Assumptions!$B$10)</f>
        <v>40108.83</v>
      </c>
      <c r="L286" s="18" t="n">
        <f aca="false">ROUNDDOWN(G286,Assumptions!$B$10)</f>
        <v>40108.83</v>
      </c>
      <c r="M286" s="19" t="n">
        <f aca="false">INT('Cohort Data'!E286/Assumptions!$B$11)</f>
        <v>1</v>
      </c>
    </row>
    <row r="287" customFormat="false" ht="15" hidden="false" customHeight="false" outlineLevel="0" collapsed="false">
      <c r="A287" s="2" t="s">
        <v>387</v>
      </c>
      <c r="B287" s="18" t="n">
        <f aca="false">IF('Cohort Data'!D287=Assumptions!$B$16,ROUND('Cohort Data'!L287*'Cohort Data'!J287*Assumptions!$F$4,Assumptions!$B$10),Assumptions!$B$13)</f>
        <v>28922.29</v>
      </c>
      <c r="C287" s="18" t="n">
        <f aca="false">IF('Cohort Data'!D287=Assumptions!$B$16,ROUND('Cohort Data'!E287*Assumptions!$B$6,Assumptions!$B$10),Assumptions!$B$13)</f>
        <v>3825</v>
      </c>
      <c r="D287" s="18" t="n">
        <f aca="false">SUM(B287:C287)</f>
        <v>32747.29</v>
      </c>
      <c r="E287" s="18" t="n">
        <f aca="false">ROUND(D287/Assumptions!$F$6,Assumptions!$B$10)</f>
        <v>31793.49</v>
      </c>
      <c r="F287" s="18" t="n">
        <f aca="false">ROUND(E287*Assumptions!$B$7,Assumptions!$B$10)</f>
        <v>1271.74</v>
      </c>
      <c r="G287" s="18" t="n">
        <f aca="false">SUM(E287:F287)</f>
        <v>33065.23</v>
      </c>
      <c r="H287" s="18" t="n">
        <f aca="false">ROUND(G287-'Cohort Data'!H287,Assumptions!$B$10)</f>
        <v>8527.09</v>
      </c>
      <c r="I287" s="18" t="n">
        <f aca="false">CEILING(G287,Assumptions!$B$12)</f>
        <v>33100</v>
      </c>
      <c r="J287" s="18" t="n">
        <f aca="false">FLOOR(G287,Assumptions!$B$12)</f>
        <v>33000</v>
      </c>
      <c r="K287" s="18" t="n">
        <f aca="false">ROUNDUP(G287,Assumptions!$B$10)</f>
        <v>33065.23</v>
      </c>
      <c r="L287" s="18" t="n">
        <f aca="false">ROUNDDOWN(G287,Assumptions!$B$10)</f>
        <v>33065.23</v>
      </c>
      <c r="M287" s="19" t="n">
        <f aca="false">INT('Cohort Data'!E287/Assumptions!$B$11)</f>
        <v>1</v>
      </c>
    </row>
    <row r="288" customFormat="false" ht="15" hidden="false" customHeight="false" outlineLevel="0" collapsed="false">
      <c r="A288" s="2" t="s">
        <v>388</v>
      </c>
      <c r="B288" s="18" t="n">
        <f aca="false">IF('Cohort Data'!D288=Assumptions!$B$16,ROUND('Cohort Data'!L288*'Cohort Data'!J288*Assumptions!$F$4,Assumptions!$B$10),Assumptions!$B$13)</f>
        <v>0</v>
      </c>
      <c r="C288" s="18" t="n">
        <f aca="false">IF('Cohort Data'!D288=Assumptions!$B$16,ROUND('Cohort Data'!E288*Assumptions!$B$6,Assumptions!$B$10),Assumptions!$B$13)</f>
        <v>0</v>
      </c>
      <c r="D288" s="18" t="n">
        <f aca="false">SUM(B288:C288)</f>
        <v>0</v>
      </c>
      <c r="E288" s="18" t="n">
        <f aca="false">ROUND(D288/Assumptions!$F$6,Assumptions!$B$10)</f>
        <v>0</v>
      </c>
      <c r="F288" s="18" t="n">
        <f aca="false">ROUND(E288*Assumptions!$B$7,Assumptions!$B$10)</f>
        <v>0</v>
      </c>
      <c r="G288" s="18" t="n">
        <f aca="false">SUM(E288:F288)</f>
        <v>0</v>
      </c>
      <c r="H288" s="18" t="n">
        <f aca="false">ROUND(G288-'Cohort Data'!H288,Assumptions!$B$10)</f>
        <v>-48399.12</v>
      </c>
      <c r="I288" s="18" t="n">
        <f aca="false">CEILING(G288,Assumptions!$B$12)</f>
        <v>0</v>
      </c>
      <c r="J288" s="18" t="n">
        <f aca="false">FLOOR(G288,Assumptions!$B$12)</f>
        <v>0</v>
      </c>
      <c r="K288" s="18" t="n">
        <f aca="false">ROUNDUP(G288,Assumptions!$B$10)</f>
        <v>0</v>
      </c>
      <c r="L288" s="18" t="n">
        <f aca="false">ROUNDDOWN(G288,Assumptions!$B$10)</f>
        <v>0</v>
      </c>
      <c r="M288" s="19" t="n">
        <f aca="false">INT('Cohort Data'!E288/Assumptions!$B$11)</f>
        <v>1</v>
      </c>
    </row>
    <row r="289" customFormat="false" ht="15" hidden="false" customHeight="false" outlineLevel="0" collapsed="false">
      <c r="A289" s="2" t="s">
        <v>389</v>
      </c>
      <c r="B289" s="18" t="n">
        <f aca="false">IF('Cohort Data'!D289=Assumptions!$B$16,ROUND('Cohort Data'!L289*'Cohort Data'!J289*Assumptions!$F$4,Assumptions!$B$10),Assumptions!$B$13)</f>
        <v>23292.48</v>
      </c>
      <c r="C289" s="18" t="n">
        <f aca="false">IF('Cohort Data'!D289=Assumptions!$B$16,ROUND('Cohort Data'!E289*Assumptions!$B$6,Assumptions!$B$10),Assumptions!$B$13)</f>
        <v>4825</v>
      </c>
      <c r="D289" s="18" t="n">
        <f aca="false">SUM(B289:C289)</f>
        <v>28117.48</v>
      </c>
      <c r="E289" s="18" t="n">
        <f aca="false">ROUND(D289/Assumptions!$F$6,Assumptions!$B$10)</f>
        <v>27298.52</v>
      </c>
      <c r="F289" s="18" t="n">
        <f aca="false">ROUND(E289*Assumptions!$B$7,Assumptions!$B$10)</f>
        <v>1091.94</v>
      </c>
      <c r="G289" s="18" t="n">
        <f aca="false">SUM(E289:F289)</f>
        <v>28390.46</v>
      </c>
      <c r="H289" s="18" t="n">
        <f aca="false">ROUND(G289-'Cohort Data'!H289,Assumptions!$B$10)</f>
        <v>8241.26</v>
      </c>
      <c r="I289" s="18" t="n">
        <f aca="false">CEILING(G289,Assumptions!$B$12)</f>
        <v>28400</v>
      </c>
      <c r="J289" s="18" t="n">
        <f aca="false">FLOOR(G289,Assumptions!$B$12)</f>
        <v>28300</v>
      </c>
      <c r="K289" s="18" t="n">
        <f aca="false">ROUNDUP(G289,Assumptions!$B$10)</f>
        <v>28390.46</v>
      </c>
      <c r="L289" s="18" t="n">
        <f aca="false">ROUNDDOWN(G289,Assumptions!$B$10)</f>
        <v>28390.46</v>
      </c>
      <c r="M289" s="19" t="n">
        <f aca="false">INT('Cohort Data'!E289/Assumptions!$B$11)</f>
        <v>1</v>
      </c>
    </row>
    <row r="290" customFormat="false" ht="15" hidden="false" customHeight="false" outlineLevel="0" collapsed="false">
      <c r="A290" s="2" t="s">
        <v>390</v>
      </c>
      <c r="B290" s="18" t="n">
        <f aca="false">IF('Cohort Data'!D290=Assumptions!$B$16,ROUND('Cohort Data'!L290*'Cohort Data'!J290*Assumptions!$F$4,Assumptions!$B$10),Assumptions!$B$13)</f>
        <v>81935.98</v>
      </c>
      <c r="C290" s="18" t="n">
        <f aca="false">IF('Cohort Data'!D290=Assumptions!$B$16,ROUND('Cohort Data'!E290*Assumptions!$B$6,Assumptions!$B$10),Assumptions!$B$13)</f>
        <v>6225</v>
      </c>
      <c r="D290" s="18" t="n">
        <f aca="false">SUM(B290:C290)</f>
        <v>88160.98</v>
      </c>
      <c r="E290" s="18" t="n">
        <f aca="false">ROUND(D290/Assumptions!$F$6,Assumptions!$B$10)</f>
        <v>85593.18</v>
      </c>
      <c r="F290" s="18" t="n">
        <f aca="false">ROUND(E290*Assumptions!$B$7,Assumptions!$B$10)</f>
        <v>3423.73</v>
      </c>
      <c r="G290" s="18" t="n">
        <f aca="false">SUM(E290:F290)</f>
        <v>89016.91</v>
      </c>
      <c r="H290" s="18" t="n">
        <f aca="false">ROUND(G290-'Cohort Data'!H290,Assumptions!$B$10)</f>
        <v>12549.51</v>
      </c>
      <c r="I290" s="18" t="n">
        <f aca="false">CEILING(G290,Assumptions!$B$12)</f>
        <v>89100</v>
      </c>
      <c r="J290" s="18" t="n">
        <f aca="false">FLOOR(G290,Assumptions!$B$12)</f>
        <v>89000</v>
      </c>
      <c r="K290" s="18" t="n">
        <f aca="false">ROUNDUP(G290,Assumptions!$B$10)</f>
        <v>89016.91</v>
      </c>
      <c r="L290" s="18" t="n">
        <f aca="false">ROUNDDOWN(G290,Assumptions!$B$10)</f>
        <v>89016.9</v>
      </c>
      <c r="M290" s="19" t="n">
        <f aca="false">INT('Cohort Data'!E290/Assumptions!$B$11)</f>
        <v>2</v>
      </c>
    </row>
    <row r="291" customFormat="false" ht="15" hidden="false" customHeight="false" outlineLevel="0" collapsed="false">
      <c r="A291" s="2" t="s">
        <v>391</v>
      </c>
      <c r="B291" s="18" t="n">
        <f aca="false">IF('Cohort Data'!D291=Assumptions!$B$16,ROUND('Cohort Data'!L291*'Cohort Data'!J291*Assumptions!$F$4,Assumptions!$B$10),Assumptions!$B$13)</f>
        <v>26343.22</v>
      </c>
      <c r="C291" s="18" t="n">
        <f aca="false">IF('Cohort Data'!D291=Assumptions!$B$16,ROUND('Cohort Data'!E291*Assumptions!$B$6,Assumptions!$B$10),Assumptions!$B$13)</f>
        <v>1800</v>
      </c>
      <c r="D291" s="18" t="n">
        <f aca="false">SUM(B291:C291)</f>
        <v>28143.22</v>
      </c>
      <c r="E291" s="18" t="n">
        <f aca="false">ROUND(D291/Assumptions!$F$6,Assumptions!$B$10)</f>
        <v>27323.51</v>
      </c>
      <c r="F291" s="18" t="n">
        <f aca="false">ROUND(E291*Assumptions!$B$7,Assumptions!$B$10)</f>
        <v>1092.94</v>
      </c>
      <c r="G291" s="18" t="n">
        <f aca="false">SUM(E291:F291)</f>
        <v>28416.45</v>
      </c>
      <c r="H291" s="18" t="n">
        <f aca="false">ROUND(G291-'Cohort Data'!H291,Assumptions!$B$10)</f>
        <v>5757.19</v>
      </c>
      <c r="I291" s="18" t="n">
        <f aca="false">CEILING(G291,Assumptions!$B$12)</f>
        <v>28500</v>
      </c>
      <c r="J291" s="18" t="n">
        <f aca="false">FLOOR(G291,Assumptions!$B$12)</f>
        <v>28400</v>
      </c>
      <c r="K291" s="18" t="n">
        <f aca="false">ROUNDUP(G291,Assumptions!$B$10)</f>
        <v>28416.45</v>
      </c>
      <c r="L291" s="18" t="n">
        <f aca="false">ROUNDDOWN(G291,Assumptions!$B$10)</f>
        <v>28416.44</v>
      </c>
      <c r="M291" s="19" t="n">
        <f aca="false">INT('Cohort Data'!E291/Assumptions!$B$11)</f>
        <v>0</v>
      </c>
    </row>
    <row r="292" customFormat="false" ht="15" hidden="false" customHeight="false" outlineLevel="0" collapsed="false">
      <c r="A292" s="2" t="s">
        <v>392</v>
      </c>
      <c r="B292" s="18" t="n">
        <f aca="false">IF('Cohort Data'!D292=Assumptions!$B$16,ROUND('Cohort Data'!L292*'Cohort Data'!J292*Assumptions!$F$4,Assumptions!$B$10),Assumptions!$B$13)</f>
        <v>44141.05</v>
      </c>
      <c r="C292" s="18" t="n">
        <f aca="false">IF('Cohort Data'!D292=Assumptions!$B$16,ROUND('Cohort Data'!E292*Assumptions!$B$6,Assumptions!$B$10),Assumptions!$B$13)</f>
        <v>5225</v>
      </c>
      <c r="D292" s="18" t="n">
        <f aca="false">SUM(B292:C292)</f>
        <v>49366.05</v>
      </c>
      <c r="E292" s="18" t="n">
        <f aca="false">ROUND(D292/Assumptions!$F$6,Assumptions!$B$10)</f>
        <v>47928.2</v>
      </c>
      <c r="F292" s="18" t="n">
        <f aca="false">ROUND(E292*Assumptions!$B$7,Assumptions!$B$10)</f>
        <v>1917.13</v>
      </c>
      <c r="G292" s="18" t="n">
        <f aca="false">SUM(E292:F292)</f>
        <v>49845.33</v>
      </c>
      <c r="H292" s="18" t="n">
        <f aca="false">ROUND(G292-'Cohort Data'!H292,Assumptions!$B$10)</f>
        <v>10812.49</v>
      </c>
      <c r="I292" s="18" t="n">
        <f aca="false">CEILING(G292,Assumptions!$B$12)</f>
        <v>49900</v>
      </c>
      <c r="J292" s="18" t="n">
        <f aca="false">FLOOR(G292,Assumptions!$B$12)</f>
        <v>49800</v>
      </c>
      <c r="K292" s="18" t="n">
        <f aca="false">ROUNDUP(G292,Assumptions!$B$10)</f>
        <v>49845.33</v>
      </c>
      <c r="L292" s="18" t="n">
        <f aca="false">ROUNDDOWN(G292,Assumptions!$B$10)</f>
        <v>49845.32</v>
      </c>
      <c r="M292" s="19" t="n">
        <f aca="false">INT('Cohort Data'!E292/Assumptions!$B$11)</f>
        <v>2</v>
      </c>
    </row>
    <row r="293" customFormat="false" ht="15" hidden="false" customHeight="false" outlineLevel="0" collapsed="false">
      <c r="A293" s="2" t="s">
        <v>393</v>
      </c>
      <c r="B293" s="18" t="n">
        <f aca="false">IF('Cohort Data'!D293=Assumptions!$B$16,ROUND('Cohort Data'!L293*'Cohort Data'!J293*Assumptions!$F$4,Assumptions!$B$10),Assumptions!$B$13)</f>
        <v>31267.72</v>
      </c>
      <c r="C293" s="18" t="n">
        <f aca="false">IF('Cohort Data'!D293=Assumptions!$B$16,ROUND('Cohort Data'!E293*Assumptions!$B$6,Assumptions!$B$10),Assumptions!$B$13)</f>
        <v>5075</v>
      </c>
      <c r="D293" s="18" t="n">
        <f aca="false">SUM(B293:C293)</f>
        <v>36342.72</v>
      </c>
      <c r="E293" s="18" t="n">
        <f aca="false">ROUND(D293/Assumptions!$F$6,Assumptions!$B$10)</f>
        <v>35284.19</v>
      </c>
      <c r="F293" s="18" t="n">
        <f aca="false">ROUND(E293*Assumptions!$B$7,Assumptions!$B$10)</f>
        <v>1411.37</v>
      </c>
      <c r="G293" s="18" t="n">
        <f aca="false">SUM(E293:F293)</f>
        <v>36695.56</v>
      </c>
      <c r="H293" s="18" t="n">
        <f aca="false">ROUND(G293-'Cohort Data'!H293,Assumptions!$B$10)</f>
        <v>7809.47</v>
      </c>
      <c r="I293" s="18" t="n">
        <f aca="false">CEILING(G293,Assumptions!$B$12)</f>
        <v>36700</v>
      </c>
      <c r="J293" s="18" t="n">
        <f aca="false">FLOOR(G293,Assumptions!$B$12)</f>
        <v>36600</v>
      </c>
      <c r="K293" s="18" t="n">
        <f aca="false">ROUNDUP(G293,Assumptions!$B$10)</f>
        <v>36695.57</v>
      </c>
      <c r="L293" s="18" t="n">
        <f aca="false">ROUNDDOWN(G293,Assumptions!$B$10)</f>
        <v>36695.56</v>
      </c>
      <c r="M293" s="19" t="n">
        <f aca="false">INT('Cohort Data'!E293/Assumptions!$B$11)</f>
        <v>2</v>
      </c>
    </row>
    <row r="294" customFormat="false" ht="15" hidden="false" customHeight="false" outlineLevel="0" collapsed="false">
      <c r="A294" s="2" t="s">
        <v>394</v>
      </c>
      <c r="B294" s="18" t="n">
        <f aca="false">IF('Cohort Data'!D294=Assumptions!$B$16,ROUND('Cohort Data'!L294*'Cohort Data'!J294*Assumptions!$F$4,Assumptions!$B$10),Assumptions!$B$13)</f>
        <v>60953.73</v>
      </c>
      <c r="C294" s="18" t="n">
        <f aca="false">IF('Cohort Data'!D294=Assumptions!$B$16,ROUND('Cohort Data'!E294*Assumptions!$B$6,Assumptions!$B$10),Assumptions!$B$13)</f>
        <v>4350</v>
      </c>
      <c r="D294" s="18" t="n">
        <f aca="false">SUM(B294:C294)</f>
        <v>65303.73</v>
      </c>
      <c r="E294" s="18" t="n">
        <f aca="false">ROUND(D294/Assumptions!$F$6,Assumptions!$B$10)</f>
        <v>63401.68</v>
      </c>
      <c r="F294" s="18" t="n">
        <f aca="false">ROUND(E294*Assumptions!$B$7,Assumptions!$B$10)</f>
        <v>2536.07</v>
      </c>
      <c r="G294" s="18" t="n">
        <f aca="false">SUM(E294:F294)</f>
        <v>65937.75</v>
      </c>
      <c r="H294" s="18" t="n">
        <f aca="false">ROUND(G294-'Cohort Data'!H294,Assumptions!$B$10)</f>
        <v>15199.35</v>
      </c>
      <c r="I294" s="18" t="n">
        <f aca="false">CEILING(G294,Assumptions!$B$12)</f>
        <v>66000</v>
      </c>
      <c r="J294" s="18" t="n">
        <f aca="false">FLOOR(G294,Assumptions!$B$12)</f>
        <v>65900</v>
      </c>
      <c r="K294" s="18" t="n">
        <f aca="false">ROUNDUP(G294,Assumptions!$B$10)</f>
        <v>65937.75</v>
      </c>
      <c r="L294" s="18" t="n">
        <f aca="false">ROUNDDOWN(G294,Assumptions!$B$10)</f>
        <v>65937.75</v>
      </c>
      <c r="M294" s="19" t="n">
        <f aca="false">INT('Cohort Data'!E294/Assumptions!$B$11)</f>
        <v>1</v>
      </c>
    </row>
    <row r="295" customFormat="false" ht="15" hidden="false" customHeight="false" outlineLevel="0" collapsed="false">
      <c r="A295" s="2" t="s">
        <v>395</v>
      </c>
      <c r="B295" s="18" t="n">
        <f aca="false">IF('Cohort Data'!D295=Assumptions!$B$16,ROUND('Cohort Data'!L295*'Cohort Data'!J295*Assumptions!$F$4,Assumptions!$B$10),Assumptions!$B$13)</f>
        <v>67174.05</v>
      </c>
      <c r="C295" s="18" t="n">
        <f aca="false">IF('Cohort Data'!D295=Assumptions!$B$16,ROUND('Cohort Data'!E295*Assumptions!$B$6,Assumptions!$B$10),Assumptions!$B$13)</f>
        <v>6050</v>
      </c>
      <c r="D295" s="18" t="n">
        <f aca="false">SUM(B295:C295)</f>
        <v>73224.05</v>
      </c>
      <c r="E295" s="18" t="n">
        <f aca="false">ROUND(D295/Assumptions!$F$6,Assumptions!$B$10)</f>
        <v>71091.31</v>
      </c>
      <c r="F295" s="18" t="n">
        <f aca="false">ROUND(E295*Assumptions!$B$7,Assumptions!$B$10)</f>
        <v>2843.65</v>
      </c>
      <c r="G295" s="18" t="n">
        <f aca="false">SUM(E295:F295)</f>
        <v>73934.96</v>
      </c>
      <c r="H295" s="18" t="n">
        <f aca="false">ROUND(G295-'Cohort Data'!H295,Assumptions!$B$10)</f>
        <v>12597.64</v>
      </c>
      <c r="I295" s="18" t="n">
        <f aca="false">CEILING(G295,Assumptions!$B$12)</f>
        <v>74000</v>
      </c>
      <c r="J295" s="18" t="n">
        <f aca="false">FLOOR(G295,Assumptions!$B$12)</f>
        <v>73900</v>
      </c>
      <c r="K295" s="18" t="n">
        <f aca="false">ROUNDUP(G295,Assumptions!$B$10)</f>
        <v>73934.96</v>
      </c>
      <c r="L295" s="18" t="n">
        <f aca="false">ROUNDDOWN(G295,Assumptions!$B$10)</f>
        <v>73934.95</v>
      </c>
      <c r="M295" s="19" t="n">
        <f aca="false">INT('Cohort Data'!E295/Assumptions!$B$11)</f>
        <v>2</v>
      </c>
    </row>
    <row r="296" customFormat="false" ht="15" hidden="false" customHeight="false" outlineLevel="0" collapsed="false">
      <c r="A296" s="2" t="s">
        <v>396</v>
      </c>
      <c r="B296" s="18" t="n">
        <f aca="false">IF('Cohort Data'!D296=Assumptions!$B$16,ROUND('Cohort Data'!L296*'Cohort Data'!J296*Assumptions!$F$4,Assumptions!$B$10),Assumptions!$B$13)</f>
        <v>23692.33</v>
      </c>
      <c r="C296" s="18" t="n">
        <f aca="false">IF('Cohort Data'!D296=Assumptions!$B$16,ROUND('Cohort Data'!E296*Assumptions!$B$6,Assumptions!$B$10),Assumptions!$B$13)</f>
        <v>2350</v>
      </c>
      <c r="D296" s="18" t="n">
        <f aca="false">SUM(B296:C296)</f>
        <v>26042.33</v>
      </c>
      <c r="E296" s="18" t="n">
        <f aca="false">ROUND(D296/Assumptions!$F$6,Assumptions!$B$10)</f>
        <v>25283.82</v>
      </c>
      <c r="F296" s="18" t="n">
        <f aca="false">ROUND(E296*Assumptions!$B$7,Assumptions!$B$10)</f>
        <v>1011.35</v>
      </c>
      <c r="G296" s="18" t="n">
        <f aca="false">SUM(E296:F296)</f>
        <v>26295.17</v>
      </c>
      <c r="H296" s="18" t="n">
        <f aca="false">ROUND(G296-'Cohort Data'!H296,Assumptions!$B$10)</f>
        <v>5970.87</v>
      </c>
      <c r="I296" s="18" t="n">
        <f aca="false">CEILING(G296,Assumptions!$B$12)</f>
        <v>26300</v>
      </c>
      <c r="J296" s="18" t="n">
        <f aca="false">FLOOR(G296,Assumptions!$B$12)</f>
        <v>26200</v>
      </c>
      <c r="K296" s="18" t="n">
        <f aca="false">ROUNDUP(G296,Assumptions!$B$10)</f>
        <v>26295.17</v>
      </c>
      <c r="L296" s="18" t="n">
        <f aca="false">ROUNDDOWN(G296,Assumptions!$B$10)</f>
        <v>26295.17</v>
      </c>
      <c r="M296" s="19" t="n">
        <f aca="false">INT('Cohort Data'!E296/Assumptions!$B$11)</f>
        <v>0</v>
      </c>
    </row>
    <row r="297" customFormat="false" ht="15" hidden="false" customHeight="false" outlineLevel="0" collapsed="false">
      <c r="A297" s="2" t="s">
        <v>397</v>
      </c>
      <c r="B297" s="18" t="n">
        <f aca="false">IF('Cohort Data'!D297=Assumptions!$B$16,ROUND('Cohort Data'!L297*'Cohort Data'!J297*Assumptions!$F$4,Assumptions!$B$10),Assumptions!$B$13)</f>
        <v>75736.76</v>
      </c>
      <c r="C297" s="18" t="n">
        <f aca="false">IF('Cohort Data'!D297=Assumptions!$B$16,ROUND('Cohort Data'!E297*Assumptions!$B$6,Assumptions!$B$10),Assumptions!$B$13)</f>
        <v>5175</v>
      </c>
      <c r="D297" s="18" t="n">
        <f aca="false">SUM(B297:C297)</f>
        <v>80911.76</v>
      </c>
      <c r="E297" s="18" t="n">
        <f aca="false">ROUND(D297/Assumptions!$F$6,Assumptions!$B$10)</f>
        <v>78555.11</v>
      </c>
      <c r="F297" s="18" t="n">
        <f aca="false">ROUND(E297*Assumptions!$B$7,Assumptions!$B$10)</f>
        <v>3142.2</v>
      </c>
      <c r="G297" s="18" t="n">
        <f aca="false">SUM(E297:F297)</f>
        <v>81697.31</v>
      </c>
      <c r="H297" s="18" t="n">
        <f aca="false">ROUND(G297-'Cohort Data'!H297,Assumptions!$B$10)</f>
        <v>13049.49</v>
      </c>
      <c r="I297" s="18" t="n">
        <f aca="false">CEILING(G297,Assumptions!$B$12)</f>
        <v>81700</v>
      </c>
      <c r="J297" s="18" t="n">
        <f aca="false">FLOOR(G297,Assumptions!$B$12)</f>
        <v>81600</v>
      </c>
      <c r="K297" s="18" t="n">
        <f aca="false">ROUNDUP(G297,Assumptions!$B$10)</f>
        <v>81697.31</v>
      </c>
      <c r="L297" s="18" t="n">
        <f aca="false">ROUNDDOWN(G297,Assumptions!$B$10)</f>
        <v>81697.31</v>
      </c>
      <c r="M297" s="19" t="n">
        <f aca="false">INT('Cohort Data'!E297/Assumptions!$B$11)</f>
        <v>2</v>
      </c>
    </row>
    <row r="298" customFormat="false" ht="15" hidden="false" customHeight="false" outlineLevel="0" collapsed="false">
      <c r="A298" s="2" t="s">
        <v>398</v>
      </c>
      <c r="B298" s="18" t="n">
        <f aca="false">IF('Cohort Data'!D298=Assumptions!$B$16,ROUND('Cohort Data'!L298*'Cohort Data'!J298*Assumptions!$F$4,Assumptions!$B$10),Assumptions!$B$13)</f>
        <v>45800.49</v>
      </c>
      <c r="C298" s="18" t="n">
        <f aca="false">IF('Cohort Data'!D298=Assumptions!$B$16,ROUND('Cohort Data'!E298*Assumptions!$B$6,Assumptions!$B$10),Assumptions!$B$13)</f>
        <v>4125</v>
      </c>
      <c r="D298" s="18" t="n">
        <f aca="false">SUM(B298:C298)</f>
        <v>49925.49</v>
      </c>
      <c r="E298" s="18" t="n">
        <f aca="false">ROUND(D298/Assumptions!$F$6,Assumptions!$B$10)</f>
        <v>48471.35</v>
      </c>
      <c r="F298" s="18" t="n">
        <f aca="false">ROUND(E298*Assumptions!$B$7,Assumptions!$B$10)</f>
        <v>1938.85</v>
      </c>
      <c r="G298" s="18" t="n">
        <f aca="false">SUM(E298:F298)</f>
        <v>50410.2</v>
      </c>
      <c r="H298" s="18" t="n">
        <f aca="false">ROUND(G298-'Cohort Data'!H298,Assumptions!$B$10)</f>
        <v>9029.52</v>
      </c>
      <c r="I298" s="18" t="n">
        <f aca="false">CEILING(G298,Assumptions!$B$12)</f>
        <v>50500</v>
      </c>
      <c r="J298" s="18" t="n">
        <f aca="false">FLOOR(G298,Assumptions!$B$12)</f>
        <v>50400</v>
      </c>
      <c r="K298" s="18" t="n">
        <f aca="false">ROUNDUP(G298,Assumptions!$B$10)</f>
        <v>50410.2</v>
      </c>
      <c r="L298" s="18" t="n">
        <f aca="false">ROUNDDOWN(G298,Assumptions!$B$10)</f>
        <v>50410.2</v>
      </c>
      <c r="M298" s="19" t="n">
        <f aca="false">INT('Cohort Data'!E298/Assumptions!$B$11)</f>
        <v>1</v>
      </c>
    </row>
    <row r="299" customFormat="false" ht="15" hidden="false" customHeight="false" outlineLevel="0" collapsed="false">
      <c r="A299" s="2" t="s">
        <v>399</v>
      </c>
      <c r="B299" s="18" t="n">
        <f aca="false">IF('Cohort Data'!D299=Assumptions!$B$16,ROUND('Cohort Data'!L299*'Cohort Data'!J299*Assumptions!$F$4,Assumptions!$B$10),Assumptions!$B$13)</f>
        <v>34194.25</v>
      </c>
      <c r="C299" s="18" t="n">
        <f aca="false">IF('Cohort Data'!D299=Assumptions!$B$16,ROUND('Cohort Data'!E299*Assumptions!$B$6,Assumptions!$B$10),Assumptions!$B$13)</f>
        <v>3700</v>
      </c>
      <c r="D299" s="18" t="n">
        <f aca="false">SUM(B299:C299)</f>
        <v>37894.25</v>
      </c>
      <c r="E299" s="18" t="n">
        <f aca="false">ROUND(D299/Assumptions!$F$6,Assumptions!$B$10)</f>
        <v>36790.53</v>
      </c>
      <c r="F299" s="18" t="n">
        <f aca="false">ROUND(E299*Assumptions!$B$7,Assumptions!$B$10)</f>
        <v>1471.62</v>
      </c>
      <c r="G299" s="18" t="n">
        <f aca="false">SUM(E299:F299)</f>
        <v>38262.15</v>
      </c>
      <c r="H299" s="18" t="n">
        <f aca="false">ROUND(G299-'Cohort Data'!H299,Assumptions!$B$10)</f>
        <v>6350.09</v>
      </c>
      <c r="I299" s="18" t="n">
        <f aca="false">CEILING(G299,Assumptions!$B$12)</f>
        <v>38300</v>
      </c>
      <c r="J299" s="18" t="n">
        <f aca="false">FLOOR(G299,Assumptions!$B$12)</f>
        <v>38200</v>
      </c>
      <c r="K299" s="18" t="n">
        <f aca="false">ROUNDUP(G299,Assumptions!$B$10)</f>
        <v>38262.15</v>
      </c>
      <c r="L299" s="18" t="n">
        <f aca="false">ROUNDDOWN(G299,Assumptions!$B$10)</f>
        <v>38262.15</v>
      </c>
      <c r="M299" s="19" t="n">
        <f aca="false">INT('Cohort Data'!E299/Assumptions!$B$11)</f>
        <v>1</v>
      </c>
    </row>
    <row r="300" customFormat="false" ht="15" hidden="false" customHeight="false" outlineLevel="0" collapsed="false">
      <c r="A300" s="2" t="s">
        <v>400</v>
      </c>
      <c r="B300" s="18" t="n">
        <f aca="false">IF('Cohort Data'!D300=Assumptions!$B$16,ROUND('Cohort Data'!L300*'Cohort Data'!J300*Assumptions!$F$4,Assumptions!$B$10),Assumptions!$B$13)</f>
        <v>13895.58</v>
      </c>
      <c r="C300" s="18" t="n">
        <f aca="false">IF('Cohort Data'!D300=Assumptions!$B$16,ROUND('Cohort Data'!E300*Assumptions!$B$6,Assumptions!$B$10),Assumptions!$B$13)</f>
        <v>2125</v>
      </c>
      <c r="D300" s="18" t="n">
        <f aca="false">SUM(B300:C300)</f>
        <v>16020.58</v>
      </c>
      <c r="E300" s="18" t="n">
        <f aca="false">ROUND(D300/Assumptions!$F$6,Assumptions!$B$10)</f>
        <v>15553.96</v>
      </c>
      <c r="F300" s="18" t="n">
        <f aca="false">ROUND(E300*Assumptions!$B$7,Assumptions!$B$10)</f>
        <v>622.16</v>
      </c>
      <c r="G300" s="18" t="n">
        <f aca="false">SUM(E300:F300)</f>
        <v>16176.12</v>
      </c>
      <c r="H300" s="18" t="n">
        <f aca="false">ROUND(G300-'Cohort Data'!H300,Assumptions!$B$10)</f>
        <v>4609.32</v>
      </c>
      <c r="I300" s="18" t="n">
        <f aca="false">CEILING(G300,Assumptions!$B$12)</f>
        <v>16200</v>
      </c>
      <c r="J300" s="18" t="n">
        <f aca="false">FLOOR(G300,Assumptions!$B$12)</f>
        <v>16100</v>
      </c>
      <c r="K300" s="18" t="n">
        <f aca="false">ROUNDUP(G300,Assumptions!$B$10)</f>
        <v>16176.12</v>
      </c>
      <c r="L300" s="18" t="n">
        <f aca="false">ROUNDDOWN(G300,Assumptions!$B$10)</f>
        <v>16176.12</v>
      </c>
      <c r="M300" s="19" t="n">
        <f aca="false">INT('Cohort Data'!E300/Assumptions!$B$11)</f>
        <v>0</v>
      </c>
    </row>
    <row r="301" customFormat="false" ht="15" hidden="false" customHeight="false" outlineLevel="0" collapsed="false">
      <c r="A301" s="2" t="s">
        <v>401</v>
      </c>
      <c r="B301" s="18" t="n">
        <f aca="false">IF('Cohort Data'!D301=Assumptions!$B$16,ROUND('Cohort Data'!L301*'Cohort Data'!J301*Assumptions!$F$4,Assumptions!$B$10),Assumptions!$B$13)</f>
        <v>20709.79</v>
      </c>
      <c r="C301" s="18" t="n">
        <f aca="false">IF('Cohort Data'!D301=Assumptions!$B$16,ROUND('Cohort Data'!E301*Assumptions!$B$6,Assumptions!$B$10),Assumptions!$B$13)</f>
        <v>3575</v>
      </c>
      <c r="D301" s="18" t="n">
        <f aca="false">SUM(B301:C301)</f>
        <v>24284.79</v>
      </c>
      <c r="E301" s="18" t="n">
        <f aca="false">ROUND(D301/Assumptions!$F$6,Assumptions!$B$10)</f>
        <v>23577.47</v>
      </c>
      <c r="F301" s="18" t="n">
        <f aca="false">ROUND(E301*Assumptions!$B$7,Assumptions!$B$10)</f>
        <v>943.1</v>
      </c>
      <c r="G301" s="18" t="n">
        <f aca="false">SUM(E301:F301)</f>
        <v>24520.57</v>
      </c>
      <c r="H301" s="18" t="n">
        <f aca="false">ROUND(G301-'Cohort Data'!H301,Assumptions!$B$10)</f>
        <v>5610.25</v>
      </c>
      <c r="I301" s="18" t="n">
        <f aca="false">CEILING(G301,Assumptions!$B$12)</f>
        <v>24600</v>
      </c>
      <c r="J301" s="18" t="n">
        <f aca="false">FLOOR(G301,Assumptions!$B$12)</f>
        <v>24500</v>
      </c>
      <c r="K301" s="18" t="n">
        <f aca="false">ROUNDUP(G301,Assumptions!$B$10)</f>
        <v>24520.57</v>
      </c>
      <c r="L301" s="18" t="n">
        <f aca="false">ROUNDDOWN(G301,Assumptions!$B$10)</f>
        <v>24520.57</v>
      </c>
      <c r="M301" s="19" t="n">
        <f aca="false">INT('Cohort Data'!E301/Assumptions!$B$11)</f>
        <v>1</v>
      </c>
    </row>
    <row r="302" customFormat="false" ht="15" hidden="false" customHeight="false" outlineLevel="0" collapsed="false">
      <c r="A302" s="2" t="s">
        <v>402</v>
      </c>
      <c r="B302" s="18" t="n">
        <f aca="false">IF('Cohort Data'!D302=Assumptions!$B$16,ROUND('Cohort Data'!L302*'Cohort Data'!J302*Assumptions!$F$4,Assumptions!$B$10),Assumptions!$B$13)</f>
        <v>47048.6</v>
      </c>
      <c r="C302" s="18" t="n">
        <f aca="false">IF('Cohort Data'!D302=Assumptions!$B$16,ROUND('Cohort Data'!E302*Assumptions!$B$6,Assumptions!$B$10),Assumptions!$B$13)</f>
        <v>4800</v>
      </c>
      <c r="D302" s="18" t="n">
        <f aca="false">SUM(B302:C302)</f>
        <v>51848.6</v>
      </c>
      <c r="E302" s="18" t="n">
        <f aca="false">ROUND(D302/Assumptions!$F$6,Assumptions!$B$10)</f>
        <v>50338.45</v>
      </c>
      <c r="F302" s="18" t="n">
        <f aca="false">ROUND(E302*Assumptions!$B$7,Assumptions!$B$10)</f>
        <v>2013.54</v>
      </c>
      <c r="G302" s="18" t="n">
        <f aca="false">SUM(E302:F302)</f>
        <v>52351.99</v>
      </c>
      <c r="H302" s="18" t="n">
        <f aca="false">ROUND(G302-'Cohort Data'!H302,Assumptions!$B$10)</f>
        <v>9774.07</v>
      </c>
      <c r="I302" s="18" t="n">
        <f aca="false">CEILING(G302,Assumptions!$B$12)</f>
        <v>52400</v>
      </c>
      <c r="J302" s="18" t="n">
        <f aca="false">FLOOR(G302,Assumptions!$B$12)</f>
        <v>52300</v>
      </c>
      <c r="K302" s="18" t="n">
        <f aca="false">ROUNDUP(G302,Assumptions!$B$10)</f>
        <v>52351.99</v>
      </c>
      <c r="L302" s="18" t="n">
        <f aca="false">ROUNDDOWN(G302,Assumptions!$B$10)</f>
        <v>52351.99</v>
      </c>
      <c r="M302" s="19" t="n">
        <f aca="false">INT('Cohort Data'!E302/Assumptions!$B$11)</f>
        <v>1</v>
      </c>
    </row>
    <row r="303" customFormat="false" ht="15" hidden="false" customHeight="false" outlineLevel="0" collapsed="false">
      <c r="A303" s="2" t="s">
        <v>403</v>
      </c>
      <c r="B303" s="18" t="n">
        <f aca="false">IF('Cohort Data'!D303=Assumptions!$B$16,ROUND('Cohort Data'!L303*'Cohort Data'!J303*Assumptions!$F$4,Assumptions!$B$10),Assumptions!$B$13)</f>
        <v>32096.07</v>
      </c>
      <c r="C303" s="18" t="n">
        <f aca="false">IF('Cohort Data'!D303=Assumptions!$B$16,ROUND('Cohort Data'!E303*Assumptions!$B$6,Assumptions!$B$10),Assumptions!$B$13)</f>
        <v>3325</v>
      </c>
      <c r="D303" s="18" t="n">
        <f aca="false">SUM(B303:C303)</f>
        <v>35421.07</v>
      </c>
      <c r="E303" s="18" t="n">
        <f aca="false">ROUND(D303/Assumptions!$F$6,Assumptions!$B$10)</f>
        <v>34389.39</v>
      </c>
      <c r="F303" s="18" t="n">
        <f aca="false">ROUND(E303*Assumptions!$B$7,Assumptions!$B$10)</f>
        <v>1375.58</v>
      </c>
      <c r="G303" s="18" t="n">
        <f aca="false">SUM(E303:F303)</f>
        <v>35764.97</v>
      </c>
      <c r="H303" s="18" t="n">
        <f aca="false">ROUND(G303-'Cohort Data'!H303,Assumptions!$B$10)</f>
        <v>7266.79</v>
      </c>
      <c r="I303" s="18" t="n">
        <f aca="false">CEILING(G303,Assumptions!$B$12)</f>
        <v>35800</v>
      </c>
      <c r="J303" s="18" t="n">
        <f aca="false">FLOOR(G303,Assumptions!$B$12)</f>
        <v>35700</v>
      </c>
      <c r="K303" s="18" t="n">
        <f aca="false">ROUNDUP(G303,Assumptions!$B$10)</f>
        <v>35764.97</v>
      </c>
      <c r="L303" s="18" t="n">
        <f aca="false">ROUNDDOWN(G303,Assumptions!$B$10)</f>
        <v>35764.97</v>
      </c>
      <c r="M303" s="19" t="n">
        <f aca="false">INT('Cohort Data'!E303/Assumptions!$B$11)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22"/>
    <col collapsed="false" customWidth="true" hidden="false" outlineLevel="0" max="13" min="13" style="0" width="19"/>
  </cols>
  <sheetData>
    <row r="1" customFormat="false" ht="24" hidden="false" customHeight="true" outlineLevel="0" collapsed="false">
      <c r="A1" s="1" t="s">
        <v>404</v>
      </c>
      <c r="B1" s="1" t="s">
        <v>404</v>
      </c>
      <c r="C1" s="1" t="s">
        <v>404</v>
      </c>
      <c r="D1" s="1" t="s">
        <v>404</v>
      </c>
      <c r="E1" s="1" t="s">
        <v>404</v>
      </c>
      <c r="F1" s="1" t="s">
        <v>404</v>
      </c>
      <c r="G1" s="1" t="s">
        <v>404</v>
      </c>
      <c r="H1" s="1" t="s">
        <v>404</v>
      </c>
      <c r="I1" s="1" t="s">
        <v>404</v>
      </c>
      <c r="J1" s="1" t="s">
        <v>404</v>
      </c>
      <c r="K1" s="1" t="s">
        <v>404</v>
      </c>
      <c r="L1" s="1" t="s">
        <v>404</v>
      </c>
      <c r="M1" s="1" t="s">
        <v>404</v>
      </c>
    </row>
    <row r="2" customFormat="false" ht="15" hidden="false" customHeight="false" outlineLevel="0" collapsed="false">
      <c r="A2" s="2" t="s">
        <v>90</v>
      </c>
      <c r="B2" s="2" t="s">
        <v>90</v>
      </c>
      <c r="C2" s="2" t="s">
        <v>90</v>
      </c>
      <c r="D2" s="2" t="s">
        <v>90</v>
      </c>
      <c r="E2" s="2" t="s">
        <v>90</v>
      </c>
      <c r="F2" s="2" t="s">
        <v>90</v>
      </c>
      <c r="G2" s="2" t="s">
        <v>90</v>
      </c>
      <c r="H2" s="2" t="s">
        <v>90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</row>
    <row r="3" customFormat="false" ht="15" hidden="false" customHeight="false" outlineLevel="0" collapsed="false">
      <c r="A3" s="3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  <c r="G3" s="4" t="s">
        <v>97</v>
      </c>
      <c r="H3" s="4" t="s">
        <v>98</v>
      </c>
      <c r="I3" s="4" t="s">
        <v>99</v>
      </c>
      <c r="J3" s="4" t="s">
        <v>100</v>
      </c>
      <c r="K3" s="4" t="s">
        <v>101</v>
      </c>
      <c r="L3" s="4" t="s">
        <v>102</v>
      </c>
      <c r="M3" s="5" t="s">
        <v>103</v>
      </c>
    </row>
    <row r="4" customFormat="false" ht="15" hidden="false" customHeight="false" outlineLevel="0" collapsed="false">
      <c r="A4" s="2" t="s">
        <v>104</v>
      </c>
      <c r="B4" s="18" t="n">
        <f aca="false">IF('Cohort Data'!D4=Assumptions!$B$16,ROUND('Cohort Data'!L4*'Cohort Data'!K4*Assumptions!$F$5,Assumptions!$B$10),Assumptions!$B$13)</f>
        <v>30634.16</v>
      </c>
      <c r="C4" s="18" t="n">
        <f aca="false">IF('Cohort Data'!D4=Assumptions!$B$16,ROUND('Cohort Data'!E4*Assumptions!$C$6,Assumptions!$B$10),Assumptions!$B$13)</f>
        <v>5215</v>
      </c>
      <c r="D4" s="18" t="n">
        <f aca="false">SUM(B4:C4)</f>
        <v>35849.16</v>
      </c>
      <c r="E4" s="18" t="n">
        <f aca="false">ROUND(D4/Assumptions!$F$7,Assumptions!$B$10)</f>
        <v>35319.37</v>
      </c>
      <c r="F4" s="18" t="n">
        <f aca="false">ROUND(E4*Assumptions!$C$7,Assumptions!$B$10)</f>
        <v>1942.57</v>
      </c>
      <c r="G4" s="18" t="n">
        <f aca="false">SUM(E4:F4)</f>
        <v>37261.94</v>
      </c>
      <c r="H4" s="18" t="n">
        <f aca="false">ROUND(G4-'Cohort Data'!H4,Assumptions!$B$10)</f>
        <v>12891.5</v>
      </c>
      <c r="I4" s="18" t="n">
        <f aca="false">CEILING(G4,Assumptions!$B$12)</f>
        <v>37300</v>
      </c>
      <c r="J4" s="18" t="n">
        <f aca="false">FLOOR(G4,Assumptions!$B$12)</f>
        <v>37200</v>
      </c>
      <c r="K4" s="18" t="n">
        <f aca="false">ROUNDUP(G4,Assumptions!$B$10)</f>
        <v>37261.94</v>
      </c>
      <c r="L4" s="18" t="n">
        <f aca="false">ROUNDDOWN(G4,Assumptions!$B$10)</f>
        <v>37261.94</v>
      </c>
      <c r="M4" s="19" t="n">
        <f aca="false">INT('Cohort Data'!E4/Assumptions!$B$11)</f>
        <v>1</v>
      </c>
    </row>
    <row r="5" customFormat="false" ht="15" hidden="false" customHeight="false" outlineLevel="0" collapsed="false">
      <c r="A5" s="2" t="s">
        <v>105</v>
      </c>
      <c r="B5" s="18" t="n">
        <f aca="false">IF('Cohort Data'!D5=Assumptions!$B$16,ROUND('Cohort Data'!L5*'Cohort Data'!K5*Assumptions!$F$5,Assumptions!$B$10),Assumptions!$B$13)</f>
        <v>39108.39</v>
      </c>
      <c r="C5" s="18" t="n">
        <f aca="false">IF('Cohort Data'!D5=Assumptions!$B$16,ROUND('Cohort Data'!E5*Assumptions!$C$6,Assumptions!$B$10),Assumptions!$B$13)</f>
        <v>7770</v>
      </c>
      <c r="D5" s="18" t="n">
        <f aca="false">SUM(B5:C5)</f>
        <v>46878.39</v>
      </c>
      <c r="E5" s="18" t="n">
        <f aca="false">ROUND(D5/Assumptions!$F$7,Assumptions!$B$10)</f>
        <v>46185.61</v>
      </c>
      <c r="F5" s="18" t="n">
        <f aca="false">ROUND(E5*Assumptions!$C$7,Assumptions!$B$10)</f>
        <v>2540.21</v>
      </c>
      <c r="G5" s="18" t="n">
        <f aca="false">SUM(E5:F5)</f>
        <v>48725.82</v>
      </c>
      <c r="H5" s="18" t="n">
        <f aca="false">ROUND(G5-'Cohort Data'!H5,Assumptions!$B$10)</f>
        <v>18103.14</v>
      </c>
      <c r="I5" s="18" t="n">
        <f aca="false">CEILING(G5,Assumptions!$B$12)</f>
        <v>48800</v>
      </c>
      <c r="J5" s="18" t="n">
        <f aca="false">FLOOR(G5,Assumptions!$B$12)</f>
        <v>48700</v>
      </c>
      <c r="K5" s="18" t="n">
        <f aca="false">ROUNDUP(G5,Assumptions!$B$10)</f>
        <v>48725.82</v>
      </c>
      <c r="L5" s="18" t="n">
        <f aca="false">ROUNDDOWN(G5,Assumptions!$B$10)</f>
        <v>48725.82</v>
      </c>
      <c r="M5" s="19" t="n">
        <f aca="false">INT('Cohort Data'!E5/Assumptions!$B$11)</f>
        <v>2</v>
      </c>
    </row>
    <row r="6" customFormat="false" ht="15" hidden="false" customHeight="false" outlineLevel="0" collapsed="false">
      <c r="A6" s="2" t="s">
        <v>106</v>
      </c>
      <c r="B6" s="18" t="n">
        <f aca="false">IF('Cohort Data'!D6=Assumptions!$B$16,ROUND('Cohort Data'!L6*'Cohort Data'!K6*Assumptions!$F$5,Assumptions!$B$10),Assumptions!$B$13)</f>
        <v>12225.91</v>
      </c>
      <c r="C6" s="18" t="n">
        <f aca="false">IF('Cohort Data'!D6=Assumptions!$B$16,ROUND('Cohort Data'!E6*Assumptions!$C$6,Assumptions!$B$10),Assumptions!$B$13)</f>
        <v>2170</v>
      </c>
      <c r="D6" s="18" t="n">
        <f aca="false">SUM(B6:C6)</f>
        <v>14395.91</v>
      </c>
      <c r="E6" s="18" t="n">
        <f aca="false">ROUND(D6/Assumptions!$F$7,Assumptions!$B$10)</f>
        <v>14183.16</v>
      </c>
      <c r="F6" s="18" t="n">
        <f aca="false">ROUND(E6*Assumptions!$C$7,Assumptions!$B$10)</f>
        <v>780.07</v>
      </c>
      <c r="G6" s="18" t="n">
        <f aca="false">SUM(E6:F6)</f>
        <v>14963.23</v>
      </c>
      <c r="H6" s="18" t="n">
        <f aca="false">ROUND(G6-'Cohort Data'!H6,Assumptions!$B$10)</f>
        <v>5338.85</v>
      </c>
      <c r="I6" s="18" t="n">
        <f aca="false">CEILING(G6,Assumptions!$B$12)</f>
        <v>15000</v>
      </c>
      <c r="J6" s="18" t="n">
        <f aca="false">FLOOR(G6,Assumptions!$B$12)</f>
        <v>14900</v>
      </c>
      <c r="K6" s="18" t="n">
        <f aca="false">ROUNDUP(G6,Assumptions!$B$10)</f>
        <v>14963.23</v>
      </c>
      <c r="L6" s="18" t="n">
        <f aca="false">ROUNDDOWN(G6,Assumptions!$B$10)</f>
        <v>14963.23</v>
      </c>
      <c r="M6" s="19" t="n">
        <f aca="false">INT('Cohort Data'!E6/Assumptions!$B$11)</f>
        <v>0</v>
      </c>
    </row>
    <row r="7" customFormat="false" ht="15" hidden="false" customHeight="false" outlineLevel="0" collapsed="false">
      <c r="A7" s="2" t="s">
        <v>107</v>
      </c>
      <c r="B7" s="18" t="n">
        <f aca="false">IF('Cohort Data'!D7=Assumptions!$B$16,ROUND('Cohort Data'!L7*'Cohort Data'!K7*Assumptions!$F$5,Assumptions!$B$10),Assumptions!$B$13)</f>
        <v>45437.25</v>
      </c>
      <c r="C7" s="18" t="n">
        <f aca="false">IF('Cohort Data'!D7=Assumptions!$B$16,ROUND('Cohort Data'!E7*Assumptions!$C$6,Assumptions!$B$10),Assumptions!$B$13)</f>
        <v>7735</v>
      </c>
      <c r="D7" s="18" t="n">
        <f aca="false">SUM(B7:C7)</f>
        <v>53172.25</v>
      </c>
      <c r="E7" s="18" t="n">
        <f aca="false">ROUND(D7/Assumptions!$F$7,Assumptions!$B$10)</f>
        <v>52386.45</v>
      </c>
      <c r="F7" s="18" t="n">
        <f aca="false">ROUND(E7*Assumptions!$C$7,Assumptions!$B$10)</f>
        <v>2881.25</v>
      </c>
      <c r="G7" s="18" t="n">
        <f aca="false">SUM(E7:F7)</f>
        <v>55267.7</v>
      </c>
      <c r="H7" s="18" t="n">
        <f aca="false">ROUND(G7-'Cohort Data'!H7,Assumptions!$B$10)</f>
        <v>19890.02</v>
      </c>
      <c r="I7" s="18" t="n">
        <f aca="false">CEILING(G7,Assumptions!$B$12)</f>
        <v>55300</v>
      </c>
      <c r="J7" s="18" t="n">
        <f aca="false">FLOOR(G7,Assumptions!$B$12)</f>
        <v>55200</v>
      </c>
      <c r="K7" s="18" t="n">
        <f aca="false">ROUNDUP(G7,Assumptions!$B$10)</f>
        <v>55267.7</v>
      </c>
      <c r="L7" s="18" t="n">
        <f aca="false">ROUNDDOWN(G7,Assumptions!$B$10)</f>
        <v>55267.7</v>
      </c>
      <c r="M7" s="19" t="n">
        <f aca="false">INT('Cohort Data'!E7/Assumptions!$B$11)</f>
        <v>2</v>
      </c>
    </row>
    <row r="8" customFormat="false" ht="15" hidden="false" customHeight="false" outlineLevel="0" collapsed="false">
      <c r="A8" s="2" t="s">
        <v>108</v>
      </c>
      <c r="B8" s="18" t="n">
        <f aca="false">IF('Cohort Data'!D8=Assumptions!$B$16,ROUND('Cohort Data'!L8*'Cohort Data'!K8*Assumptions!$F$5,Assumptions!$B$10),Assumptions!$B$13)</f>
        <v>73652.53</v>
      </c>
      <c r="C8" s="18" t="n">
        <f aca="false">IF('Cohort Data'!D8=Assumptions!$B$16,ROUND('Cohort Data'!E8*Assumptions!$C$6,Assumptions!$B$10),Assumptions!$B$13)</f>
        <v>7665</v>
      </c>
      <c r="D8" s="18" t="n">
        <f aca="false">SUM(B8:C8)</f>
        <v>81317.53</v>
      </c>
      <c r="E8" s="18" t="n">
        <f aca="false">ROUND(D8/Assumptions!$F$7,Assumptions!$B$10)</f>
        <v>80115.79</v>
      </c>
      <c r="F8" s="18" t="n">
        <f aca="false">ROUND(E8*Assumptions!$C$7,Assumptions!$B$10)</f>
        <v>4406.37</v>
      </c>
      <c r="G8" s="18" t="n">
        <f aca="false">SUM(E8:F8)</f>
        <v>84522.16</v>
      </c>
      <c r="H8" s="18" t="n">
        <f aca="false">ROUND(G8-'Cohort Data'!H8,Assumptions!$B$10)</f>
        <v>23815.36</v>
      </c>
      <c r="I8" s="18" t="n">
        <f aca="false">CEILING(G8,Assumptions!$B$12)</f>
        <v>84600</v>
      </c>
      <c r="J8" s="18" t="n">
        <f aca="false">FLOOR(G8,Assumptions!$B$12)</f>
        <v>84500</v>
      </c>
      <c r="K8" s="18" t="n">
        <f aca="false">ROUNDUP(G8,Assumptions!$B$10)</f>
        <v>84522.16</v>
      </c>
      <c r="L8" s="18" t="n">
        <f aca="false">ROUNDDOWN(G8,Assumptions!$B$10)</f>
        <v>84522.15</v>
      </c>
      <c r="M8" s="19" t="n">
        <f aca="false">INT('Cohort Data'!E8/Assumptions!$B$11)</f>
        <v>2</v>
      </c>
    </row>
    <row r="9" customFormat="false" ht="15" hidden="false" customHeight="false" outlineLevel="0" collapsed="false">
      <c r="A9" s="2" t="s">
        <v>109</v>
      </c>
      <c r="B9" s="18" t="n">
        <f aca="false">IF('Cohort Data'!D9=Assumptions!$B$16,ROUND('Cohort Data'!L9*'Cohort Data'!K9*Assumptions!$F$5,Assumptions!$B$10),Assumptions!$B$13)</f>
        <v>58745.34</v>
      </c>
      <c r="C9" s="18" t="n">
        <f aca="false">IF('Cohort Data'!D9=Assumptions!$B$16,ROUND('Cohort Data'!E9*Assumptions!$C$6,Assumptions!$B$10),Assumptions!$B$13)</f>
        <v>7910</v>
      </c>
      <c r="D9" s="18" t="n">
        <f aca="false">SUM(B9:C9)</f>
        <v>66655.34</v>
      </c>
      <c r="E9" s="18" t="n">
        <f aca="false">ROUND(D9/Assumptions!$F$7,Assumptions!$B$10)</f>
        <v>65670.29</v>
      </c>
      <c r="F9" s="18" t="n">
        <f aca="false">ROUND(E9*Assumptions!$C$7,Assumptions!$B$10)</f>
        <v>3611.87</v>
      </c>
      <c r="G9" s="18" t="n">
        <f aca="false">SUM(E9:F9)</f>
        <v>69282.16</v>
      </c>
      <c r="H9" s="18" t="n">
        <f aca="false">ROUND(G9-'Cohort Data'!H9,Assumptions!$B$10)</f>
        <v>22565.25</v>
      </c>
      <c r="I9" s="18" t="n">
        <f aca="false">CEILING(G9,Assumptions!$B$12)</f>
        <v>69300</v>
      </c>
      <c r="J9" s="18" t="n">
        <f aca="false">FLOOR(G9,Assumptions!$B$12)</f>
        <v>69200</v>
      </c>
      <c r="K9" s="18" t="n">
        <f aca="false">ROUNDUP(G9,Assumptions!$B$10)</f>
        <v>69282.16</v>
      </c>
      <c r="L9" s="18" t="n">
        <f aca="false">ROUNDDOWN(G9,Assumptions!$B$10)</f>
        <v>69282.15</v>
      </c>
      <c r="M9" s="19" t="n">
        <f aca="false">INT('Cohort Data'!E9/Assumptions!$B$11)</f>
        <v>2</v>
      </c>
    </row>
    <row r="10" customFormat="false" ht="15" hidden="false" customHeight="false" outlineLevel="0" collapsed="false">
      <c r="A10" s="2" t="s">
        <v>110</v>
      </c>
      <c r="B10" s="18" t="n">
        <f aca="false">IF('Cohort Data'!D10=Assumptions!$B$16,ROUND('Cohort Data'!L10*'Cohort Data'!K10*Assumptions!$F$5,Assumptions!$B$10),Assumptions!$B$13)</f>
        <v>21217.75</v>
      </c>
      <c r="C10" s="18" t="n">
        <f aca="false">IF('Cohort Data'!D10=Assumptions!$B$16,ROUND('Cohort Data'!E10*Assumptions!$C$6,Assumptions!$B$10),Assumptions!$B$13)</f>
        <v>4515</v>
      </c>
      <c r="D10" s="18" t="n">
        <f aca="false">SUM(B10:C10)</f>
        <v>25732.75</v>
      </c>
      <c r="E10" s="18" t="n">
        <f aca="false">ROUND(D10/Assumptions!$F$7,Assumptions!$B$10)</f>
        <v>25352.46</v>
      </c>
      <c r="F10" s="18" t="n">
        <f aca="false">ROUND(E10*Assumptions!$C$7,Assumptions!$B$10)</f>
        <v>1394.39</v>
      </c>
      <c r="G10" s="18" t="n">
        <f aca="false">SUM(E10:F10)</f>
        <v>26746.85</v>
      </c>
      <c r="H10" s="18" t="n">
        <f aca="false">ROUND(G10-'Cohort Data'!H10,Assumptions!$B$10)</f>
        <v>9508.32</v>
      </c>
      <c r="I10" s="18" t="n">
        <f aca="false">CEILING(G10,Assumptions!$B$12)</f>
        <v>26800</v>
      </c>
      <c r="J10" s="18" t="n">
        <f aca="false">FLOOR(G10,Assumptions!$B$12)</f>
        <v>26700</v>
      </c>
      <c r="K10" s="18" t="n">
        <f aca="false">ROUNDUP(G10,Assumptions!$B$10)</f>
        <v>26746.85</v>
      </c>
      <c r="L10" s="18" t="n">
        <f aca="false">ROUNDDOWN(G10,Assumptions!$B$10)</f>
        <v>26746.85</v>
      </c>
      <c r="M10" s="19" t="n">
        <f aca="false">INT('Cohort Data'!E10/Assumptions!$B$11)</f>
        <v>1</v>
      </c>
    </row>
    <row r="11" customFormat="false" ht="15" hidden="false" customHeight="false" outlineLevel="0" collapsed="false">
      <c r="A11" s="2" t="s">
        <v>111</v>
      </c>
      <c r="B11" s="18" t="n">
        <f aca="false">IF('Cohort Data'!D11=Assumptions!$B$16,ROUND('Cohort Data'!L11*'Cohort Data'!K11*Assumptions!$F$5,Assumptions!$B$10),Assumptions!$B$13)</f>
        <v>20082.68</v>
      </c>
      <c r="C11" s="18" t="n">
        <f aca="false">IF('Cohort Data'!D11=Assumptions!$B$16,ROUND('Cohort Data'!E11*Assumptions!$C$6,Assumptions!$B$10),Assumptions!$B$13)</f>
        <v>3990</v>
      </c>
      <c r="D11" s="18" t="n">
        <f aca="false">SUM(B11:C11)</f>
        <v>24072.68</v>
      </c>
      <c r="E11" s="18" t="n">
        <f aca="false">ROUND(D11/Assumptions!$F$7,Assumptions!$B$10)</f>
        <v>23716.93</v>
      </c>
      <c r="F11" s="18" t="n">
        <f aca="false">ROUND(E11*Assumptions!$C$7,Assumptions!$B$10)</f>
        <v>1304.43</v>
      </c>
      <c r="G11" s="18" t="n">
        <f aca="false">SUM(E11:F11)</f>
        <v>25021.36</v>
      </c>
      <c r="H11" s="18" t="n">
        <f aca="false">ROUND(G11-'Cohort Data'!H11,Assumptions!$B$10)</f>
        <v>8965.14</v>
      </c>
      <c r="I11" s="18" t="n">
        <f aca="false">CEILING(G11,Assumptions!$B$12)</f>
        <v>25100</v>
      </c>
      <c r="J11" s="18" t="n">
        <f aca="false">FLOOR(G11,Assumptions!$B$12)</f>
        <v>25000</v>
      </c>
      <c r="K11" s="18" t="n">
        <f aca="false">ROUNDUP(G11,Assumptions!$B$10)</f>
        <v>25021.36</v>
      </c>
      <c r="L11" s="18" t="n">
        <f aca="false">ROUNDDOWN(G11,Assumptions!$B$10)</f>
        <v>25021.36</v>
      </c>
      <c r="M11" s="19" t="n">
        <f aca="false">INT('Cohort Data'!E11/Assumptions!$B$11)</f>
        <v>1</v>
      </c>
    </row>
    <row r="12" customFormat="false" ht="15" hidden="false" customHeight="false" outlineLevel="0" collapsed="false">
      <c r="A12" s="2" t="s">
        <v>112</v>
      </c>
      <c r="B12" s="18" t="n">
        <f aca="false">IF('Cohort Data'!D12=Assumptions!$B$16,ROUND('Cohort Data'!L12*'Cohort Data'!K12*Assumptions!$F$5,Assumptions!$B$10),Assumptions!$B$13)</f>
        <v>45945.77</v>
      </c>
      <c r="C12" s="18" t="n">
        <f aca="false">IF('Cohort Data'!D12=Assumptions!$B$16,ROUND('Cohort Data'!E12*Assumptions!$C$6,Assumptions!$B$10),Assumptions!$B$13)</f>
        <v>8155</v>
      </c>
      <c r="D12" s="18" t="n">
        <f aca="false">SUM(B12:C12)</f>
        <v>54100.77</v>
      </c>
      <c r="E12" s="18" t="n">
        <f aca="false">ROUND(D12/Assumptions!$F$7,Assumptions!$B$10)</f>
        <v>53301.25</v>
      </c>
      <c r="F12" s="18" t="n">
        <f aca="false">ROUND(E12*Assumptions!$C$7,Assumptions!$B$10)</f>
        <v>2931.57</v>
      </c>
      <c r="G12" s="18" t="n">
        <f aca="false">SUM(E12:F12)</f>
        <v>56232.82</v>
      </c>
      <c r="H12" s="18" t="n">
        <f aca="false">ROUND(G12-'Cohort Data'!H12,Assumptions!$B$10)</f>
        <v>21909.12</v>
      </c>
      <c r="I12" s="18" t="n">
        <f aca="false">CEILING(G12,Assumptions!$B$12)</f>
        <v>56300</v>
      </c>
      <c r="J12" s="18" t="n">
        <f aca="false">FLOOR(G12,Assumptions!$B$12)</f>
        <v>56200</v>
      </c>
      <c r="K12" s="18" t="n">
        <f aca="false">ROUNDUP(G12,Assumptions!$B$10)</f>
        <v>56232.82</v>
      </c>
      <c r="L12" s="18" t="n">
        <f aca="false">ROUNDDOWN(G12,Assumptions!$B$10)</f>
        <v>56232.82</v>
      </c>
      <c r="M12" s="19" t="n">
        <f aca="false">INT('Cohort Data'!E12/Assumptions!$B$11)</f>
        <v>2</v>
      </c>
    </row>
    <row r="13" customFormat="false" ht="15" hidden="false" customHeight="false" outlineLevel="0" collapsed="false">
      <c r="A13" s="2" t="s">
        <v>113</v>
      </c>
      <c r="B13" s="18" t="n">
        <f aca="false">IF('Cohort Data'!D13=Assumptions!$B$16,ROUND('Cohort Data'!L13*'Cohort Data'!K13*Assumptions!$F$5,Assumptions!$B$10),Assumptions!$B$13)</f>
        <v>11911</v>
      </c>
      <c r="C13" s="18" t="n">
        <f aca="false">IF('Cohort Data'!D13=Assumptions!$B$16,ROUND('Cohort Data'!E13*Assumptions!$C$6,Assumptions!$B$10),Assumptions!$B$13)</f>
        <v>2765</v>
      </c>
      <c r="D13" s="18" t="n">
        <f aca="false">SUM(B13:C13)</f>
        <v>14676</v>
      </c>
      <c r="E13" s="18" t="n">
        <f aca="false">ROUND(D13/Assumptions!$F$7,Assumptions!$B$10)</f>
        <v>14459.11</v>
      </c>
      <c r="F13" s="18" t="n">
        <f aca="false">ROUND(E13*Assumptions!$C$7,Assumptions!$B$10)</f>
        <v>795.25</v>
      </c>
      <c r="G13" s="18" t="n">
        <f aca="false">SUM(E13:F13)</f>
        <v>15254.36</v>
      </c>
      <c r="H13" s="18" t="n">
        <f aca="false">ROUND(G13-'Cohort Data'!H13,Assumptions!$B$10)</f>
        <v>5778.78</v>
      </c>
      <c r="I13" s="18" t="n">
        <f aca="false">CEILING(G13,Assumptions!$B$12)</f>
        <v>15300</v>
      </c>
      <c r="J13" s="18" t="n">
        <f aca="false">FLOOR(G13,Assumptions!$B$12)</f>
        <v>15200</v>
      </c>
      <c r="K13" s="18" t="n">
        <f aca="false">ROUNDUP(G13,Assumptions!$B$10)</f>
        <v>15254.36</v>
      </c>
      <c r="L13" s="18" t="n">
        <f aca="false">ROUNDDOWN(G13,Assumptions!$B$10)</f>
        <v>15254.36</v>
      </c>
      <c r="M13" s="19" t="n">
        <f aca="false">INT('Cohort Data'!E13/Assumptions!$B$11)</f>
        <v>0</v>
      </c>
    </row>
    <row r="14" customFormat="false" ht="15" hidden="false" customHeight="false" outlineLevel="0" collapsed="false">
      <c r="A14" s="2" t="s">
        <v>114</v>
      </c>
      <c r="B14" s="18" t="n">
        <f aca="false">IF('Cohort Data'!D14=Assumptions!$B$16,ROUND('Cohort Data'!L14*'Cohort Data'!K14*Assumptions!$F$5,Assumptions!$B$10),Assumptions!$B$13)</f>
        <v>53513.79</v>
      </c>
      <c r="C14" s="18" t="n">
        <f aca="false">IF('Cohort Data'!D14=Assumptions!$B$16,ROUND('Cohort Data'!E14*Assumptions!$C$6,Assumptions!$B$10),Assumptions!$B$13)</f>
        <v>5705</v>
      </c>
      <c r="D14" s="18" t="n">
        <f aca="false">SUM(B14:C14)</f>
        <v>59218.79</v>
      </c>
      <c r="E14" s="18" t="n">
        <f aca="false">ROUND(D14/Assumptions!$F$7,Assumptions!$B$10)</f>
        <v>58343.64</v>
      </c>
      <c r="F14" s="18" t="n">
        <f aca="false">ROUND(E14*Assumptions!$C$7,Assumptions!$B$10)</f>
        <v>3208.9</v>
      </c>
      <c r="G14" s="18" t="n">
        <f aca="false">SUM(E14:F14)</f>
        <v>61552.54</v>
      </c>
      <c r="H14" s="18" t="n">
        <f aca="false">ROUND(G14-'Cohort Data'!H14,Assumptions!$B$10)</f>
        <v>19650.13</v>
      </c>
      <c r="I14" s="18" t="n">
        <f aca="false">CEILING(G14,Assumptions!$B$12)</f>
        <v>61600</v>
      </c>
      <c r="J14" s="18" t="n">
        <f aca="false">FLOOR(G14,Assumptions!$B$12)</f>
        <v>61500</v>
      </c>
      <c r="K14" s="18" t="n">
        <f aca="false">ROUNDUP(G14,Assumptions!$B$10)</f>
        <v>61552.54</v>
      </c>
      <c r="L14" s="18" t="n">
        <f aca="false">ROUNDDOWN(G14,Assumptions!$B$10)</f>
        <v>61552.54</v>
      </c>
      <c r="M14" s="19" t="n">
        <f aca="false">INT('Cohort Data'!E14/Assumptions!$B$11)</f>
        <v>1</v>
      </c>
    </row>
    <row r="15" customFormat="false" ht="15" hidden="false" customHeight="false" outlineLevel="0" collapsed="false">
      <c r="A15" s="2" t="s">
        <v>115</v>
      </c>
      <c r="B15" s="18" t="n">
        <f aca="false">IF('Cohort Data'!D15=Assumptions!$B$16,ROUND('Cohort Data'!L15*'Cohort Data'!K15*Assumptions!$F$5,Assumptions!$B$10),Assumptions!$B$13)</f>
        <v>16492.44</v>
      </c>
      <c r="C15" s="18" t="n">
        <f aca="false">IF('Cohort Data'!D15=Assumptions!$B$16,ROUND('Cohort Data'!E15*Assumptions!$C$6,Assumptions!$B$10),Assumptions!$B$13)</f>
        <v>3220</v>
      </c>
      <c r="D15" s="18" t="n">
        <f aca="false">SUM(B15:C15)</f>
        <v>19712.44</v>
      </c>
      <c r="E15" s="18" t="n">
        <f aca="false">ROUND(D15/Assumptions!$F$7,Assumptions!$B$10)</f>
        <v>19421.12</v>
      </c>
      <c r="F15" s="18" t="n">
        <f aca="false">ROUND(E15*Assumptions!$C$7,Assumptions!$B$10)</f>
        <v>1068.16</v>
      </c>
      <c r="G15" s="18" t="n">
        <f aca="false">SUM(E15:F15)</f>
        <v>20489.28</v>
      </c>
      <c r="H15" s="18" t="n">
        <f aca="false">ROUND(G15-'Cohort Data'!H15,Assumptions!$B$10)</f>
        <v>8168.64</v>
      </c>
      <c r="I15" s="18" t="n">
        <f aca="false">CEILING(G15,Assumptions!$B$12)</f>
        <v>20500</v>
      </c>
      <c r="J15" s="18" t="n">
        <f aca="false">FLOOR(G15,Assumptions!$B$12)</f>
        <v>20400</v>
      </c>
      <c r="K15" s="18" t="n">
        <f aca="false">ROUNDUP(G15,Assumptions!$B$10)</f>
        <v>20489.28</v>
      </c>
      <c r="L15" s="18" t="n">
        <f aca="false">ROUNDDOWN(G15,Assumptions!$B$10)</f>
        <v>20489.28</v>
      </c>
      <c r="M15" s="19" t="n">
        <f aca="false">INT('Cohort Data'!E15/Assumptions!$B$11)</f>
        <v>0</v>
      </c>
    </row>
    <row r="16" customFormat="false" ht="15" hidden="false" customHeight="false" outlineLevel="0" collapsed="false">
      <c r="A16" s="2" t="s">
        <v>116</v>
      </c>
      <c r="B16" s="18" t="n">
        <f aca="false">IF('Cohort Data'!D16=Assumptions!$B$16,ROUND('Cohort Data'!L16*'Cohort Data'!K16*Assumptions!$F$5,Assumptions!$B$10),Assumptions!$B$13)</f>
        <v>13192.56</v>
      </c>
      <c r="C16" s="18" t="n">
        <f aca="false">IF('Cohort Data'!D16=Assumptions!$B$16,ROUND('Cohort Data'!E16*Assumptions!$C$6,Assumptions!$B$10),Assumptions!$B$13)</f>
        <v>2695</v>
      </c>
      <c r="D16" s="18" t="n">
        <f aca="false">SUM(B16:C16)</f>
        <v>15887.56</v>
      </c>
      <c r="E16" s="18" t="n">
        <f aca="false">ROUND(D16/Assumptions!$F$7,Assumptions!$B$10)</f>
        <v>15652.77</v>
      </c>
      <c r="F16" s="18" t="n">
        <f aca="false">ROUND(E16*Assumptions!$C$7,Assumptions!$B$10)</f>
        <v>860.9</v>
      </c>
      <c r="G16" s="18" t="n">
        <f aca="false">SUM(E16:F16)</f>
        <v>16513.67</v>
      </c>
      <c r="H16" s="18" t="n">
        <f aca="false">ROUND(G16-'Cohort Data'!H16,Assumptions!$B$10)</f>
        <v>6130.22</v>
      </c>
      <c r="I16" s="18" t="n">
        <f aca="false">CEILING(G16,Assumptions!$B$12)</f>
        <v>16600</v>
      </c>
      <c r="J16" s="18" t="n">
        <f aca="false">FLOOR(G16,Assumptions!$B$12)</f>
        <v>16500</v>
      </c>
      <c r="K16" s="18" t="n">
        <f aca="false">ROUNDUP(G16,Assumptions!$B$10)</f>
        <v>16513.68</v>
      </c>
      <c r="L16" s="18" t="n">
        <f aca="false">ROUNDDOWN(G16,Assumptions!$B$10)</f>
        <v>16513.67</v>
      </c>
      <c r="M16" s="19" t="n">
        <f aca="false">INT('Cohort Data'!E16/Assumptions!$B$11)</f>
        <v>0</v>
      </c>
    </row>
    <row r="17" customFormat="false" ht="15" hidden="false" customHeight="false" outlineLevel="0" collapsed="false">
      <c r="A17" s="2" t="s">
        <v>117</v>
      </c>
      <c r="B17" s="18" t="n">
        <f aca="false">IF('Cohort Data'!D17=Assumptions!$B$16,ROUND('Cohort Data'!L17*'Cohort Data'!K17*Assumptions!$F$5,Assumptions!$B$10),Assumptions!$B$13)</f>
        <v>24887.15</v>
      </c>
      <c r="C17" s="18" t="n">
        <f aca="false">IF('Cohort Data'!D17=Assumptions!$B$16,ROUND('Cohort Data'!E17*Assumptions!$C$6,Assumptions!$B$10),Assumptions!$B$13)</f>
        <v>3885</v>
      </c>
      <c r="D17" s="18" t="n">
        <f aca="false">SUM(B17:C17)</f>
        <v>28772.15</v>
      </c>
      <c r="E17" s="18" t="n">
        <f aca="false">ROUND(D17/Assumptions!$F$7,Assumptions!$B$10)</f>
        <v>28346.95</v>
      </c>
      <c r="F17" s="18" t="n">
        <f aca="false">ROUND(E17*Assumptions!$C$7,Assumptions!$B$10)</f>
        <v>1559.08</v>
      </c>
      <c r="G17" s="18" t="n">
        <f aca="false">SUM(E17:F17)</f>
        <v>29906.03</v>
      </c>
      <c r="H17" s="18" t="n">
        <f aca="false">ROUND(G17-'Cohort Data'!H17,Assumptions!$B$10)</f>
        <v>10213.74</v>
      </c>
      <c r="I17" s="18" t="n">
        <f aca="false">CEILING(G17,Assumptions!$B$12)</f>
        <v>30000</v>
      </c>
      <c r="J17" s="18" t="n">
        <f aca="false">FLOOR(G17,Assumptions!$B$12)</f>
        <v>29900</v>
      </c>
      <c r="K17" s="18" t="n">
        <f aca="false">ROUNDUP(G17,Assumptions!$B$10)</f>
        <v>29906.03</v>
      </c>
      <c r="L17" s="18" t="n">
        <f aca="false">ROUNDDOWN(G17,Assumptions!$B$10)</f>
        <v>29906.03</v>
      </c>
      <c r="M17" s="19" t="n">
        <f aca="false">INT('Cohort Data'!E17/Assumptions!$B$11)</f>
        <v>1</v>
      </c>
    </row>
    <row r="18" customFormat="false" ht="15" hidden="false" customHeight="false" outlineLevel="0" collapsed="false">
      <c r="A18" s="2" t="s">
        <v>118</v>
      </c>
      <c r="B18" s="18" t="n">
        <f aca="false">IF('Cohort Data'!D18=Assumptions!$B$16,ROUND('Cohort Data'!L18*'Cohort Data'!K18*Assumptions!$F$5,Assumptions!$B$10),Assumptions!$B$13)</f>
        <v>25052.37</v>
      </c>
      <c r="C18" s="18" t="n">
        <f aca="false">IF('Cohort Data'!D18=Assumptions!$B$16,ROUND('Cohort Data'!E18*Assumptions!$C$6,Assumptions!$B$10),Assumptions!$B$13)</f>
        <v>2275</v>
      </c>
      <c r="D18" s="18" t="n">
        <f aca="false">SUM(B18:C18)</f>
        <v>27327.37</v>
      </c>
      <c r="E18" s="18" t="n">
        <f aca="false">ROUND(D18/Assumptions!$F$7,Assumptions!$B$10)</f>
        <v>26923.52</v>
      </c>
      <c r="F18" s="18" t="n">
        <f aca="false">ROUND(E18*Assumptions!$C$7,Assumptions!$B$10)</f>
        <v>1480.79</v>
      </c>
      <c r="G18" s="18" t="n">
        <f aca="false">SUM(E18:F18)</f>
        <v>28404.31</v>
      </c>
      <c r="H18" s="18" t="n">
        <f aca="false">ROUND(G18-'Cohort Data'!H18,Assumptions!$B$10)</f>
        <v>8682.79</v>
      </c>
      <c r="I18" s="18" t="n">
        <f aca="false">CEILING(G18,Assumptions!$B$12)</f>
        <v>28500</v>
      </c>
      <c r="J18" s="18" t="n">
        <f aca="false">FLOOR(G18,Assumptions!$B$12)</f>
        <v>28400</v>
      </c>
      <c r="K18" s="18" t="n">
        <f aca="false">ROUNDUP(G18,Assumptions!$B$10)</f>
        <v>28404.31</v>
      </c>
      <c r="L18" s="18" t="n">
        <f aca="false">ROUNDDOWN(G18,Assumptions!$B$10)</f>
        <v>28404.31</v>
      </c>
      <c r="M18" s="19" t="n">
        <f aca="false">INT('Cohort Data'!E18/Assumptions!$B$11)</f>
        <v>0</v>
      </c>
    </row>
    <row r="19" customFormat="false" ht="15" hidden="false" customHeight="false" outlineLevel="0" collapsed="false">
      <c r="A19" s="2" t="s">
        <v>119</v>
      </c>
      <c r="B19" s="18" t="n">
        <f aca="false">IF('Cohort Data'!D19=Assumptions!$B$16,ROUND('Cohort Data'!L19*'Cohort Data'!K19*Assumptions!$F$5,Assumptions!$B$10),Assumptions!$B$13)</f>
        <v>18394.2</v>
      </c>
      <c r="C19" s="18" t="n">
        <f aca="false">IF('Cohort Data'!D19=Assumptions!$B$16,ROUND('Cohort Data'!E19*Assumptions!$C$6,Assumptions!$B$10),Assumptions!$B$13)</f>
        <v>4270</v>
      </c>
      <c r="D19" s="18" t="n">
        <f aca="false">SUM(B19:C19)</f>
        <v>22664.2</v>
      </c>
      <c r="E19" s="18" t="n">
        <f aca="false">ROUND(D19/Assumptions!$F$7,Assumptions!$B$10)</f>
        <v>22329.26</v>
      </c>
      <c r="F19" s="18" t="n">
        <f aca="false">ROUND(E19*Assumptions!$C$7,Assumptions!$B$10)</f>
        <v>1228.11</v>
      </c>
      <c r="G19" s="18" t="n">
        <f aca="false">SUM(E19:F19)</f>
        <v>23557.37</v>
      </c>
      <c r="H19" s="18" t="n">
        <f aca="false">ROUND(G19-'Cohort Data'!H19,Assumptions!$B$10)</f>
        <v>7990.17</v>
      </c>
      <c r="I19" s="18" t="n">
        <f aca="false">CEILING(G19,Assumptions!$B$12)</f>
        <v>23600</v>
      </c>
      <c r="J19" s="18" t="n">
        <f aca="false">FLOOR(G19,Assumptions!$B$12)</f>
        <v>23500</v>
      </c>
      <c r="K19" s="18" t="n">
        <f aca="false">ROUNDUP(G19,Assumptions!$B$10)</f>
        <v>23557.37</v>
      </c>
      <c r="L19" s="18" t="n">
        <f aca="false">ROUNDDOWN(G19,Assumptions!$B$10)</f>
        <v>23557.37</v>
      </c>
      <c r="M19" s="19" t="n">
        <f aca="false">INT('Cohort Data'!E19/Assumptions!$B$11)</f>
        <v>1</v>
      </c>
    </row>
    <row r="20" customFormat="false" ht="15" hidden="false" customHeight="false" outlineLevel="0" collapsed="false">
      <c r="A20" s="2" t="s">
        <v>120</v>
      </c>
      <c r="B20" s="18" t="n">
        <f aca="false">IF('Cohort Data'!D20=Assumptions!$B$16,ROUND('Cohort Data'!L20*'Cohort Data'!K20*Assumptions!$F$5,Assumptions!$B$10),Assumptions!$B$13)</f>
        <v>31645.44</v>
      </c>
      <c r="C20" s="18" t="n">
        <f aca="false">IF('Cohort Data'!D20=Assumptions!$B$16,ROUND('Cohort Data'!E20*Assumptions!$C$6,Assumptions!$B$10),Assumptions!$B$13)</f>
        <v>5320</v>
      </c>
      <c r="D20" s="18" t="n">
        <f aca="false">SUM(B20:C20)</f>
        <v>36965.44</v>
      </c>
      <c r="E20" s="18" t="n">
        <f aca="false">ROUND(D20/Assumptions!$F$7,Assumptions!$B$10)</f>
        <v>36419.15</v>
      </c>
      <c r="F20" s="18" t="n">
        <f aca="false">ROUND(E20*Assumptions!$C$7,Assumptions!$B$10)</f>
        <v>2003.05</v>
      </c>
      <c r="G20" s="18" t="n">
        <f aca="false">SUM(E20:F20)</f>
        <v>38422.2</v>
      </c>
      <c r="H20" s="18" t="n">
        <f aca="false">ROUND(G20-'Cohort Data'!H20,Assumptions!$B$10)</f>
        <v>14947.32</v>
      </c>
      <c r="I20" s="18" t="n">
        <f aca="false">CEILING(G20,Assumptions!$B$12)</f>
        <v>38500</v>
      </c>
      <c r="J20" s="18" t="n">
        <f aca="false">FLOOR(G20,Assumptions!$B$12)</f>
        <v>38400</v>
      </c>
      <c r="K20" s="18" t="n">
        <f aca="false">ROUNDUP(G20,Assumptions!$B$10)</f>
        <v>38422.21</v>
      </c>
      <c r="L20" s="18" t="n">
        <f aca="false">ROUNDDOWN(G20,Assumptions!$B$10)</f>
        <v>38422.2</v>
      </c>
      <c r="M20" s="19" t="n">
        <f aca="false">INT('Cohort Data'!E20/Assumptions!$B$11)</f>
        <v>1</v>
      </c>
    </row>
    <row r="21" customFormat="false" ht="15" hidden="false" customHeight="false" outlineLevel="0" collapsed="false">
      <c r="A21" s="2" t="s">
        <v>121</v>
      </c>
      <c r="B21" s="18" t="n">
        <f aca="false">IF('Cohort Data'!D21=Assumptions!$B$16,ROUND('Cohort Data'!L21*'Cohort Data'!K21*Assumptions!$F$5,Assumptions!$B$10),Assumptions!$B$13)</f>
        <v>66256.57</v>
      </c>
      <c r="C21" s="18" t="n">
        <f aca="false">IF('Cohort Data'!D21=Assumptions!$B$16,ROUND('Cohort Data'!E21*Assumptions!$C$6,Assumptions!$B$10),Assumptions!$B$13)</f>
        <v>5390</v>
      </c>
      <c r="D21" s="18" t="n">
        <f aca="false">SUM(B21:C21)</f>
        <v>71646.57</v>
      </c>
      <c r="E21" s="18" t="n">
        <f aca="false">ROUND(D21/Assumptions!$F$7,Assumptions!$B$10)</f>
        <v>70587.75</v>
      </c>
      <c r="F21" s="18" t="n">
        <f aca="false">ROUND(E21*Assumptions!$C$7,Assumptions!$B$10)</f>
        <v>3882.33</v>
      </c>
      <c r="G21" s="18" t="n">
        <f aca="false">SUM(E21:F21)</f>
        <v>74470.08</v>
      </c>
      <c r="H21" s="18" t="n">
        <f aca="false">ROUND(G21-'Cohort Data'!H21,Assumptions!$B$10)</f>
        <v>22312.13</v>
      </c>
      <c r="I21" s="18" t="n">
        <f aca="false">CEILING(G21,Assumptions!$B$12)</f>
        <v>74500</v>
      </c>
      <c r="J21" s="18" t="n">
        <f aca="false">FLOOR(G21,Assumptions!$B$12)</f>
        <v>74400</v>
      </c>
      <c r="K21" s="18" t="n">
        <f aca="false">ROUNDUP(G21,Assumptions!$B$10)</f>
        <v>74470.08</v>
      </c>
      <c r="L21" s="18" t="n">
        <f aca="false">ROUNDDOWN(G21,Assumptions!$B$10)</f>
        <v>74470.08</v>
      </c>
      <c r="M21" s="19" t="n">
        <f aca="false">INT('Cohort Data'!E21/Assumptions!$B$11)</f>
        <v>1</v>
      </c>
    </row>
    <row r="22" customFormat="false" ht="15" hidden="false" customHeight="false" outlineLevel="0" collapsed="false">
      <c r="A22" s="2" t="s">
        <v>122</v>
      </c>
      <c r="B22" s="18" t="n">
        <f aca="false">IF('Cohort Data'!D22=Assumptions!$B$16,ROUND('Cohort Data'!L22*'Cohort Data'!K22*Assumptions!$F$5,Assumptions!$B$10),Assumptions!$B$13)</f>
        <v>0</v>
      </c>
      <c r="C22" s="18" t="n">
        <f aca="false">IF('Cohort Data'!D22=Assumptions!$B$16,ROUND('Cohort Data'!E22*Assumptions!$C$6,Assumptions!$B$10),Assumptions!$B$13)</f>
        <v>0</v>
      </c>
      <c r="D22" s="18" t="n">
        <f aca="false">SUM(B22:C22)</f>
        <v>0</v>
      </c>
      <c r="E22" s="18" t="n">
        <f aca="false">ROUND(D22/Assumptions!$F$7,Assumptions!$B$10)</f>
        <v>0</v>
      </c>
      <c r="F22" s="18" t="n">
        <f aca="false">ROUND(E22*Assumptions!$C$7,Assumptions!$B$10)</f>
        <v>0</v>
      </c>
      <c r="G22" s="18" t="n">
        <f aca="false">SUM(E22:F22)</f>
        <v>0</v>
      </c>
      <c r="H22" s="18" t="n">
        <f aca="false">ROUND(G22-'Cohort Data'!H22,Assumptions!$B$10)</f>
        <v>-38076.25</v>
      </c>
      <c r="I22" s="18" t="n">
        <f aca="false">CEILING(G22,Assumptions!$B$12)</f>
        <v>0</v>
      </c>
      <c r="J22" s="18" t="n">
        <f aca="false">FLOOR(G22,Assumptions!$B$12)</f>
        <v>0</v>
      </c>
      <c r="K22" s="18" t="n">
        <f aca="false">ROUNDUP(G22,Assumptions!$B$10)</f>
        <v>0</v>
      </c>
      <c r="L22" s="18" t="n">
        <f aca="false">ROUNDDOWN(G22,Assumptions!$B$10)</f>
        <v>0</v>
      </c>
      <c r="M22" s="19" t="n">
        <f aca="false">INT('Cohort Data'!E22/Assumptions!$B$11)</f>
        <v>1</v>
      </c>
    </row>
    <row r="23" customFormat="false" ht="15" hidden="false" customHeight="false" outlineLevel="0" collapsed="false">
      <c r="A23" s="2" t="s">
        <v>123</v>
      </c>
      <c r="B23" s="18" t="n">
        <f aca="false">IF('Cohort Data'!D23=Assumptions!$B$16,ROUND('Cohort Data'!L23*'Cohort Data'!K23*Assumptions!$F$5,Assumptions!$B$10),Assumptions!$B$13)</f>
        <v>39244.51</v>
      </c>
      <c r="C23" s="18" t="n">
        <f aca="false">IF('Cohort Data'!D23=Assumptions!$B$16,ROUND('Cohort Data'!E23*Assumptions!$C$6,Assumptions!$B$10),Assumptions!$B$13)</f>
        <v>5915</v>
      </c>
      <c r="D23" s="18" t="n">
        <f aca="false">SUM(B23:C23)</f>
        <v>45159.51</v>
      </c>
      <c r="E23" s="18" t="n">
        <f aca="false">ROUND(D23/Assumptions!$F$7,Assumptions!$B$10)</f>
        <v>44492.13</v>
      </c>
      <c r="F23" s="18" t="n">
        <f aca="false">ROUND(E23*Assumptions!$C$7,Assumptions!$B$10)</f>
        <v>2447.07</v>
      </c>
      <c r="G23" s="18" t="n">
        <f aca="false">SUM(E23:F23)</f>
        <v>46939.2</v>
      </c>
      <c r="H23" s="18" t="n">
        <f aca="false">ROUND(G23-'Cohort Data'!H23,Assumptions!$B$10)</f>
        <v>14592.6</v>
      </c>
      <c r="I23" s="18" t="n">
        <f aca="false">CEILING(G23,Assumptions!$B$12)</f>
        <v>47000</v>
      </c>
      <c r="J23" s="18" t="n">
        <f aca="false">FLOOR(G23,Assumptions!$B$12)</f>
        <v>46900</v>
      </c>
      <c r="K23" s="18" t="n">
        <f aca="false">ROUNDUP(G23,Assumptions!$B$10)</f>
        <v>46939.2</v>
      </c>
      <c r="L23" s="18" t="n">
        <f aca="false">ROUNDDOWN(G23,Assumptions!$B$10)</f>
        <v>46939.2</v>
      </c>
      <c r="M23" s="19" t="n">
        <f aca="false">INT('Cohort Data'!E23/Assumptions!$B$11)</f>
        <v>1</v>
      </c>
    </row>
    <row r="24" customFormat="false" ht="15" hidden="false" customHeight="false" outlineLevel="0" collapsed="false">
      <c r="A24" s="2" t="s">
        <v>124</v>
      </c>
      <c r="B24" s="18" t="n">
        <f aca="false">IF('Cohort Data'!D24=Assumptions!$B$16,ROUND('Cohort Data'!L24*'Cohort Data'!K24*Assumptions!$F$5,Assumptions!$B$10),Assumptions!$B$13)</f>
        <v>78339.07</v>
      </c>
      <c r="C24" s="18" t="n">
        <f aca="false">IF('Cohort Data'!D24=Assumptions!$B$16,ROUND('Cohort Data'!E24*Assumptions!$C$6,Assumptions!$B$10),Assumptions!$B$13)</f>
        <v>8050</v>
      </c>
      <c r="D24" s="18" t="n">
        <f aca="false">SUM(B24:C24)</f>
        <v>86389.07</v>
      </c>
      <c r="E24" s="18" t="n">
        <f aca="false">ROUND(D24/Assumptions!$F$7,Assumptions!$B$10)</f>
        <v>85112.38</v>
      </c>
      <c r="F24" s="18" t="n">
        <f aca="false">ROUND(E24*Assumptions!$C$7,Assumptions!$B$10)</f>
        <v>4681.18</v>
      </c>
      <c r="G24" s="18" t="n">
        <f aca="false">SUM(E24:F24)</f>
        <v>89793.56</v>
      </c>
      <c r="H24" s="18" t="n">
        <f aca="false">ROUND(G24-'Cohort Data'!H24,Assumptions!$B$10)</f>
        <v>30011.96</v>
      </c>
      <c r="I24" s="18" t="n">
        <f aca="false">CEILING(G24,Assumptions!$B$12)</f>
        <v>89800</v>
      </c>
      <c r="J24" s="18" t="n">
        <f aca="false">FLOOR(G24,Assumptions!$B$12)</f>
        <v>89700</v>
      </c>
      <c r="K24" s="18" t="n">
        <f aca="false">ROUNDUP(G24,Assumptions!$B$10)</f>
        <v>89793.56</v>
      </c>
      <c r="L24" s="18" t="n">
        <f aca="false">ROUNDDOWN(G24,Assumptions!$B$10)</f>
        <v>89793.56</v>
      </c>
      <c r="M24" s="19" t="n">
        <f aca="false">INT('Cohort Data'!E24/Assumptions!$B$11)</f>
        <v>2</v>
      </c>
    </row>
    <row r="25" customFormat="false" ht="15" hidden="false" customHeight="false" outlineLevel="0" collapsed="false">
      <c r="A25" s="2" t="s">
        <v>125</v>
      </c>
      <c r="B25" s="18" t="n">
        <f aca="false">IF('Cohort Data'!D25=Assumptions!$B$16,ROUND('Cohort Data'!L25*'Cohort Data'!K25*Assumptions!$F$5,Assumptions!$B$10),Assumptions!$B$13)</f>
        <v>15399.32</v>
      </c>
      <c r="C25" s="18" t="n">
        <f aca="false">IF('Cohort Data'!D25=Assumptions!$B$16,ROUND('Cohort Data'!E25*Assumptions!$C$6,Assumptions!$B$10),Assumptions!$B$13)</f>
        <v>3745</v>
      </c>
      <c r="D25" s="18" t="n">
        <f aca="false">SUM(B25:C25)</f>
        <v>19144.32</v>
      </c>
      <c r="E25" s="18" t="n">
        <f aca="false">ROUND(D25/Assumptions!$F$7,Assumptions!$B$10)</f>
        <v>18861.4</v>
      </c>
      <c r="F25" s="18" t="n">
        <f aca="false">ROUND(E25*Assumptions!$C$7,Assumptions!$B$10)</f>
        <v>1037.38</v>
      </c>
      <c r="G25" s="18" t="n">
        <f aca="false">SUM(E25:F25)</f>
        <v>19898.78</v>
      </c>
      <c r="H25" s="18" t="n">
        <f aca="false">ROUND(G25-'Cohort Data'!H25,Assumptions!$B$10)</f>
        <v>6996.51</v>
      </c>
      <c r="I25" s="18" t="n">
        <f aca="false">CEILING(G25,Assumptions!$B$12)</f>
        <v>19900</v>
      </c>
      <c r="J25" s="18" t="n">
        <f aca="false">FLOOR(G25,Assumptions!$B$12)</f>
        <v>19800</v>
      </c>
      <c r="K25" s="18" t="n">
        <f aca="false">ROUNDUP(G25,Assumptions!$B$10)</f>
        <v>19898.79</v>
      </c>
      <c r="L25" s="18" t="n">
        <f aca="false">ROUNDDOWN(G25,Assumptions!$B$10)</f>
        <v>19898.78</v>
      </c>
      <c r="M25" s="19" t="n">
        <f aca="false">INT('Cohort Data'!E25/Assumptions!$B$11)</f>
        <v>1</v>
      </c>
    </row>
    <row r="26" customFormat="false" ht="15" hidden="false" customHeight="false" outlineLevel="0" collapsed="false">
      <c r="A26" s="2" t="s">
        <v>126</v>
      </c>
      <c r="B26" s="18" t="n">
        <f aca="false">IF('Cohort Data'!D26=Assumptions!$B$16,ROUND('Cohort Data'!L26*'Cohort Data'!K26*Assumptions!$F$5,Assumptions!$B$10),Assumptions!$B$13)</f>
        <v>23942.28</v>
      </c>
      <c r="C26" s="18" t="n">
        <f aca="false">IF('Cohort Data'!D26=Assumptions!$B$16,ROUND('Cohort Data'!E26*Assumptions!$C$6,Assumptions!$B$10),Assumptions!$B$13)</f>
        <v>4025</v>
      </c>
      <c r="D26" s="18" t="n">
        <f aca="false">SUM(B26:C26)</f>
        <v>27967.28</v>
      </c>
      <c r="E26" s="18" t="n">
        <f aca="false">ROUND(D26/Assumptions!$F$7,Assumptions!$B$10)</f>
        <v>27553.97</v>
      </c>
      <c r="F26" s="18" t="n">
        <f aca="false">ROUND(E26*Assumptions!$C$7,Assumptions!$B$10)</f>
        <v>1515.47</v>
      </c>
      <c r="G26" s="18" t="n">
        <f aca="false">SUM(E26:F26)</f>
        <v>29069.44</v>
      </c>
      <c r="H26" s="18" t="n">
        <f aca="false">ROUND(G26-'Cohort Data'!H26,Assumptions!$B$10)</f>
        <v>11111.5</v>
      </c>
      <c r="I26" s="18" t="n">
        <f aca="false">CEILING(G26,Assumptions!$B$12)</f>
        <v>29100</v>
      </c>
      <c r="J26" s="18" t="n">
        <f aca="false">FLOOR(G26,Assumptions!$B$12)</f>
        <v>29000</v>
      </c>
      <c r="K26" s="18" t="n">
        <f aca="false">ROUNDUP(G26,Assumptions!$B$10)</f>
        <v>29069.44</v>
      </c>
      <c r="L26" s="18" t="n">
        <f aca="false">ROUNDDOWN(G26,Assumptions!$B$10)</f>
        <v>29069.44</v>
      </c>
      <c r="M26" s="19" t="n">
        <f aca="false">INT('Cohort Data'!E26/Assumptions!$B$11)</f>
        <v>1</v>
      </c>
    </row>
    <row r="27" customFormat="false" ht="15" hidden="false" customHeight="false" outlineLevel="0" collapsed="false">
      <c r="A27" s="2" t="s">
        <v>127</v>
      </c>
      <c r="B27" s="18" t="n">
        <f aca="false">IF('Cohort Data'!D27=Assumptions!$B$16,ROUND('Cohort Data'!L27*'Cohort Data'!K27*Assumptions!$F$5,Assumptions!$B$10),Assumptions!$B$13)</f>
        <v>58924.6</v>
      </c>
      <c r="C27" s="18" t="n">
        <f aca="false">IF('Cohort Data'!D27=Assumptions!$B$16,ROUND('Cohort Data'!E27*Assumptions!$C$6,Assumptions!$B$10),Assumptions!$B$13)</f>
        <v>6055</v>
      </c>
      <c r="D27" s="18" t="n">
        <f aca="false">SUM(B27:C27)</f>
        <v>64979.6</v>
      </c>
      <c r="E27" s="18" t="n">
        <f aca="false">ROUND(D27/Assumptions!$F$7,Assumptions!$B$10)</f>
        <v>64019.31</v>
      </c>
      <c r="F27" s="18" t="n">
        <f aca="false">ROUND(E27*Assumptions!$C$7,Assumptions!$B$10)</f>
        <v>3521.06</v>
      </c>
      <c r="G27" s="18" t="n">
        <f aca="false">SUM(E27:F27)</f>
        <v>67540.37</v>
      </c>
      <c r="H27" s="18" t="n">
        <f aca="false">ROUND(G27-'Cohort Data'!H27,Assumptions!$B$10)</f>
        <v>20680.9</v>
      </c>
      <c r="I27" s="18" t="n">
        <f aca="false">CEILING(G27,Assumptions!$B$12)</f>
        <v>67600</v>
      </c>
      <c r="J27" s="18" t="n">
        <f aca="false">FLOOR(G27,Assumptions!$B$12)</f>
        <v>67500</v>
      </c>
      <c r="K27" s="18" t="n">
        <f aca="false">ROUNDUP(G27,Assumptions!$B$10)</f>
        <v>67540.37</v>
      </c>
      <c r="L27" s="18" t="n">
        <f aca="false">ROUNDDOWN(G27,Assumptions!$B$10)</f>
        <v>67540.37</v>
      </c>
      <c r="M27" s="19" t="n">
        <f aca="false">INT('Cohort Data'!E27/Assumptions!$B$11)</f>
        <v>1</v>
      </c>
    </row>
    <row r="28" customFormat="false" ht="15" hidden="false" customHeight="false" outlineLevel="0" collapsed="false">
      <c r="A28" s="2" t="s">
        <v>128</v>
      </c>
      <c r="B28" s="18" t="n">
        <f aca="false">IF('Cohort Data'!D28=Assumptions!$B$16,ROUND('Cohort Data'!L28*'Cohort Data'!K28*Assumptions!$F$5,Assumptions!$B$10),Assumptions!$B$13)</f>
        <v>44635.41</v>
      </c>
      <c r="C28" s="18" t="n">
        <f aca="false">IF('Cohort Data'!D28=Assumptions!$B$16,ROUND('Cohort Data'!E28*Assumptions!$C$6,Assumptions!$B$10),Assumptions!$B$13)</f>
        <v>5845</v>
      </c>
      <c r="D28" s="18" t="n">
        <f aca="false">SUM(B28:C28)</f>
        <v>50480.41</v>
      </c>
      <c r="E28" s="18" t="n">
        <f aca="false">ROUND(D28/Assumptions!$F$7,Assumptions!$B$10)</f>
        <v>49734.39</v>
      </c>
      <c r="F28" s="18" t="n">
        <f aca="false">ROUND(E28*Assumptions!$C$7,Assumptions!$B$10)</f>
        <v>2735.39</v>
      </c>
      <c r="G28" s="18" t="n">
        <f aca="false">SUM(E28:F28)</f>
        <v>52469.78</v>
      </c>
      <c r="H28" s="18" t="n">
        <f aca="false">ROUND(G28-'Cohort Data'!H28,Assumptions!$B$10)</f>
        <v>17716.41</v>
      </c>
      <c r="I28" s="18" t="n">
        <f aca="false">CEILING(G28,Assumptions!$B$12)</f>
        <v>52500</v>
      </c>
      <c r="J28" s="18" t="n">
        <f aca="false">FLOOR(G28,Assumptions!$B$12)</f>
        <v>52400</v>
      </c>
      <c r="K28" s="18" t="n">
        <f aca="false">ROUNDUP(G28,Assumptions!$B$10)</f>
        <v>52469.78</v>
      </c>
      <c r="L28" s="18" t="n">
        <f aca="false">ROUNDDOWN(G28,Assumptions!$B$10)</f>
        <v>52469.78</v>
      </c>
      <c r="M28" s="19" t="n">
        <f aca="false">INT('Cohort Data'!E28/Assumptions!$B$11)</f>
        <v>1</v>
      </c>
    </row>
    <row r="29" customFormat="false" ht="15" hidden="false" customHeight="false" outlineLevel="0" collapsed="false">
      <c r="A29" s="2" t="s">
        <v>129</v>
      </c>
      <c r="B29" s="18" t="n">
        <f aca="false">IF('Cohort Data'!D29=Assumptions!$B$16,ROUND('Cohort Data'!L29*'Cohort Data'!K29*Assumptions!$F$5,Assumptions!$B$10),Assumptions!$B$13)</f>
        <v>39436.69</v>
      </c>
      <c r="C29" s="18" t="n">
        <f aca="false">IF('Cohort Data'!D29=Assumptions!$B$16,ROUND('Cohort Data'!E29*Assumptions!$C$6,Assumptions!$B$10),Assumptions!$B$13)</f>
        <v>6895</v>
      </c>
      <c r="D29" s="18" t="n">
        <f aca="false">SUM(B29:C29)</f>
        <v>46331.69</v>
      </c>
      <c r="E29" s="18" t="n">
        <f aca="false">ROUND(D29/Assumptions!$F$7,Assumptions!$B$10)</f>
        <v>45646.99</v>
      </c>
      <c r="F29" s="18" t="n">
        <f aca="false">ROUND(E29*Assumptions!$C$7,Assumptions!$B$10)</f>
        <v>2510.58</v>
      </c>
      <c r="G29" s="18" t="n">
        <f aca="false">SUM(E29:F29)</f>
        <v>48157.57</v>
      </c>
      <c r="H29" s="18" t="n">
        <f aca="false">ROUND(G29-'Cohort Data'!H29,Assumptions!$B$10)</f>
        <v>16952.77</v>
      </c>
      <c r="I29" s="18" t="n">
        <f aca="false">CEILING(G29,Assumptions!$B$12)</f>
        <v>48200</v>
      </c>
      <c r="J29" s="18" t="n">
        <f aca="false">FLOOR(G29,Assumptions!$B$12)</f>
        <v>48100</v>
      </c>
      <c r="K29" s="18" t="n">
        <f aca="false">ROUNDUP(G29,Assumptions!$B$10)</f>
        <v>48157.57</v>
      </c>
      <c r="L29" s="18" t="n">
        <f aca="false">ROUNDDOWN(G29,Assumptions!$B$10)</f>
        <v>48157.57</v>
      </c>
      <c r="M29" s="19" t="n">
        <f aca="false">INT('Cohort Data'!E29/Assumptions!$B$11)</f>
        <v>1</v>
      </c>
    </row>
    <row r="30" customFormat="false" ht="15" hidden="false" customHeight="false" outlineLevel="0" collapsed="false">
      <c r="A30" s="2" t="s">
        <v>130</v>
      </c>
      <c r="B30" s="18" t="n">
        <f aca="false">IF('Cohort Data'!D30=Assumptions!$B$16,ROUND('Cohort Data'!L30*'Cohort Data'!K30*Assumptions!$F$5,Assumptions!$B$10),Assumptions!$B$13)</f>
        <v>75327.41</v>
      </c>
      <c r="C30" s="18" t="n">
        <f aca="false">IF('Cohort Data'!D30=Assumptions!$B$16,ROUND('Cohort Data'!E30*Assumptions!$C$6,Assumptions!$B$10),Assumptions!$B$13)</f>
        <v>6685</v>
      </c>
      <c r="D30" s="18" t="n">
        <f aca="false">SUM(B30:C30)</f>
        <v>82012.41</v>
      </c>
      <c r="E30" s="18" t="n">
        <f aca="false">ROUND(D30/Assumptions!$F$7,Assumptions!$B$10)</f>
        <v>80800.4</v>
      </c>
      <c r="F30" s="18" t="n">
        <f aca="false">ROUND(E30*Assumptions!$C$7,Assumptions!$B$10)</f>
        <v>4444.02</v>
      </c>
      <c r="G30" s="18" t="n">
        <f aca="false">SUM(E30:F30)</f>
        <v>85244.42</v>
      </c>
      <c r="H30" s="18" t="n">
        <f aca="false">ROUND(G30-'Cohort Data'!H30,Assumptions!$B$10)</f>
        <v>25340.71</v>
      </c>
      <c r="I30" s="18" t="n">
        <f aca="false">CEILING(G30,Assumptions!$B$12)</f>
        <v>85300</v>
      </c>
      <c r="J30" s="18" t="n">
        <f aca="false">FLOOR(G30,Assumptions!$B$12)</f>
        <v>85200</v>
      </c>
      <c r="K30" s="18" t="n">
        <f aca="false">ROUNDUP(G30,Assumptions!$B$10)</f>
        <v>85244.42</v>
      </c>
      <c r="L30" s="18" t="n">
        <f aca="false">ROUNDDOWN(G30,Assumptions!$B$10)</f>
        <v>85244.42</v>
      </c>
      <c r="M30" s="19" t="n">
        <f aca="false">INT('Cohort Data'!E30/Assumptions!$B$11)</f>
        <v>1</v>
      </c>
    </row>
    <row r="31" customFormat="false" ht="15" hidden="false" customHeight="false" outlineLevel="0" collapsed="false">
      <c r="A31" s="2" t="s">
        <v>131</v>
      </c>
      <c r="B31" s="18" t="n">
        <f aca="false">IF('Cohort Data'!D31=Assumptions!$B$16,ROUND('Cohort Data'!L31*'Cohort Data'!K31*Assumptions!$F$5,Assumptions!$B$10),Assumptions!$B$13)</f>
        <v>21053.28</v>
      </c>
      <c r="C31" s="18" t="n">
        <f aca="false">IF('Cohort Data'!D31=Assumptions!$B$16,ROUND('Cohort Data'!E31*Assumptions!$C$6,Assumptions!$B$10),Assumptions!$B$13)</f>
        <v>2240</v>
      </c>
      <c r="D31" s="18" t="n">
        <f aca="false">SUM(B31:C31)</f>
        <v>23293.28</v>
      </c>
      <c r="E31" s="18" t="n">
        <f aca="false">ROUND(D31/Assumptions!$F$7,Assumptions!$B$10)</f>
        <v>22949.04</v>
      </c>
      <c r="F31" s="18" t="n">
        <f aca="false">ROUND(E31*Assumptions!$C$7,Assumptions!$B$10)</f>
        <v>1262.2</v>
      </c>
      <c r="G31" s="18" t="n">
        <f aca="false">SUM(E31:F31)</f>
        <v>24211.24</v>
      </c>
      <c r="H31" s="18" t="n">
        <f aca="false">ROUND(G31-'Cohort Data'!H31,Assumptions!$B$10)</f>
        <v>7462.7</v>
      </c>
      <c r="I31" s="18" t="n">
        <f aca="false">CEILING(G31,Assumptions!$B$12)</f>
        <v>24300</v>
      </c>
      <c r="J31" s="18" t="n">
        <f aca="false">FLOOR(G31,Assumptions!$B$12)</f>
        <v>24200</v>
      </c>
      <c r="K31" s="18" t="n">
        <f aca="false">ROUNDUP(G31,Assumptions!$B$10)</f>
        <v>24211.24</v>
      </c>
      <c r="L31" s="18" t="n">
        <f aca="false">ROUNDDOWN(G31,Assumptions!$B$10)</f>
        <v>24211.24</v>
      </c>
      <c r="M31" s="19" t="n">
        <f aca="false">INT('Cohort Data'!E31/Assumptions!$B$11)</f>
        <v>0</v>
      </c>
    </row>
    <row r="32" customFormat="false" ht="15" hidden="false" customHeight="false" outlineLevel="0" collapsed="false">
      <c r="A32" s="2" t="s">
        <v>132</v>
      </c>
      <c r="B32" s="18" t="n">
        <f aca="false">IF('Cohort Data'!D32=Assumptions!$B$16,ROUND('Cohort Data'!L32*'Cohort Data'!K32*Assumptions!$F$5,Assumptions!$B$10),Assumptions!$B$13)</f>
        <v>94167.61</v>
      </c>
      <c r="C32" s="18" t="n">
        <f aca="false">IF('Cohort Data'!D32=Assumptions!$B$16,ROUND('Cohort Data'!E32*Assumptions!$C$6,Assumptions!$B$10),Assumptions!$B$13)</f>
        <v>8575</v>
      </c>
      <c r="D32" s="18" t="n">
        <f aca="false">SUM(B32:C32)</f>
        <v>102742.61</v>
      </c>
      <c r="E32" s="18" t="n">
        <f aca="false">ROUND(D32/Assumptions!$F$7,Assumptions!$B$10)</f>
        <v>101224.25</v>
      </c>
      <c r="F32" s="18" t="n">
        <f aca="false">ROUND(E32*Assumptions!$C$7,Assumptions!$B$10)</f>
        <v>5567.33</v>
      </c>
      <c r="G32" s="18" t="n">
        <f aca="false">SUM(E32:F32)</f>
        <v>106791.58</v>
      </c>
      <c r="H32" s="18" t="n">
        <f aca="false">ROUND(G32-'Cohort Data'!H32,Assumptions!$B$10)</f>
        <v>35384.86</v>
      </c>
      <c r="I32" s="18" t="n">
        <f aca="false">CEILING(G32,Assumptions!$B$12)</f>
        <v>106800</v>
      </c>
      <c r="J32" s="18" t="n">
        <f aca="false">FLOOR(G32,Assumptions!$B$12)</f>
        <v>106700</v>
      </c>
      <c r="K32" s="18" t="n">
        <f aca="false">ROUNDUP(G32,Assumptions!$B$10)</f>
        <v>106791.58</v>
      </c>
      <c r="L32" s="18" t="n">
        <f aca="false">ROUNDDOWN(G32,Assumptions!$B$10)</f>
        <v>106791.58</v>
      </c>
      <c r="M32" s="19" t="n">
        <f aca="false">INT('Cohort Data'!E32/Assumptions!$B$11)</f>
        <v>2</v>
      </c>
    </row>
    <row r="33" customFormat="false" ht="15" hidden="false" customHeight="false" outlineLevel="0" collapsed="false">
      <c r="A33" s="2" t="s">
        <v>133</v>
      </c>
      <c r="B33" s="18" t="n">
        <f aca="false">IF('Cohort Data'!D33=Assumptions!$B$16,ROUND('Cohort Data'!L33*'Cohort Data'!K33*Assumptions!$F$5,Assumptions!$B$10),Assumptions!$B$13)</f>
        <v>49853.76</v>
      </c>
      <c r="C33" s="18" t="n">
        <f aca="false">IF('Cohort Data'!D33=Assumptions!$B$16,ROUND('Cohort Data'!E33*Assumptions!$C$6,Assumptions!$B$10),Assumptions!$B$13)</f>
        <v>7210</v>
      </c>
      <c r="D33" s="18" t="n">
        <f aca="false">SUM(B33:C33)</f>
        <v>57063.76</v>
      </c>
      <c r="E33" s="18" t="n">
        <f aca="false">ROUND(D33/Assumptions!$F$7,Assumptions!$B$10)</f>
        <v>56220.45</v>
      </c>
      <c r="F33" s="18" t="n">
        <f aca="false">ROUND(E33*Assumptions!$C$7,Assumptions!$B$10)</f>
        <v>3092.12</v>
      </c>
      <c r="G33" s="18" t="n">
        <f aca="false">SUM(E33:F33)</f>
        <v>59312.57</v>
      </c>
      <c r="H33" s="18" t="n">
        <f aca="false">ROUND(G33-'Cohort Data'!H33,Assumptions!$B$10)</f>
        <v>23270.81</v>
      </c>
      <c r="I33" s="18" t="n">
        <f aca="false">CEILING(G33,Assumptions!$B$12)</f>
        <v>59400</v>
      </c>
      <c r="J33" s="18" t="n">
        <f aca="false">FLOOR(G33,Assumptions!$B$12)</f>
        <v>59300</v>
      </c>
      <c r="K33" s="18" t="n">
        <f aca="false">ROUNDUP(G33,Assumptions!$B$10)</f>
        <v>59312.57</v>
      </c>
      <c r="L33" s="18" t="n">
        <f aca="false">ROUNDDOWN(G33,Assumptions!$B$10)</f>
        <v>59312.57</v>
      </c>
      <c r="M33" s="19" t="n">
        <f aca="false">INT('Cohort Data'!E33/Assumptions!$B$11)</f>
        <v>2</v>
      </c>
    </row>
    <row r="34" customFormat="false" ht="15" hidden="false" customHeight="false" outlineLevel="0" collapsed="false">
      <c r="A34" s="2" t="s">
        <v>134</v>
      </c>
      <c r="B34" s="18" t="n">
        <f aca="false">IF('Cohort Data'!D34=Assumptions!$B$16,ROUND('Cohort Data'!L34*'Cohort Data'!K34*Assumptions!$F$5,Assumptions!$B$10),Assumptions!$B$13)</f>
        <v>17283.97</v>
      </c>
      <c r="C34" s="18" t="n">
        <f aca="false">IF('Cohort Data'!D34=Assumptions!$B$16,ROUND('Cohort Data'!E34*Assumptions!$C$6,Assumptions!$B$10),Assumptions!$B$13)</f>
        <v>3395</v>
      </c>
      <c r="D34" s="18" t="n">
        <f aca="false">SUM(B34:C34)</f>
        <v>20678.97</v>
      </c>
      <c r="E34" s="18" t="n">
        <f aca="false">ROUND(D34/Assumptions!$F$7,Assumptions!$B$10)</f>
        <v>20373.37</v>
      </c>
      <c r="F34" s="18" t="n">
        <f aca="false">ROUND(E34*Assumptions!$C$7,Assumptions!$B$10)</f>
        <v>1120.54</v>
      </c>
      <c r="G34" s="18" t="n">
        <f aca="false">SUM(E34:F34)</f>
        <v>21493.91</v>
      </c>
      <c r="H34" s="18" t="n">
        <f aca="false">ROUND(G34-'Cohort Data'!H34,Assumptions!$B$10)</f>
        <v>7743.97</v>
      </c>
      <c r="I34" s="18" t="n">
        <f aca="false">CEILING(G34,Assumptions!$B$12)</f>
        <v>21500</v>
      </c>
      <c r="J34" s="18" t="n">
        <f aca="false">FLOOR(G34,Assumptions!$B$12)</f>
        <v>21400</v>
      </c>
      <c r="K34" s="18" t="n">
        <f aca="false">ROUNDUP(G34,Assumptions!$B$10)</f>
        <v>21493.91</v>
      </c>
      <c r="L34" s="18" t="n">
        <f aca="false">ROUNDDOWN(G34,Assumptions!$B$10)</f>
        <v>21493.91</v>
      </c>
      <c r="M34" s="19" t="n">
        <f aca="false">INT('Cohort Data'!E34/Assumptions!$B$11)</f>
        <v>0</v>
      </c>
    </row>
    <row r="35" customFormat="false" ht="15" hidden="false" customHeight="false" outlineLevel="0" collapsed="false">
      <c r="A35" s="2" t="s">
        <v>135</v>
      </c>
      <c r="B35" s="18" t="n">
        <f aca="false">IF('Cohort Data'!D35=Assumptions!$B$16,ROUND('Cohort Data'!L35*'Cohort Data'!K35*Assumptions!$F$5,Assumptions!$B$10),Assumptions!$B$13)</f>
        <v>31389.2</v>
      </c>
      <c r="C35" s="18" t="n">
        <f aca="false">IF('Cohort Data'!D35=Assumptions!$B$16,ROUND('Cohort Data'!E35*Assumptions!$C$6,Assumptions!$B$10),Assumptions!$B$13)</f>
        <v>3430</v>
      </c>
      <c r="D35" s="18" t="n">
        <f aca="false">SUM(B35:C35)</f>
        <v>34819.2</v>
      </c>
      <c r="E35" s="18" t="n">
        <f aca="false">ROUND(D35/Assumptions!$F$7,Assumptions!$B$10)</f>
        <v>34304.63</v>
      </c>
      <c r="F35" s="18" t="n">
        <f aca="false">ROUND(E35*Assumptions!$C$7,Assumptions!$B$10)</f>
        <v>1886.75</v>
      </c>
      <c r="G35" s="18" t="n">
        <f aca="false">SUM(E35:F35)</f>
        <v>36191.38</v>
      </c>
      <c r="H35" s="18" t="n">
        <f aca="false">ROUND(G35-'Cohort Data'!H35,Assumptions!$B$10)</f>
        <v>11871.7</v>
      </c>
      <c r="I35" s="18" t="n">
        <f aca="false">CEILING(G35,Assumptions!$B$12)</f>
        <v>36200</v>
      </c>
      <c r="J35" s="18" t="n">
        <f aca="false">FLOOR(G35,Assumptions!$B$12)</f>
        <v>36100</v>
      </c>
      <c r="K35" s="18" t="n">
        <f aca="false">ROUNDUP(G35,Assumptions!$B$10)</f>
        <v>36191.38</v>
      </c>
      <c r="L35" s="18" t="n">
        <f aca="false">ROUNDDOWN(G35,Assumptions!$B$10)</f>
        <v>36191.38</v>
      </c>
      <c r="M35" s="19" t="n">
        <f aca="false">INT('Cohort Data'!E35/Assumptions!$B$11)</f>
        <v>0</v>
      </c>
    </row>
    <row r="36" customFormat="false" ht="15" hidden="false" customHeight="false" outlineLevel="0" collapsed="false">
      <c r="A36" s="2" t="s">
        <v>136</v>
      </c>
      <c r="B36" s="18" t="n">
        <f aca="false">IF('Cohort Data'!D36=Assumptions!$B$16,ROUND('Cohort Data'!L36*'Cohort Data'!K36*Assumptions!$F$5,Assumptions!$B$10),Assumptions!$B$13)</f>
        <v>17317.06</v>
      </c>
      <c r="C36" s="18" t="n">
        <f aca="false">IF('Cohort Data'!D36=Assumptions!$B$16,ROUND('Cohort Data'!E36*Assumptions!$C$6,Assumptions!$B$10),Assumptions!$B$13)</f>
        <v>3220</v>
      </c>
      <c r="D36" s="18" t="n">
        <f aca="false">SUM(B36:C36)</f>
        <v>20537.06</v>
      </c>
      <c r="E36" s="18" t="n">
        <f aca="false">ROUND(D36/Assumptions!$F$7,Assumptions!$B$10)</f>
        <v>20233.56</v>
      </c>
      <c r="F36" s="18" t="n">
        <f aca="false">ROUND(E36*Assumptions!$C$7,Assumptions!$B$10)</f>
        <v>1112.85</v>
      </c>
      <c r="G36" s="18" t="n">
        <f aca="false">SUM(E36:F36)</f>
        <v>21346.41</v>
      </c>
      <c r="H36" s="18" t="n">
        <f aca="false">ROUND(G36-'Cohort Data'!H36,Assumptions!$B$10)</f>
        <v>8131.53</v>
      </c>
      <c r="I36" s="18" t="n">
        <f aca="false">CEILING(G36,Assumptions!$B$12)</f>
        <v>21400</v>
      </c>
      <c r="J36" s="18" t="n">
        <f aca="false">FLOOR(G36,Assumptions!$B$12)</f>
        <v>21300</v>
      </c>
      <c r="K36" s="18" t="n">
        <f aca="false">ROUNDUP(G36,Assumptions!$B$10)</f>
        <v>21346.41</v>
      </c>
      <c r="L36" s="18" t="n">
        <f aca="false">ROUNDDOWN(G36,Assumptions!$B$10)</f>
        <v>21346.41</v>
      </c>
      <c r="M36" s="19" t="n">
        <f aca="false">INT('Cohort Data'!E36/Assumptions!$B$11)</f>
        <v>0</v>
      </c>
    </row>
    <row r="37" customFormat="false" ht="15" hidden="false" customHeight="false" outlineLevel="0" collapsed="false">
      <c r="A37" s="2" t="s">
        <v>137</v>
      </c>
      <c r="B37" s="18" t="n">
        <f aca="false">IF('Cohort Data'!D37=Assumptions!$B$16,ROUND('Cohort Data'!L37*'Cohort Data'!K37*Assumptions!$F$5,Assumptions!$B$10),Assumptions!$B$13)</f>
        <v>29318.33</v>
      </c>
      <c r="C37" s="18" t="n">
        <f aca="false">IF('Cohort Data'!D37=Assumptions!$B$16,ROUND('Cohort Data'!E37*Assumptions!$C$6,Assumptions!$B$10),Assumptions!$B$13)</f>
        <v>4830</v>
      </c>
      <c r="D37" s="18" t="n">
        <f aca="false">SUM(B37:C37)</f>
        <v>34148.33</v>
      </c>
      <c r="E37" s="18" t="n">
        <f aca="false">ROUND(D37/Assumptions!$F$7,Assumptions!$B$10)</f>
        <v>33643.67</v>
      </c>
      <c r="F37" s="18" t="n">
        <f aca="false">ROUND(E37*Assumptions!$C$7,Assumptions!$B$10)</f>
        <v>1850.4</v>
      </c>
      <c r="G37" s="18" t="n">
        <f aca="false">SUM(E37:F37)</f>
        <v>35494.07</v>
      </c>
      <c r="H37" s="18" t="n">
        <f aca="false">ROUND(G37-'Cohort Data'!H37,Assumptions!$B$10)</f>
        <v>12666.66</v>
      </c>
      <c r="I37" s="18" t="n">
        <f aca="false">CEILING(G37,Assumptions!$B$12)</f>
        <v>35500</v>
      </c>
      <c r="J37" s="18" t="n">
        <f aca="false">FLOOR(G37,Assumptions!$B$12)</f>
        <v>35400</v>
      </c>
      <c r="K37" s="18" t="n">
        <f aca="false">ROUNDUP(G37,Assumptions!$B$10)</f>
        <v>35494.07</v>
      </c>
      <c r="L37" s="18" t="n">
        <f aca="false">ROUNDDOWN(G37,Assumptions!$B$10)</f>
        <v>35494.07</v>
      </c>
      <c r="M37" s="19" t="n">
        <f aca="false">INT('Cohort Data'!E37/Assumptions!$B$11)</f>
        <v>1</v>
      </c>
    </row>
    <row r="38" customFormat="false" ht="15" hidden="false" customHeight="false" outlineLevel="0" collapsed="false">
      <c r="A38" s="2" t="s">
        <v>138</v>
      </c>
      <c r="B38" s="18" t="n">
        <f aca="false">IF('Cohort Data'!D38=Assumptions!$B$16,ROUND('Cohort Data'!L38*'Cohort Data'!K38*Assumptions!$F$5,Assumptions!$B$10),Assumptions!$B$13)</f>
        <v>23734.08</v>
      </c>
      <c r="C38" s="18" t="n">
        <f aca="false">IF('Cohort Data'!D38=Assumptions!$B$16,ROUND('Cohort Data'!E38*Assumptions!$C$6,Assumptions!$B$10),Assumptions!$B$13)</f>
        <v>2660</v>
      </c>
      <c r="D38" s="18" t="n">
        <f aca="false">SUM(B38:C38)</f>
        <v>26394.08</v>
      </c>
      <c r="E38" s="18" t="n">
        <f aca="false">ROUND(D38/Assumptions!$F$7,Assumptions!$B$10)</f>
        <v>26004.02</v>
      </c>
      <c r="F38" s="18" t="n">
        <f aca="false">ROUND(E38*Assumptions!$C$7,Assumptions!$B$10)</f>
        <v>1430.22</v>
      </c>
      <c r="G38" s="18" t="n">
        <f aca="false">SUM(E38:F38)</f>
        <v>27434.24</v>
      </c>
      <c r="H38" s="18" t="n">
        <f aca="false">ROUND(G38-'Cohort Data'!H38,Assumptions!$B$10)</f>
        <v>8849.96</v>
      </c>
      <c r="I38" s="18" t="n">
        <f aca="false">CEILING(G38,Assumptions!$B$12)</f>
        <v>27500</v>
      </c>
      <c r="J38" s="18" t="n">
        <f aca="false">FLOOR(G38,Assumptions!$B$12)</f>
        <v>27400</v>
      </c>
      <c r="K38" s="18" t="n">
        <f aca="false">ROUNDUP(G38,Assumptions!$B$10)</f>
        <v>27434.24</v>
      </c>
      <c r="L38" s="18" t="n">
        <f aca="false">ROUNDDOWN(G38,Assumptions!$B$10)</f>
        <v>27434.24</v>
      </c>
      <c r="M38" s="19" t="n">
        <f aca="false">INT('Cohort Data'!E38/Assumptions!$B$11)</f>
        <v>0</v>
      </c>
    </row>
    <row r="39" customFormat="false" ht="15" hidden="false" customHeight="false" outlineLevel="0" collapsed="false">
      <c r="A39" s="2" t="s">
        <v>139</v>
      </c>
      <c r="B39" s="18" t="n">
        <f aca="false">IF('Cohort Data'!D39=Assumptions!$B$16,ROUND('Cohort Data'!L39*'Cohort Data'!K39*Assumptions!$F$5,Assumptions!$B$10),Assumptions!$B$13)</f>
        <v>56145.99</v>
      </c>
      <c r="C39" s="18" t="n">
        <f aca="false">IF('Cohort Data'!D39=Assumptions!$B$16,ROUND('Cohort Data'!E39*Assumptions!$C$6,Assumptions!$B$10),Assumptions!$B$13)</f>
        <v>8120</v>
      </c>
      <c r="D39" s="18" t="n">
        <f aca="false">SUM(B39:C39)</f>
        <v>64265.99</v>
      </c>
      <c r="E39" s="18" t="n">
        <f aca="false">ROUND(D39/Assumptions!$F$7,Assumptions!$B$10)</f>
        <v>63316.25</v>
      </c>
      <c r="F39" s="18" t="n">
        <f aca="false">ROUND(E39*Assumptions!$C$7,Assumptions!$B$10)</f>
        <v>3482.39</v>
      </c>
      <c r="G39" s="18" t="n">
        <f aca="false">SUM(E39:F39)</f>
        <v>66798.64</v>
      </c>
      <c r="H39" s="18" t="n">
        <f aca="false">ROUND(G39-'Cohort Data'!H39,Assumptions!$B$10)</f>
        <v>24854.9</v>
      </c>
      <c r="I39" s="18" t="n">
        <f aca="false">CEILING(G39,Assumptions!$B$12)</f>
        <v>66800</v>
      </c>
      <c r="J39" s="18" t="n">
        <f aca="false">FLOOR(G39,Assumptions!$B$12)</f>
        <v>66700</v>
      </c>
      <c r="K39" s="18" t="n">
        <f aca="false">ROUNDUP(G39,Assumptions!$B$10)</f>
        <v>66798.64</v>
      </c>
      <c r="L39" s="18" t="n">
        <f aca="false">ROUNDDOWN(G39,Assumptions!$B$10)</f>
        <v>66798.64</v>
      </c>
      <c r="M39" s="19" t="n">
        <f aca="false">INT('Cohort Data'!E39/Assumptions!$B$11)</f>
        <v>2</v>
      </c>
    </row>
    <row r="40" customFormat="false" ht="15" hidden="false" customHeight="false" outlineLevel="0" collapsed="false">
      <c r="A40" s="2" t="s">
        <v>140</v>
      </c>
      <c r="B40" s="18" t="n">
        <f aca="false">IF('Cohort Data'!D40=Assumptions!$B$16,ROUND('Cohort Data'!L40*'Cohort Data'!K40*Assumptions!$F$5,Assumptions!$B$10),Assumptions!$B$13)</f>
        <v>41517.17</v>
      </c>
      <c r="C40" s="18" t="n">
        <f aca="false">IF('Cohort Data'!D40=Assumptions!$B$16,ROUND('Cohort Data'!E40*Assumptions!$C$6,Assumptions!$B$10),Assumptions!$B$13)</f>
        <v>8155</v>
      </c>
      <c r="D40" s="18" t="n">
        <f aca="false">SUM(B40:C40)</f>
        <v>49672.17</v>
      </c>
      <c r="E40" s="18" t="n">
        <f aca="false">ROUND(D40/Assumptions!$F$7,Assumptions!$B$10)</f>
        <v>48938.1</v>
      </c>
      <c r="F40" s="18" t="n">
        <f aca="false">ROUND(E40*Assumptions!$C$7,Assumptions!$B$10)</f>
        <v>2691.6</v>
      </c>
      <c r="G40" s="18" t="n">
        <f aca="false">SUM(E40:F40)</f>
        <v>51629.7</v>
      </c>
      <c r="H40" s="18" t="n">
        <f aca="false">ROUND(G40-'Cohort Data'!H40,Assumptions!$B$10)</f>
        <v>17898.76</v>
      </c>
      <c r="I40" s="18" t="n">
        <f aca="false">CEILING(G40,Assumptions!$B$12)</f>
        <v>51700</v>
      </c>
      <c r="J40" s="18" t="n">
        <f aca="false">FLOOR(G40,Assumptions!$B$12)</f>
        <v>51600</v>
      </c>
      <c r="K40" s="18" t="n">
        <f aca="false">ROUNDUP(G40,Assumptions!$B$10)</f>
        <v>51629.7</v>
      </c>
      <c r="L40" s="18" t="n">
        <f aca="false">ROUNDDOWN(G40,Assumptions!$B$10)</f>
        <v>51629.7</v>
      </c>
      <c r="M40" s="19" t="n">
        <f aca="false">INT('Cohort Data'!E40/Assumptions!$B$11)</f>
        <v>2</v>
      </c>
    </row>
    <row r="41" customFormat="false" ht="15" hidden="false" customHeight="false" outlineLevel="0" collapsed="false">
      <c r="A41" s="2" t="s">
        <v>141</v>
      </c>
      <c r="B41" s="18" t="n">
        <f aca="false">IF('Cohort Data'!D41=Assumptions!$B$16,ROUND('Cohort Data'!L41*'Cohort Data'!K41*Assumptions!$F$5,Assumptions!$B$10),Assumptions!$B$13)</f>
        <v>0</v>
      </c>
      <c r="C41" s="18" t="n">
        <f aca="false">IF('Cohort Data'!D41=Assumptions!$B$16,ROUND('Cohort Data'!E41*Assumptions!$C$6,Assumptions!$B$10),Assumptions!$B$13)</f>
        <v>0</v>
      </c>
      <c r="D41" s="18" t="n">
        <f aca="false">SUM(B41:C41)</f>
        <v>0</v>
      </c>
      <c r="E41" s="18" t="n">
        <f aca="false">ROUND(D41/Assumptions!$F$7,Assumptions!$B$10)</f>
        <v>0</v>
      </c>
      <c r="F41" s="18" t="n">
        <f aca="false">ROUND(E41*Assumptions!$C$7,Assumptions!$B$10)</f>
        <v>0</v>
      </c>
      <c r="G41" s="18" t="n">
        <f aca="false">SUM(E41:F41)</f>
        <v>0</v>
      </c>
      <c r="H41" s="18" t="n">
        <f aca="false">ROUND(G41-'Cohort Data'!H41,Assumptions!$B$10)</f>
        <v>-39555.52</v>
      </c>
      <c r="I41" s="18" t="n">
        <f aca="false">CEILING(G41,Assumptions!$B$12)</f>
        <v>0</v>
      </c>
      <c r="J41" s="18" t="n">
        <f aca="false">FLOOR(G41,Assumptions!$B$12)</f>
        <v>0</v>
      </c>
      <c r="K41" s="18" t="n">
        <f aca="false">ROUNDUP(G41,Assumptions!$B$10)</f>
        <v>0</v>
      </c>
      <c r="L41" s="18" t="n">
        <f aca="false">ROUNDDOWN(G41,Assumptions!$B$10)</f>
        <v>0</v>
      </c>
      <c r="M41" s="19" t="n">
        <f aca="false">INT('Cohort Data'!E41/Assumptions!$B$11)</f>
        <v>1</v>
      </c>
    </row>
    <row r="42" customFormat="false" ht="15" hidden="false" customHeight="false" outlineLevel="0" collapsed="false">
      <c r="A42" s="2" t="s">
        <v>142</v>
      </c>
      <c r="B42" s="18" t="n">
        <f aca="false">IF('Cohort Data'!D42=Assumptions!$B$16,ROUND('Cohort Data'!L42*'Cohort Data'!K42*Assumptions!$F$5,Assumptions!$B$10),Assumptions!$B$13)</f>
        <v>30412.41</v>
      </c>
      <c r="C42" s="18" t="n">
        <f aca="false">IF('Cohort Data'!D42=Assumptions!$B$16,ROUND('Cohort Data'!E42*Assumptions!$C$6,Assumptions!$B$10),Assumptions!$B$13)</f>
        <v>3045</v>
      </c>
      <c r="D42" s="18" t="n">
        <f aca="false">SUM(B42:C42)</f>
        <v>33457.41</v>
      </c>
      <c r="E42" s="18" t="n">
        <f aca="false">ROUND(D42/Assumptions!$F$7,Assumptions!$B$10)</f>
        <v>32962.97</v>
      </c>
      <c r="F42" s="18" t="n">
        <f aca="false">ROUND(E42*Assumptions!$C$7,Assumptions!$B$10)</f>
        <v>1812.96</v>
      </c>
      <c r="G42" s="18" t="n">
        <f aca="false">SUM(E42:F42)</f>
        <v>34775.93</v>
      </c>
      <c r="H42" s="18" t="n">
        <f aca="false">ROUND(G42-'Cohort Data'!H42,Assumptions!$B$10)</f>
        <v>10590.63</v>
      </c>
      <c r="I42" s="18" t="n">
        <f aca="false">CEILING(G42,Assumptions!$B$12)</f>
        <v>34800</v>
      </c>
      <c r="J42" s="18" t="n">
        <f aca="false">FLOOR(G42,Assumptions!$B$12)</f>
        <v>34700</v>
      </c>
      <c r="K42" s="18" t="n">
        <f aca="false">ROUNDUP(G42,Assumptions!$B$10)</f>
        <v>34775.93</v>
      </c>
      <c r="L42" s="18" t="n">
        <f aca="false">ROUNDDOWN(G42,Assumptions!$B$10)</f>
        <v>34775.93</v>
      </c>
      <c r="M42" s="19" t="n">
        <f aca="false">INT('Cohort Data'!E42/Assumptions!$B$11)</f>
        <v>0</v>
      </c>
    </row>
    <row r="43" customFormat="false" ht="15" hidden="false" customHeight="false" outlineLevel="0" collapsed="false">
      <c r="A43" s="2" t="s">
        <v>143</v>
      </c>
      <c r="B43" s="18" t="n">
        <f aca="false">IF('Cohort Data'!D43=Assumptions!$B$16,ROUND('Cohort Data'!L43*'Cohort Data'!K43*Assumptions!$F$5,Assumptions!$B$10),Assumptions!$B$13)</f>
        <v>44518.91</v>
      </c>
      <c r="C43" s="18" t="n">
        <f aca="false">IF('Cohort Data'!D43=Assumptions!$B$16,ROUND('Cohort Data'!E43*Assumptions!$C$6,Assumptions!$B$10),Assumptions!$B$13)</f>
        <v>7840</v>
      </c>
      <c r="D43" s="18" t="n">
        <f aca="false">SUM(B43:C43)</f>
        <v>52358.91</v>
      </c>
      <c r="E43" s="18" t="n">
        <f aca="false">ROUND(D43/Assumptions!$F$7,Assumptions!$B$10)</f>
        <v>51585.13</v>
      </c>
      <c r="F43" s="18" t="n">
        <f aca="false">ROUND(E43*Assumptions!$C$7,Assumptions!$B$10)</f>
        <v>2837.18</v>
      </c>
      <c r="G43" s="18" t="n">
        <f aca="false">SUM(E43:F43)</f>
        <v>54422.31</v>
      </c>
      <c r="H43" s="18" t="n">
        <f aca="false">ROUND(G43-'Cohort Data'!H43,Assumptions!$B$10)</f>
        <v>19759.65</v>
      </c>
      <c r="I43" s="18" t="n">
        <f aca="false">CEILING(G43,Assumptions!$B$12)</f>
        <v>54500</v>
      </c>
      <c r="J43" s="18" t="n">
        <f aca="false">FLOOR(G43,Assumptions!$B$12)</f>
        <v>54400</v>
      </c>
      <c r="K43" s="18" t="n">
        <f aca="false">ROUNDUP(G43,Assumptions!$B$10)</f>
        <v>54422.31</v>
      </c>
      <c r="L43" s="18" t="n">
        <f aca="false">ROUNDDOWN(G43,Assumptions!$B$10)</f>
        <v>54422.31</v>
      </c>
      <c r="M43" s="19" t="n">
        <f aca="false">INT('Cohort Data'!E43/Assumptions!$B$11)</f>
        <v>2</v>
      </c>
    </row>
    <row r="44" customFormat="false" ht="15" hidden="false" customHeight="false" outlineLevel="0" collapsed="false">
      <c r="A44" s="2" t="s">
        <v>144</v>
      </c>
      <c r="B44" s="18" t="n">
        <f aca="false">IF('Cohort Data'!D44=Assumptions!$B$16,ROUND('Cohort Data'!L44*'Cohort Data'!K44*Assumptions!$F$5,Assumptions!$B$10),Assumptions!$B$13)</f>
        <v>47932.6</v>
      </c>
      <c r="C44" s="18" t="n">
        <f aca="false">IF('Cohort Data'!D44=Assumptions!$B$16,ROUND('Cohort Data'!E44*Assumptions!$C$6,Assumptions!$B$10),Assumptions!$B$13)</f>
        <v>5110</v>
      </c>
      <c r="D44" s="18" t="n">
        <f aca="false">SUM(B44:C44)</f>
        <v>53042.6</v>
      </c>
      <c r="E44" s="18" t="n">
        <f aca="false">ROUND(D44/Assumptions!$F$7,Assumptions!$B$10)</f>
        <v>52258.72</v>
      </c>
      <c r="F44" s="18" t="n">
        <f aca="false">ROUND(E44*Assumptions!$C$7,Assumptions!$B$10)</f>
        <v>2874.23</v>
      </c>
      <c r="G44" s="18" t="n">
        <f aca="false">SUM(E44:F44)</f>
        <v>55132.95</v>
      </c>
      <c r="H44" s="18" t="n">
        <f aca="false">ROUND(G44-'Cohort Data'!H44,Assumptions!$B$10)</f>
        <v>16415.5</v>
      </c>
      <c r="I44" s="18" t="n">
        <f aca="false">CEILING(G44,Assumptions!$B$12)</f>
        <v>55200</v>
      </c>
      <c r="J44" s="18" t="n">
        <f aca="false">FLOOR(G44,Assumptions!$B$12)</f>
        <v>55100</v>
      </c>
      <c r="K44" s="18" t="n">
        <f aca="false">ROUNDUP(G44,Assumptions!$B$10)</f>
        <v>55132.95</v>
      </c>
      <c r="L44" s="18" t="n">
        <f aca="false">ROUNDDOWN(G44,Assumptions!$B$10)</f>
        <v>55132.95</v>
      </c>
      <c r="M44" s="19" t="n">
        <f aca="false">INT('Cohort Data'!E44/Assumptions!$B$11)</f>
        <v>1</v>
      </c>
    </row>
    <row r="45" customFormat="false" ht="15" hidden="false" customHeight="false" outlineLevel="0" collapsed="false">
      <c r="A45" s="2" t="s">
        <v>145</v>
      </c>
      <c r="B45" s="18" t="n">
        <f aca="false">IF('Cohort Data'!D45=Assumptions!$B$16,ROUND('Cohort Data'!L45*'Cohort Data'!K45*Assumptions!$F$5,Assumptions!$B$10),Assumptions!$B$13)</f>
        <v>73391.34</v>
      </c>
      <c r="C45" s="18" t="n">
        <f aca="false">IF('Cohort Data'!D45=Assumptions!$B$16,ROUND('Cohort Data'!E45*Assumptions!$C$6,Assumptions!$B$10),Assumptions!$B$13)</f>
        <v>6230</v>
      </c>
      <c r="D45" s="18" t="n">
        <f aca="false">SUM(B45:C45)</f>
        <v>79621.34</v>
      </c>
      <c r="E45" s="18" t="n">
        <f aca="false">ROUND(D45/Assumptions!$F$7,Assumptions!$B$10)</f>
        <v>78444.67</v>
      </c>
      <c r="F45" s="18" t="n">
        <f aca="false">ROUND(E45*Assumptions!$C$7,Assumptions!$B$10)</f>
        <v>4314.46</v>
      </c>
      <c r="G45" s="18" t="n">
        <f aca="false">SUM(E45:F45)</f>
        <v>82759.13</v>
      </c>
      <c r="H45" s="18" t="n">
        <f aca="false">ROUND(G45-'Cohort Data'!H45,Assumptions!$B$10)</f>
        <v>25574.14</v>
      </c>
      <c r="I45" s="18" t="n">
        <f aca="false">CEILING(G45,Assumptions!$B$12)</f>
        <v>82800</v>
      </c>
      <c r="J45" s="18" t="n">
        <f aca="false">FLOOR(G45,Assumptions!$B$12)</f>
        <v>82700</v>
      </c>
      <c r="K45" s="18" t="n">
        <f aca="false">ROUNDUP(G45,Assumptions!$B$10)</f>
        <v>82759.13</v>
      </c>
      <c r="L45" s="18" t="n">
        <f aca="false">ROUNDDOWN(G45,Assumptions!$B$10)</f>
        <v>82759.13</v>
      </c>
      <c r="M45" s="19" t="n">
        <f aca="false">INT('Cohort Data'!E45/Assumptions!$B$11)</f>
        <v>1</v>
      </c>
    </row>
    <row r="46" customFormat="false" ht="15" hidden="false" customHeight="false" outlineLevel="0" collapsed="false">
      <c r="A46" s="2" t="s">
        <v>146</v>
      </c>
      <c r="B46" s="18" t="n">
        <f aca="false">IF('Cohort Data'!D46=Assumptions!$B$16,ROUND('Cohort Data'!L46*'Cohort Data'!K46*Assumptions!$F$5,Assumptions!$B$10),Assumptions!$B$13)</f>
        <v>22314.28</v>
      </c>
      <c r="C46" s="18" t="n">
        <f aca="false">IF('Cohort Data'!D46=Assumptions!$B$16,ROUND('Cohort Data'!E46*Assumptions!$C$6,Assumptions!$B$10),Assumptions!$B$13)</f>
        <v>5180</v>
      </c>
      <c r="D46" s="18" t="n">
        <f aca="false">SUM(B46:C46)</f>
        <v>27494.28</v>
      </c>
      <c r="E46" s="18" t="n">
        <f aca="false">ROUND(D46/Assumptions!$F$7,Assumptions!$B$10)</f>
        <v>27087.96</v>
      </c>
      <c r="F46" s="18" t="n">
        <f aca="false">ROUND(E46*Assumptions!$C$7,Assumptions!$B$10)</f>
        <v>1489.84</v>
      </c>
      <c r="G46" s="18" t="n">
        <f aca="false">SUM(E46:F46)</f>
        <v>28577.8</v>
      </c>
      <c r="H46" s="18" t="n">
        <f aca="false">ROUND(G46-'Cohort Data'!H46,Assumptions!$B$10)</f>
        <v>10259.54</v>
      </c>
      <c r="I46" s="18" t="n">
        <f aca="false">CEILING(G46,Assumptions!$B$12)</f>
        <v>28600</v>
      </c>
      <c r="J46" s="18" t="n">
        <f aca="false">FLOOR(G46,Assumptions!$B$12)</f>
        <v>28500</v>
      </c>
      <c r="K46" s="18" t="n">
        <f aca="false">ROUNDUP(G46,Assumptions!$B$10)</f>
        <v>28577.8</v>
      </c>
      <c r="L46" s="18" t="n">
        <f aca="false">ROUNDDOWN(G46,Assumptions!$B$10)</f>
        <v>28577.8</v>
      </c>
      <c r="M46" s="19" t="n">
        <f aca="false">INT('Cohort Data'!E46/Assumptions!$B$11)</f>
        <v>1</v>
      </c>
    </row>
    <row r="47" customFormat="false" ht="15" hidden="false" customHeight="false" outlineLevel="0" collapsed="false">
      <c r="A47" s="2" t="s">
        <v>147</v>
      </c>
      <c r="B47" s="18" t="n">
        <f aca="false">IF('Cohort Data'!D47=Assumptions!$B$16,ROUND('Cohort Data'!L47*'Cohort Data'!K47*Assumptions!$F$5,Assumptions!$B$10),Assumptions!$B$13)</f>
        <v>43720.68</v>
      </c>
      <c r="C47" s="18" t="n">
        <f aca="false">IF('Cohort Data'!D47=Assumptions!$B$16,ROUND('Cohort Data'!E47*Assumptions!$C$6,Assumptions!$B$10),Assumptions!$B$13)</f>
        <v>7350</v>
      </c>
      <c r="D47" s="18" t="n">
        <f aca="false">SUM(B47:C47)</f>
        <v>51070.68</v>
      </c>
      <c r="E47" s="18" t="n">
        <f aca="false">ROUND(D47/Assumptions!$F$7,Assumptions!$B$10)</f>
        <v>50315.94</v>
      </c>
      <c r="F47" s="18" t="n">
        <f aca="false">ROUND(E47*Assumptions!$C$7,Assumptions!$B$10)</f>
        <v>2767.38</v>
      </c>
      <c r="G47" s="18" t="n">
        <f aca="false">SUM(E47:F47)</f>
        <v>53083.32</v>
      </c>
      <c r="H47" s="18" t="n">
        <f aca="false">ROUND(G47-'Cohort Data'!H47,Assumptions!$B$10)</f>
        <v>17047.32</v>
      </c>
      <c r="I47" s="18" t="n">
        <f aca="false">CEILING(G47,Assumptions!$B$12)</f>
        <v>53100</v>
      </c>
      <c r="J47" s="18" t="n">
        <f aca="false">FLOOR(G47,Assumptions!$B$12)</f>
        <v>53000</v>
      </c>
      <c r="K47" s="18" t="n">
        <f aca="false">ROUNDUP(G47,Assumptions!$B$10)</f>
        <v>53083.32</v>
      </c>
      <c r="L47" s="18" t="n">
        <f aca="false">ROUNDDOWN(G47,Assumptions!$B$10)</f>
        <v>53083.32</v>
      </c>
      <c r="M47" s="19" t="n">
        <f aca="false">INT('Cohort Data'!E47/Assumptions!$B$11)</f>
        <v>2</v>
      </c>
    </row>
    <row r="48" customFormat="false" ht="15" hidden="false" customHeight="false" outlineLevel="0" collapsed="false">
      <c r="A48" s="2" t="s">
        <v>148</v>
      </c>
      <c r="B48" s="18" t="n">
        <f aca="false">IF('Cohort Data'!D48=Assumptions!$B$16,ROUND('Cohort Data'!L48*'Cohort Data'!K48*Assumptions!$F$5,Assumptions!$B$10),Assumptions!$B$13)</f>
        <v>43453.98</v>
      </c>
      <c r="C48" s="18" t="n">
        <f aca="false">IF('Cohort Data'!D48=Assumptions!$B$16,ROUND('Cohort Data'!E48*Assumptions!$C$6,Assumptions!$B$10),Assumptions!$B$13)</f>
        <v>7070</v>
      </c>
      <c r="D48" s="18" t="n">
        <f aca="false">SUM(B48:C48)</f>
        <v>50523.98</v>
      </c>
      <c r="E48" s="18" t="n">
        <f aca="false">ROUND(D48/Assumptions!$F$7,Assumptions!$B$10)</f>
        <v>49777.32</v>
      </c>
      <c r="F48" s="18" t="n">
        <f aca="false">ROUND(E48*Assumptions!$C$7,Assumptions!$B$10)</f>
        <v>2737.75</v>
      </c>
      <c r="G48" s="18" t="n">
        <f aca="false">SUM(E48:F48)</f>
        <v>52515.07</v>
      </c>
      <c r="H48" s="18" t="n">
        <f aca="false">ROUND(G48-'Cohort Data'!H48,Assumptions!$B$10)</f>
        <v>20750.97</v>
      </c>
      <c r="I48" s="18" t="n">
        <f aca="false">CEILING(G48,Assumptions!$B$12)</f>
        <v>52600</v>
      </c>
      <c r="J48" s="18" t="n">
        <f aca="false">FLOOR(G48,Assumptions!$B$12)</f>
        <v>52500</v>
      </c>
      <c r="K48" s="18" t="n">
        <f aca="false">ROUNDUP(G48,Assumptions!$B$10)</f>
        <v>52515.07</v>
      </c>
      <c r="L48" s="18" t="n">
        <f aca="false">ROUNDDOWN(G48,Assumptions!$B$10)</f>
        <v>52515.07</v>
      </c>
      <c r="M48" s="19" t="n">
        <f aca="false">INT('Cohort Data'!E48/Assumptions!$B$11)</f>
        <v>2</v>
      </c>
    </row>
    <row r="49" customFormat="false" ht="15" hidden="false" customHeight="false" outlineLevel="0" collapsed="false">
      <c r="A49" s="2" t="s">
        <v>149</v>
      </c>
      <c r="B49" s="18" t="n">
        <f aca="false">IF('Cohort Data'!D49=Assumptions!$B$16,ROUND('Cohort Data'!L49*'Cohort Data'!K49*Assumptions!$F$5,Assumptions!$B$10),Assumptions!$B$13)</f>
        <v>36329.24</v>
      </c>
      <c r="C49" s="18" t="n">
        <f aca="false">IF('Cohort Data'!D49=Assumptions!$B$16,ROUND('Cohort Data'!E49*Assumptions!$C$6,Assumptions!$B$10),Assumptions!$B$13)</f>
        <v>5985</v>
      </c>
      <c r="D49" s="18" t="n">
        <f aca="false">SUM(B49:C49)</f>
        <v>42314.24</v>
      </c>
      <c r="E49" s="18" t="n">
        <f aca="false">ROUND(D49/Assumptions!$F$7,Assumptions!$B$10)</f>
        <v>41688.91</v>
      </c>
      <c r="F49" s="18" t="n">
        <f aca="false">ROUND(E49*Assumptions!$C$7,Assumptions!$B$10)</f>
        <v>2292.89</v>
      </c>
      <c r="G49" s="18" t="n">
        <f aca="false">SUM(E49:F49)</f>
        <v>43981.8</v>
      </c>
      <c r="H49" s="18" t="n">
        <f aca="false">ROUND(G49-'Cohort Data'!H49,Assumptions!$B$10)</f>
        <v>13236</v>
      </c>
      <c r="I49" s="18" t="n">
        <f aca="false">CEILING(G49,Assumptions!$B$12)</f>
        <v>44000</v>
      </c>
      <c r="J49" s="18" t="n">
        <f aca="false">FLOOR(G49,Assumptions!$B$12)</f>
        <v>43900</v>
      </c>
      <c r="K49" s="18" t="n">
        <f aca="false">ROUNDUP(G49,Assumptions!$B$10)</f>
        <v>43981.8</v>
      </c>
      <c r="L49" s="18" t="n">
        <f aca="false">ROUNDDOWN(G49,Assumptions!$B$10)</f>
        <v>43981.8</v>
      </c>
      <c r="M49" s="19" t="n">
        <f aca="false">INT('Cohort Data'!E49/Assumptions!$B$11)</f>
        <v>1</v>
      </c>
    </row>
    <row r="50" customFormat="false" ht="15" hidden="false" customHeight="false" outlineLevel="0" collapsed="false">
      <c r="A50" s="2" t="s">
        <v>150</v>
      </c>
      <c r="B50" s="18" t="n">
        <f aca="false">IF('Cohort Data'!D50=Assumptions!$B$16,ROUND('Cohort Data'!L50*'Cohort Data'!K50*Assumptions!$F$5,Assumptions!$B$10),Assumptions!$B$13)</f>
        <v>18641.34</v>
      </c>
      <c r="C50" s="18" t="n">
        <f aca="false">IF('Cohort Data'!D50=Assumptions!$B$16,ROUND('Cohort Data'!E50*Assumptions!$C$6,Assumptions!$B$10),Assumptions!$B$13)</f>
        <v>3395</v>
      </c>
      <c r="D50" s="18" t="n">
        <f aca="false">SUM(B50:C50)</f>
        <v>22036.34</v>
      </c>
      <c r="E50" s="18" t="n">
        <f aca="false">ROUND(D50/Assumptions!$F$7,Assumptions!$B$10)</f>
        <v>21710.68</v>
      </c>
      <c r="F50" s="18" t="n">
        <f aca="false">ROUND(E50*Assumptions!$C$7,Assumptions!$B$10)</f>
        <v>1194.09</v>
      </c>
      <c r="G50" s="18" t="n">
        <f aca="false">SUM(E50:F50)</f>
        <v>22904.77</v>
      </c>
      <c r="H50" s="18" t="n">
        <f aca="false">ROUND(G50-'Cohort Data'!H50,Assumptions!$B$10)</f>
        <v>8000.91</v>
      </c>
      <c r="I50" s="18" t="n">
        <f aca="false">CEILING(G50,Assumptions!$B$12)</f>
        <v>23000</v>
      </c>
      <c r="J50" s="18" t="n">
        <f aca="false">FLOOR(G50,Assumptions!$B$12)</f>
        <v>22900</v>
      </c>
      <c r="K50" s="18" t="n">
        <f aca="false">ROUNDUP(G50,Assumptions!$B$10)</f>
        <v>22904.77</v>
      </c>
      <c r="L50" s="18" t="n">
        <f aca="false">ROUNDDOWN(G50,Assumptions!$B$10)</f>
        <v>22904.77</v>
      </c>
      <c r="M50" s="19" t="n">
        <f aca="false">INT('Cohort Data'!E50/Assumptions!$B$11)</f>
        <v>0</v>
      </c>
    </row>
    <row r="51" customFormat="false" ht="15" hidden="false" customHeight="false" outlineLevel="0" collapsed="false">
      <c r="A51" s="2" t="s">
        <v>151</v>
      </c>
      <c r="B51" s="18" t="n">
        <f aca="false">IF('Cohort Data'!D51=Assumptions!$B$16,ROUND('Cohort Data'!L51*'Cohort Data'!K51*Assumptions!$F$5,Assumptions!$B$10),Assumptions!$B$13)</f>
        <v>37287.24</v>
      </c>
      <c r="C51" s="18" t="n">
        <f aca="false">IF('Cohort Data'!D51=Assumptions!$B$16,ROUND('Cohort Data'!E51*Assumptions!$C$6,Assumptions!$B$10),Assumptions!$B$13)</f>
        <v>3640</v>
      </c>
      <c r="D51" s="18" t="n">
        <f aca="false">SUM(B51:C51)</f>
        <v>40927.24</v>
      </c>
      <c r="E51" s="18" t="n">
        <f aca="false">ROUND(D51/Assumptions!$F$7,Assumptions!$B$10)</f>
        <v>40322.4</v>
      </c>
      <c r="F51" s="18" t="n">
        <f aca="false">ROUND(E51*Assumptions!$C$7,Assumptions!$B$10)</f>
        <v>2217.73</v>
      </c>
      <c r="G51" s="18" t="n">
        <f aca="false">SUM(E51:F51)</f>
        <v>42540.13</v>
      </c>
      <c r="H51" s="18" t="n">
        <f aca="false">ROUND(G51-'Cohort Data'!H51,Assumptions!$B$10)</f>
        <v>12588.13</v>
      </c>
      <c r="I51" s="18" t="n">
        <f aca="false">CEILING(G51,Assumptions!$B$12)</f>
        <v>42600</v>
      </c>
      <c r="J51" s="18" t="n">
        <f aca="false">FLOOR(G51,Assumptions!$B$12)</f>
        <v>42500</v>
      </c>
      <c r="K51" s="18" t="n">
        <f aca="false">ROUNDUP(G51,Assumptions!$B$10)</f>
        <v>42540.14</v>
      </c>
      <c r="L51" s="18" t="n">
        <f aca="false">ROUNDDOWN(G51,Assumptions!$B$10)</f>
        <v>42540.13</v>
      </c>
      <c r="M51" s="19" t="n">
        <f aca="false">INT('Cohort Data'!E51/Assumptions!$B$11)</f>
        <v>1</v>
      </c>
    </row>
    <row r="52" customFormat="false" ht="15" hidden="false" customHeight="false" outlineLevel="0" collapsed="false">
      <c r="A52" s="2" t="s">
        <v>152</v>
      </c>
      <c r="B52" s="18" t="n">
        <f aca="false">IF('Cohort Data'!D52=Assumptions!$B$16,ROUND('Cohort Data'!L52*'Cohort Data'!K52*Assumptions!$F$5,Assumptions!$B$10),Assumptions!$B$13)</f>
        <v>14618.05</v>
      </c>
      <c r="C52" s="18" t="n">
        <f aca="false">IF('Cohort Data'!D52=Assumptions!$B$16,ROUND('Cohort Data'!E52*Assumptions!$C$6,Assumptions!$B$10),Assumptions!$B$13)</f>
        <v>2765</v>
      </c>
      <c r="D52" s="18" t="n">
        <f aca="false">SUM(B52:C52)</f>
        <v>17383.05</v>
      </c>
      <c r="E52" s="18" t="n">
        <f aca="false">ROUND(D52/Assumptions!$F$7,Assumptions!$B$10)</f>
        <v>17126.16</v>
      </c>
      <c r="F52" s="18" t="n">
        <f aca="false">ROUND(E52*Assumptions!$C$7,Assumptions!$B$10)</f>
        <v>941.94</v>
      </c>
      <c r="G52" s="18" t="n">
        <f aca="false">SUM(E52:F52)</f>
        <v>18068.1</v>
      </c>
      <c r="H52" s="18" t="n">
        <f aca="false">ROUND(G52-'Cohort Data'!H52,Assumptions!$B$10)</f>
        <v>6562.7</v>
      </c>
      <c r="I52" s="18" t="n">
        <f aca="false">CEILING(G52,Assumptions!$B$12)</f>
        <v>18100</v>
      </c>
      <c r="J52" s="18" t="n">
        <f aca="false">FLOOR(G52,Assumptions!$B$12)</f>
        <v>18000</v>
      </c>
      <c r="K52" s="18" t="n">
        <f aca="false">ROUNDUP(G52,Assumptions!$B$10)</f>
        <v>18068.1</v>
      </c>
      <c r="L52" s="18" t="n">
        <f aca="false">ROUNDDOWN(G52,Assumptions!$B$10)</f>
        <v>18068.1</v>
      </c>
      <c r="M52" s="19" t="n">
        <f aca="false">INT('Cohort Data'!E52/Assumptions!$B$11)</f>
        <v>0</v>
      </c>
    </row>
    <row r="53" customFormat="false" ht="15" hidden="false" customHeight="false" outlineLevel="0" collapsed="false">
      <c r="A53" s="2" t="s">
        <v>153</v>
      </c>
      <c r="B53" s="18" t="n">
        <f aca="false">IF('Cohort Data'!D53=Assumptions!$B$16,ROUND('Cohort Data'!L53*'Cohort Data'!K53*Assumptions!$F$5,Assumptions!$B$10),Assumptions!$B$13)</f>
        <v>37426.82</v>
      </c>
      <c r="C53" s="18" t="n">
        <f aca="false">IF('Cohort Data'!D53=Assumptions!$B$16,ROUND('Cohort Data'!E53*Assumptions!$C$6,Assumptions!$B$10),Assumptions!$B$13)</f>
        <v>3990</v>
      </c>
      <c r="D53" s="18" t="n">
        <f aca="false">SUM(B53:C53)</f>
        <v>41416.82</v>
      </c>
      <c r="E53" s="18" t="n">
        <f aca="false">ROUND(D53/Assumptions!$F$7,Assumptions!$B$10)</f>
        <v>40804.75</v>
      </c>
      <c r="F53" s="18" t="n">
        <f aca="false">ROUND(E53*Assumptions!$C$7,Assumptions!$B$10)</f>
        <v>2244.26</v>
      </c>
      <c r="G53" s="18" t="n">
        <f aca="false">SUM(E53:F53)</f>
        <v>43049.01</v>
      </c>
      <c r="H53" s="18" t="n">
        <f aca="false">ROUND(G53-'Cohort Data'!H53,Assumptions!$B$10)</f>
        <v>12817.58</v>
      </c>
      <c r="I53" s="18" t="n">
        <f aca="false">CEILING(G53,Assumptions!$B$12)</f>
        <v>43100</v>
      </c>
      <c r="J53" s="18" t="n">
        <f aca="false">FLOOR(G53,Assumptions!$B$12)</f>
        <v>43000</v>
      </c>
      <c r="K53" s="18" t="n">
        <f aca="false">ROUNDUP(G53,Assumptions!$B$10)</f>
        <v>43049.01</v>
      </c>
      <c r="L53" s="18" t="n">
        <f aca="false">ROUNDDOWN(G53,Assumptions!$B$10)</f>
        <v>43049.01</v>
      </c>
      <c r="M53" s="19" t="n">
        <f aca="false">INT('Cohort Data'!E53/Assumptions!$B$11)</f>
        <v>1</v>
      </c>
    </row>
    <row r="54" customFormat="false" ht="15" hidden="false" customHeight="false" outlineLevel="0" collapsed="false">
      <c r="A54" s="2" t="s">
        <v>154</v>
      </c>
      <c r="B54" s="18" t="n">
        <f aca="false">IF('Cohort Data'!D54=Assumptions!$B$16,ROUND('Cohort Data'!L54*'Cohort Data'!K54*Assumptions!$F$5,Assumptions!$B$10),Assumptions!$B$13)</f>
        <v>50194.37</v>
      </c>
      <c r="C54" s="18" t="n">
        <f aca="false">IF('Cohort Data'!D54=Assumptions!$B$16,ROUND('Cohort Data'!E54*Assumptions!$C$6,Assumptions!$B$10),Assumptions!$B$13)</f>
        <v>4900</v>
      </c>
      <c r="D54" s="18" t="n">
        <f aca="false">SUM(B54:C54)</f>
        <v>55094.37</v>
      </c>
      <c r="E54" s="18" t="n">
        <f aca="false">ROUND(D54/Assumptions!$F$7,Assumptions!$B$10)</f>
        <v>54280.17</v>
      </c>
      <c r="F54" s="18" t="n">
        <f aca="false">ROUND(E54*Assumptions!$C$7,Assumptions!$B$10)</f>
        <v>2985.41</v>
      </c>
      <c r="G54" s="18" t="n">
        <f aca="false">SUM(E54:F54)</f>
        <v>57265.58</v>
      </c>
      <c r="H54" s="18" t="n">
        <f aca="false">ROUND(G54-'Cohort Data'!H54,Assumptions!$B$10)</f>
        <v>18558.38</v>
      </c>
      <c r="I54" s="18" t="n">
        <f aca="false">CEILING(G54,Assumptions!$B$12)</f>
        <v>57300</v>
      </c>
      <c r="J54" s="18" t="n">
        <f aca="false">FLOOR(G54,Assumptions!$B$12)</f>
        <v>57200</v>
      </c>
      <c r="K54" s="18" t="n">
        <f aca="false">ROUNDUP(G54,Assumptions!$B$10)</f>
        <v>57265.58</v>
      </c>
      <c r="L54" s="18" t="n">
        <f aca="false">ROUNDDOWN(G54,Assumptions!$B$10)</f>
        <v>57265.58</v>
      </c>
      <c r="M54" s="19" t="n">
        <f aca="false">INT('Cohort Data'!E54/Assumptions!$B$11)</f>
        <v>1</v>
      </c>
    </row>
    <row r="55" customFormat="false" ht="15" hidden="false" customHeight="false" outlineLevel="0" collapsed="false">
      <c r="A55" s="2" t="s">
        <v>155</v>
      </c>
      <c r="B55" s="18" t="n">
        <f aca="false">IF('Cohort Data'!D55=Assumptions!$B$16,ROUND('Cohort Data'!L55*'Cohort Data'!K55*Assumptions!$F$5,Assumptions!$B$10),Assumptions!$B$13)</f>
        <v>27138.99</v>
      </c>
      <c r="C55" s="18" t="n">
        <f aca="false">IF('Cohort Data'!D55=Assumptions!$B$16,ROUND('Cohort Data'!E55*Assumptions!$C$6,Assumptions!$B$10),Assumptions!$B$13)</f>
        <v>6300</v>
      </c>
      <c r="D55" s="18" t="n">
        <f aca="false">SUM(B55:C55)</f>
        <v>33438.99</v>
      </c>
      <c r="E55" s="18" t="n">
        <f aca="false">ROUND(D55/Assumptions!$F$7,Assumptions!$B$10)</f>
        <v>32944.82</v>
      </c>
      <c r="F55" s="18" t="n">
        <f aca="false">ROUND(E55*Assumptions!$C$7,Assumptions!$B$10)</f>
        <v>1811.97</v>
      </c>
      <c r="G55" s="18" t="n">
        <f aca="false">SUM(E55:F55)</f>
        <v>34756.79</v>
      </c>
      <c r="H55" s="18" t="n">
        <f aca="false">ROUND(G55-'Cohort Data'!H55,Assumptions!$B$10)</f>
        <v>13396.55</v>
      </c>
      <c r="I55" s="18" t="n">
        <f aca="false">CEILING(G55,Assumptions!$B$12)</f>
        <v>34800</v>
      </c>
      <c r="J55" s="18" t="n">
        <f aca="false">FLOOR(G55,Assumptions!$B$12)</f>
        <v>34700</v>
      </c>
      <c r="K55" s="18" t="n">
        <f aca="false">ROUNDUP(G55,Assumptions!$B$10)</f>
        <v>34756.79</v>
      </c>
      <c r="L55" s="18" t="n">
        <f aca="false">ROUNDDOWN(G55,Assumptions!$B$10)</f>
        <v>34756.79</v>
      </c>
      <c r="M55" s="19" t="n">
        <f aca="false">INT('Cohort Data'!E55/Assumptions!$B$11)</f>
        <v>1</v>
      </c>
    </row>
    <row r="56" customFormat="false" ht="15" hidden="false" customHeight="false" outlineLevel="0" collapsed="false">
      <c r="A56" s="2" t="s">
        <v>156</v>
      </c>
      <c r="B56" s="18" t="n">
        <f aca="false">IF('Cohort Data'!D56=Assumptions!$B$16,ROUND('Cohort Data'!L56*'Cohort Data'!K56*Assumptions!$F$5,Assumptions!$B$10),Assumptions!$B$13)</f>
        <v>50086.6</v>
      </c>
      <c r="C56" s="18" t="n">
        <f aca="false">IF('Cohort Data'!D56=Assumptions!$B$16,ROUND('Cohort Data'!E56*Assumptions!$C$6,Assumptions!$B$10),Assumptions!$B$13)</f>
        <v>4865</v>
      </c>
      <c r="D56" s="18" t="n">
        <f aca="false">SUM(B56:C56)</f>
        <v>54951.6</v>
      </c>
      <c r="E56" s="18" t="n">
        <f aca="false">ROUND(D56/Assumptions!$F$7,Assumptions!$B$10)</f>
        <v>54139.51</v>
      </c>
      <c r="F56" s="18" t="n">
        <f aca="false">ROUND(E56*Assumptions!$C$7,Assumptions!$B$10)</f>
        <v>2977.67</v>
      </c>
      <c r="G56" s="18" t="n">
        <f aca="false">SUM(E56:F56)</f>
        <v>57117.18</v>
      </c>
      <c r="H56" s="18" t="n">
        <f aca="false">ROUND(G56-'Cohort Data'!H56,Assumptions!$B$10)</f>
        <v>18723.99</v>
      </c>
      <c r="I56" s="18" t="n">
        <f aca="false">CEILING(G56,Assumptions!$B$12)</f>
        <v>57200</v>
      </c>
      <c r="J56" s="18" t="n">
        <f aca="false">FLOOR(G56,Assumptions!$B$12)</f>
        <v>57100</v>
      </c>
      <c r="K56" s="18" t="n">
        <f aca="false">ROUNDUP(G56,Assumptions!$B$10)</f>
        <v>57117.18</v>
      </c>
      <c r="L56" s="18" t="n">
        <f aca="false">ROUNDDOWN(G56,Assumptions!$B$10)</f>
        <v>57117.18</v>
      </c>
      <c r="M56" s="19" t="n">
        <f aca="false">INT('Cohort Data'!E56/Assumptions!$B$11)</f>
        <v>1</v>
      </c>
    </row>
    <row r="57" customFormat="false" ht="15" hidden="false" customHeight="false" outlineLevel="0" collapsed="false">
      <c r="A57" s="2" t="s">
        <v>157</v>
      </c>
      <c r="B57" s="18" t="n">
        <f aca="false">IF('Cohort Data'!D57=Assumptions!$B$16,ROUND('Cohort Data'!L57*'Cohort Data'!K57*Assumptions!$F$5,Assumptions!$B$10),Assumptions!$B$13)</f>
        <v>85563.47</v>
      </c>
      <c r="C57" s="18" t="n">
        <f aca="false">IF('Cohort Data'!D57=Assumptions!$B$16,ROUND('Cohort Data'!E57*Assumptions!$C$6,Assumptions!$B$10),Assumptions!$B$13)</f>
        <v>7770</v>
      </c>
      <c r="D57" s="18" t="n">
        <f aca="false">SUM(B57:C57)</f>
        <v>93333.47</v>
      </c>
      <c r="E57" s="18" t="n">
        <f aca="false">ROUND(D57/Assumptions!$F$7,Assumptions!$B$10)</f>
        <v>91954.16</v>
      </c>
      <c r="F57" s="18" t="n">
        <f aca="false">ROUND(E57*Assumptions!$C$7,Assumptions!$B$10)</f>
        <v>5057.48</v>
      </c>
      <c r="G57" s="18" t="n">
        <f aca="false">SUM(E57:F57)</f>
        <v>97011.64</v>
      </c>
      <c r="H57" s="18" t="n">
        <f aca="false">ROUND(G57-'Cohort Data'!H57,Assumptions!$B$10)</f>
        <v>31029.69</v>
      </c>
      <c r="I57" s="18" t="n">
        <f aca="false">CEILING(G57,Assumptions!$B$12)</f>
        <v>97100</v>
      </c>
      <c r="J57" s="18" t="n">
        <f aca="false">FLOOR(G57,Assumptions!$B$12)</f>
        <v>97000</v>
      </c>
      <c r="K57" s="18" t="n">
        <f aca="false">ROUNDUP(G57,Assumptions!$B$10)</f>
        <v>97011.64</v>
      </c>
      <c r="L57" s="18" t="n">
        <f aca="false">ROUNDDOWN(G57,Assumptions!$B$10)</f>
        <v>97011.64</v>
      </c>
      <c r="M57" s="19" t="n">
        <f aca="false">INT('Cohort Data'!E57/Assumptions!$B$11)</f>
        <v>2</v>
      </c>
    </row>
    <row r="58" customFormat="false" ht="15" hidden="false" customHeight="false" outlineLevel="0" collapsed="false">
      <c r="A58" s="2" t="s">
        <v>158</v>
      </c>
      <c r="B58" s="18" t="n">
        <f aca="false">IF('Cohort Data'!D58=Assumptions!$B$16,ROUND('Cohort Data'!L58*'Cohort Data'!K58*Assumptions!$F$5,Assumptions!$B$10),Assumptions!$B$13)</f>
        <v>47493.23</v>
      </c>
      <c r="C58" s="18" t="n">
        <f aca="false">IF('Cohort Data'!D58=Assumptions!$B$16,ROUND('Cohort Data'!E58*Assumptions!$C$6,Assumptions!$B$10),Assumptions!$B$13)</f>
        <v>5775</v>
      </c>
      <c r="D58" s="18" t="n">
        <f aca="false">SUM(B58:C58)</f>
        <v>53268.23</v>
      </c>
      <c r="E58" s="18" t="n">
        <f aca="false">ROUND(D58/Assumptions!$F$7,Assumptions!$B$10)</f>
        <v>52481.01</v>
      </c>
      <c r="F58" s="18" t="n">
        <f aca="false">ROUND(E58*Assumptions!$C$7,Assumptions!$B$10)</f>
        <v>2886.46</v>
      </c>
      <c r="G58" s="18" t="n">
        <f aca="false">SUM(E58:F58)</f>
        <v>55367.47</v>
      </c>
      <c r="H58" s="18" t="n">
        <f aca="false">ROUND(G58-'Cohort Data'!H58,Assumptions!$B$10)</f>
        <v>15575.41</v>
      </c>
      <c r="I58" s="18" t="n">
        <f aca="false">CEILING(G58,Assumptions!$B$12)</f>
        <v>55400</v>
      </c>
      <c r="J58" s="18" t="n">
        <f aca="false">FLOOR(G58,Assumptions!$B$12)</f>
        <v>55300</v>
      </c>
      <c r="K58" s="18" t="n">
        <f aca="false">ROUNDUP(G58,Assumptions!$B$10)</f>
        <v>55367.47</v>
      </c>
      <c r="L58" s="18" t="n">
        <f aca="false">ROUNDDOWN(G58,Assumptions!$B$10)</f>
        <v>55367.47</v>
      </c>
      <c r="M58" s="19" t="n">
        <f aca="false">INT('Cohort Data'!E58/Assumptions!$B$11)</f>
        <v>1</v>
      </c>
    </row>
    <row r="59" customFormat="false" ht="15" hidden="false" customHeight="false" outlineLevel="0" collapsed="false">
      <c r="A59" s="2" t="s">
        <v>159</v>
      </c>
      <c r="B59" s="18" t="n">
        <f aca="false">IF('Cohort Data'!D59=Assumptions!$B$16,ROUND('Cohort Data'!L59*'Cohort Data'!K59*Assumptions!$F$5,Assumptions!$B$10),Assumptions!$B$13)</f>
        <v>55972.08</v>
      </c>
      <c r="C59" s="18" t="n">
        <f aca="false">IF('Cohort Data'!D59=Assumptions!$B$16,ROUND('Cohort Data'!E59*Assumptions!$C$6,Assumptions!$B$10),Assumptions!$B$13)</f>
        <v>8155</v>
      </c>
      <c r="D59" s="18" t="n">
        <f aca="false">SUM(B59:C59)</f>
        <v>64127.08</v>
      </c>
      <c r="E59" s="18" t="n">
        <f aca="false">ROUND(D59/Assumptions!$F$7,Assumptions!$B$10)</f>
        <v>63179.39</v>
      </c>
      <c r="F59" s="18" t="n">
        <f aca="false">ROUND(E59*Assumptions!$C$7,Assumptions!$B$10)</f>
        <v>3474.87</v>
      </c>
      <c r="G59" s="18" t="n">
        <f aca="false">SUM(E59:F59)</f>
        <v>66654.26</v>
      </c>
      <c r="H59" s="18" t="n">
        <f aca="false">ROUND(G59-'Cohort Data'!H59,Assumptions!$B$10)</f>
        <v>25133.66</v>
      </c>
      <c r="I59" s="18" t="n">
        <f aca="false">CEILING(G59,Assumptions!$B$12)</f>
        <v>66700</v>
      </c>
      <c r="J59" s="18" t="n">
        <f aca="false">FLOOR(G59,Assumptions!$B$12)</f>
        <v>66600</v>
      </c>
      <c r="K59" s="18" t="n">
        <f aca="false">ROUNDUP(G59,Assumptions!$B$10)</f>
        <v>66654.26</v>
      </c>
      <c r="L59" s="18" t="n">
        <f aca="false">ROUNDDOWN(G59,Assumptions!$B$10)</f>
        <v>66654.26</v>
      </c>
      <c r="M59" s="19" t="n">
        <f aca="false">INT('Cohort Data'!E59/Assumptions!$B$11)</f>
        <v>2</v>
      </c>
    </row>
    <row r="60" customFormat="false" ht="15" hidden="false" customHeight="false" outlineLevel="0" collapsed="false">
      <c r="A60" s="2" t="s">
        <v>160</v>
      </c>
      <c r="B60" s="18" t="n">
        <f aca="false">IF('Cohort Data'!D60=Assumptions!$B$16,ROUND('Cohort Data'!L60*'Cohort Data'!K60*Assumptions!$F$5,Assumptions!$B$10),Assumptions!$B$13)</f>
        <v>0</v>
      </c>
      <c r="C60" s="18" t="n">
        <f aca="false">IF('Cohort Data'!D60=Assumptions!$B$16,ROUND('Cohort Data'!E60*Assumptions!$C$6,Assumptions!$B$10),Assumptions!$B$13)</f>
        <v>0</v>
      </c>
      <c r="D60" s="18" t="n">
        <f aca="false">SUM(B60:C60)</f>
        <v>0</v>
      </c>
      <c r="E60" s="18" t="n">
        <f aca="false">ROUND(D60/Assumptions!$F$7,Assumptions!$B$10)</f>
        <v>0</v>
      </c>
      <c r="F60" s="18" t="n">
        <f aca="false">ROUND(E60*Assumptions!$C$7,Assumptions!$B$10)</f>
        <v>0</v>
      </c>
      <c r="G60" s="18" t="n">
        <f aca="false">SUM(E60:F60)</f>
        <v>0</v>
      </c>
      <c r="H60" s="18" t="n">
        <f aca="false">ROUND(G60-'Cohort Data'!H60,Assumptions!$B$10)</f>
        <v>-53184.1</v>
      </c>
      <c r="I60" s="18" t="n">
        <f aca="false">CEILING(G60,Assumptions!$B$12)</f>
        <v>0</v>
      </c>
      <c r="J60" s="18" t="n">
        <f aca="false">FLOOR(G60,Assumptions!$B$12)</f>
        <v>0</v>
      </c>
      <c r="K60" s="18" t="n">
        <f aca="false">ROUNDUP(G60,Assumptions!$B$10)</f>
        <v>0</v>
      </c>
      <c r="L60" s="18" t="n">
        <f aca="false">ROUNDDOWN(G60,Assumptions!$B$10)</f>
        <v>0</v>
      </c>
      <c r="M60" s="19" t="n">
        <f aca="false">INT('Cohort Data'!E60/Assumptions!$B$11)</f>
        <v>2</v>
      </c>
    </row>
    <row r="61" customFormat="false" ht="15" hidden="false" customHeight="false" outlineLevel="0" collapsed="false">
      <c r="A61" s="2" t="s">
        <v>161</v>
      </c>
      <c r="B61" s="18" t="n">
        <f aca="false">IF('Cohort Data'!D61=Assumptions!$B$16,ROUND('Cohort Data'!L61*'Cohort Data'!K61*Assumptions!$F$5,Assumptions!$B$10),Assumptions!$B$13)</f>
        <v>21409.65</v>
      </c>
      <c r="C61" s="18" t="n">
        <f aca="false">IF('Cohort Data'!D61=Assumptions!$B$16,ROUND('Cohort Data'!E61*Assumptions!$C$6,Assumptions!$B$10),Assumptions!$B$13)</f>
        <v>2485</v>
      </c>
      <c r="D61" s="18" t="n">
        <f aca="false">SUM(B61:C61)</f>
        <v>23894.65</v>
      </c>
      <c r="E61" s="18" t="n">
        <f aca="false">ROUND(D61/Assumptions!$F$7,Assumptions!$B$10)</f>
        <v>23541.53</v>
      </c>
      <c r="F61" s="18" t="n">
        <f aca="false">ROUND(E61*Assumptions!$C$7,Assumptions!$B$10)</f>
        <v>1294.78</v>
      </c>
      <c r="G61" s="18" t="n">
        <f aca="false">SUM(E61:F61)</f>
        <v>24836.31</v>
      </c>
      <c r="H61" s="18" t="n">
        <f aca="false">ROUND(G61-'Cohort Data'!H61,Assumptions!$B$10)</f>
        <v>7985.45</v>
      </c>
      <c r="I61" s="18" t="n">
        <f aca="false">CEILING(G61,Assumptions!$B$12)</f>
        <v>24900</v>
      </c>
      <c r="J61" s="18" t="n">
        <f aca="false">FLOOR(G61,Assumptions!$B$12)</f>
        <v>24800</v>
      </c>
      <c r="K61" s="18" t="n">
        <f aca="false">ROUNDUP(G61,Assumptions!$B$10)</f>
        <v>24836.31</v>
      </c>
      <c r="L61" s="18" t="n">
        <f aca="false">ROUNDDOWN(G61,Assumptions!$B$10)</f>
        <v>24836.31</v>
      </c>
      <c r="M61" s="19" t="n">
        <f aca="false">INT('Cohort Data'!E61/Assumptions!$B$11)</f>
        <v>0</v>
      </c>
    </row>
    <row r="62" customFormat="false" ht="15" hidden="false" customHeight="false" outlineLevel="0" collapsed="false">
      <c r="A62" s="2" t="s">
        <v>162</v>
      </c>
      <c r="B62" s="18" t="n">
        <f aca="false">IF('Cohort Data'!D62=Assumptions!$B$16,ROUND('Cohort Data'!L62*'Cohort Data'!K62*Assumptions!$F$5,Assumptions!$B$10),Assumptions!$B$13)</f>
        <v>46803.55</v>
      </c>
      <c r="C62" s="18" t="n">
        <f aca="false">IF('Cohort Data'!D62=Assumptions!$B$16,ROUND('Cohort Data'!E62*Assumptions!$C$6,Assumptions!$B$10),Assumptions!$B$13)</f>
        <v>5845</v>
      </c>
      <c r="D62" s="18" t="n">
        <f aca="false">SUM(B62:C62)</f>
        <v>52648.55</v>
      </c>
      <c r="E62" s="18" t="n">
        <f aca="false">ROUND(D62/Assumptions!$F$7,Assumptions!$B$10)</f>
        <v>51870.49</v>
      </c>
      <c r="F62" s="18" t="n">
        <f aca="false">ROUND(E62*Assumptions!$C$7,Assumptions!$B$10)</f>
        <v>2852.88</v>
      </c>
      <c r="G62" s="18" t="n">
        <f aca="false">SUM(E62:F62)</f>
        <v>54723.37</v>
      </c>
      <c r="H62" s="18" t="n">
        <f aca="false">ROUND(G62-'Cohort Data'!H62,Assumptions!$B$10)</f>
        <v>16532.14</v>
      </c>
      <c r="I62" s="18" t="n">
        <f aca="false">CEILING(G62,Assumptions!$B$12)</f>
        <v>54800</v>
      </c>
      <c r="J62" s="18" t="n">
        <f aca="false">FLOOR(G62,Assumptions!$B$12)</f>
        <v>54700</v>
      </c>
      <c r="K62" s="18" t="n">
        <f aca="false">ROUNDUP(G62,Assumptions!$B$10)</f>
        <v>54723.37</v>
      </c>
      <c r="L62" s="18" t="n">
        <f aca="false">ROUNDDOWN(G62,Assumptions!$B$10)</f>
        <v>54723.36</v>
      </c>
      <c r="M62" s="19" t="n">
        <f aca="false">INT('Cohort Data'!E62/Assumptions!$B$11)</f>
        <v>1</v>
      </c>
    </row>
    <row r="63" customFormat="false" ht="15" hidden="false" customHeight="false" outlineLevel="0" collapsed="false">
      <c r="A63" s="2" t="s">
        <v>163</v>
      </c>
      <c r="B63" s="18" t="n">
        <f aca="false">IF('Cohort Data'!D63=Assumptions!$B$16,ROUND('Cohort Data'!L63*'Cohort Data'!K63*Assumptions!$F$5,Assumptions!$B$10),Assumptions!$B$13)</f>
        <v>24093.3</v>
      </c>
      <c r="C63" s="18" t="n">
        <f aca="false">IF('Cohort Data'!D63=Assumptions!$B$16,ROUND('Cohort Data'!E63*Assumptions!$C$6,Assumptions!$B$10),Assumptions!$B$13)</f>
        <v>2940</v>
      </c>
      <c r="D63" s="18" t="n">
        <f aca="false">SUM(B63:C63)</f>
        <v>27033.3</v>
      </c>
      <c r="E63" s="18" t="n">
        <f aca="false">ROUND(D63/Assumptions!$F$7,Assumptions!$B$10)</f>
        <v>26633.79</v>
      </c>
      <c r="F63" s="18" t="n">
        <f aca="false">ROUND(E63*Assumptions!$C$7,Assumptions!$B$10)</f>
        <v>1464.86</v>
      </c>
      <c r="G63" s="18" t="n">
        <f aca="false">SUM(E63:F63)</f>
        <v>28098.65</v>
      </c>
      <c r="H63" s="18" t="n">
        <f aca="false">ROUND(G63-'Cohort Data'!H63,Assumptions!$B$10)</f>
        <v>9906.27</v>
      </c>
      <c r="I63" s="18" t="n">
        <f aca="false">CEILING(G63,Assumptions!$B$12)</f>
        <v>28100</v>
      </c>
      <c r="J63" s="18" t="n">
        <f aca="false">FLOOR(G63,Assumptions!$B$12)</f>
        <v>28000</v>
      </c>
      <c r="K63" s="18" t="n">
        <f aca="false">ROUNDUP(G63,Assumptions!$B$10)</f>
        <v>28098.65</v>
      </c>
      <c r="L63" s="18" t="n">
        <f aca="false">ROUNDDOWN(G63,Assumptions!$B$10)</f>
        <v>28098.65</v>
      </c>
      <c r="M63" s="19" t="n">
        <f aca="false">INT('Cohort Data'!E63/Assumptions!$B$11)</f>
        <v>0</v>
      </c>
    </row>
    <row r="64" customFormat="false" ht="15" hidden="false" customHeight="false" outlineLevel="0" collapsed="false">
      <c r="A64" s="2" t="s">
        <v>164</v>
      </c>
      <c r="B64" s="18" t="n">
        <f aca="false">IF('Cohort Data'!D64=Assumptions!$B$16,ROUND('Cohort Data'!L64*'Cohort Data'!K64*Assumptions!$F$5,Assumptions!$B$10),Assumptions!$B$13)</f>
        <v>21793.43</v>
      </c>
      <c r="C64" s="18" t="n">
        <f aca="false">IF('Cohort Data'!D64=Assumptions!$B$16,ROUND('Cohort Data'!E64*Assumptions!$C$6,Assumptions!$B$10),Assumptions!$B$13)</f>
        <v>5565</v>
      </c>
      <c r="D64" s="18" t="n">
        <f aca="false">SUM(B64:C64)</f>
        <v>27358.43</v>
      </c>
      <c r="E64" s="18" t="n">
        <f aca="false">ROUND(D64/Assumptions!$F$7,Assumptions!$B$10)</f>
        <v>26954.12</v>
      </c>
      <c r="F64" s="18" t="n">
        <f aca="false">ROUND(E64*Assumptions!$C$7,Assumptions!$B$10)</f>
        <v>1482.48</v>
      </c>
      <c r="G64" s="18" t="n">
        <f aca="false">SUM(E64:F64)</f>
        <v>28436.6</v>
      </c>
      <c r="H64" s="18" t="n">
        <f aca="false">ROUND(G64-'Cohort Data'!H64,Assumptions!$B$10)</f>
        <v>10914.8</v>
      </c>
      <c r="I64" s="18" t="n">
        <f aca="false">CEILING(G64,Assumptions!$B$12)</f>
        <v>28500</v>
      </c>
      <c r="J64" s="18" t="n">
        <f aca="false">FLOOR(G64,Assumptions!$B$12)</f>
        <v>28400</v>
      </c>
      <c r="K64" s="18" t="n">
        <f aca="false">ROUNDUP(G64,Assumptions!$B$10)</f>
        <v>28436.6</v>
      </c>
      <c r="L64" s="18" t="n">
        <f aca="false">ROUNDDOWN(G64,Assumptions!$B$10)</f>
        <v>28436.6</v>
      </c>
      <c r="M64" s="19" t="n">
        <f aca="false">INT('Cohort Data'!E64/Assumptions!$B$11)</f>
        <v>1</v>
      </c>
    </row>
    <row r="65" customFormat="false" ht="15" hidden="false" customHeight="false" outlineLevel="0" collapsed="false">
      <c r="A65" s="2" t="s">
        <v>165</v>
      </c>
      <c r="B65" s="18" t="n">
        <f aca="false">IF('Cohort Data'!D65=Assumptions!$B$16,ROUND('Cohort Data'!L65*'Cohort Data'!K65*Assumptions!$F$5,Assumptions!$B$10),Assumptions!$B$13)</f>
        <v>70465.56</v>
      </c>
      <c r="C65" s="18" t="n">
        <f aca="false">IF('Cohort Data'!D65=Assumptions!$B$16,ROUND('Cohort Data'!E65*Assumptions!$C$6,Assumptions!$B$10),Assumptions!$B$13)</f>
        <v>7700</v>
      </c>
      <c r="D65" s="18" t="n">
        <f aca="false">SUM(B65:C65)</f>
        <v>78165.56</v>
      </c>
      <c r="E65" s="18" t="n">
        <f aca="false">ROUND(D65/Assumptions!$F$7,Assumptions!$B$10)</f>
        <v>77010.4</v>
      </c>
      <c r="F65" s="18" t="n">
        <f aca="false">ROUND(E65*Assumptions!$C$7,Assumptions!$B$10)</f>
        <v>4235.57</v>
      </c>
      <c r="G65" s="18" t="n">
        <f aca="false">SUM(E65:F65)</f>
        <v>81245.97</v>
      </c>
      <c r="H65" s="18" t="n">
        <f aca="false">ROUND(G65-'Cohort Data'!H65,Assumptions!$B$10)</f>
        <v>26650.77</v>
      </c>
      <c r="I65" s="18" t="n">
        <f aca="false">CEILING(G65,Assumptions!$B$12)</f>
        <v>81300</v>
      </c>
      <c r="J65" s="18" t="n">
        <f aca="false">FLOOR(G65,Assumptions!$B$12)</f>
        <v>81200</v>
      </c>
      <c r="K65" s="18" t="n">
        <f aca="false">ROUNDUP(G65,Assumptions!$B$10)</f>
        <v>81245.97</v>
      </c>
      <c r="L65" s="18" t="n">
        <f aca="false">ROUNDDOWN(G65,Assumptions!$B$10)</f>
        <v>81245.97</v>
      </c>
      <c r="M65" s="19" t="n">
        <f aca="false">INT('Cohort Data'!E65/Assumptions!$B$11)</f>
        <v>2</v>
      </c>
    </row>
    <row r="66" customFormat="false" ht="15" hidden="false" customHeight="false" outlineLevel="0" collapsed="false">
      <c r="A66" s="2" t="s">
        <v>166</v>
      </c>
      <c r="B66" s="18" t="n">
        <f aca="false">IF('Cohort Data'!D66=Assumptions!$B$16,ROUND('Cohort Data'!L66*'Cohort Data'!K66*Assumptions!$F$5,Assumptions!$B$10),Assumptions!$B$13)</f>
        <v>72396.41</v>
      </c>
      <c r="C66" s="18" t="n">
        <f aca="false">IF('Cohort Data'!D66=Assumptions!$B$16,ROUND('Cohort Data'!E66*Assumptions!$C$6,Assumptions!$B$10),Assumptions!$B$13)</f>
        <v>6895</v>
      </c>
      <c r="D66" s="18" t="n">
        <f aca="false">SUM(B66:C66)</f>
        <v>79291.41</v>
      </c>
      <c r="E66" s="18" t="n">
        <f aca="false">ROUND(D66/Assumptions!$F$7,Assumptions!$B$10)</f>
        <v>78119.62</v>
      </c>
      <c r="F66" s="18" t="n">
        <f aca="false">ROUND(E66*Assumptions!$C$7,Assumptions!$B$10)</f>
        <v>4296.58</v>
      </c>
      <c r="G66" s="18" t="n">
        <f aca="false">SUM(E66:F66)</f>
        <v>82416.2</v>
      </c>
      <c r="H66" s="18" t="n">
        <f aca="false">ROUND(G66-'Cohort Data'!H66,Assumptions!$B$10)</f>
        <v>27169.52</v>
      </c>
      <c r="I66" s="18" t="n">
        <f aca="false">CEILING(G66,Assumptions!$B$12)</f>
        <v>82500</v>
      </c>
      <c r="J66" s="18" t="n">
        <f aca="false">FLOOR(G66,Assumptions!$B$12)</f>
        <v>82400</v>
      </c>
      <c r="K66" s="18" t="n">
        <f aca="false">ROUNDUP(G66,Assumptions!$B$10)</f>
        <v>82416.2</v>
      </c>
      <c r="L66" s="18" t="n">
        <f aca="false">ROUNDDOWN(G66,Assumptions!$B$10)</f>
        <v>82416.2</v>
      </c>
      <c r="M66" s="19" t="n">
        <f aca="false">INT('Cohort Data'!E66/Assumptions!$B$11)</f>
        <v>1</v>
      </c>
    </row>
    <row r="67" customFormat="false" ht="15" hidden="false" customHeight="false" outlineLevel="0" collapsed="false">
      <c r="A67" s="2" t="s">
        <v>167</v>
      </c>
      <c r="B67" s="18" t="n">
        <f aca="false">IF('Cohort Data'!D67=Assumptions!$B$16,ROUND('Cohort Data'!L67*'Cohort Data'!K67*Assumptions!$F$5,Assumptions!$B$10),Assumptions!$B$13)</f>
        <v>17763.7</v>
      </c>
      <c r="C67" s="18" t="n">
        <f aca="false">IF('Cohort Data'!D67=Assumptions!$B$16,ROUND('Cohort Data'!E67*Assumptions!$C$6,Assumptions!$B$10),Assumptions!$B$13)</f>
        <v>3360</v>
      </c>
      <c r="D67" s="18" t="n">
        <f aca="false">SUM(B67:C67)</f>
        <v>21123.7</v>
      </c>
      <c r="E67" s="18" t="n">
        <f aca="false">ROUND(D67/Assumptions!$F$7,Assumptions!$B$10)</f>
        <v>20811.53</v>
      </c>
      <c r="F67" s="18" t="n">
        <f aca="false">ROUND(E67*Assumptions!$C$7,Assumptions!$B$10)</f>
        <v>1144.63</v>
      </c>
      <c r="G67" s="18" t="n">
        <f aca="false">SUM(E67:F67)</f>
        <v>21956.16</v>
      </c>
      <c r="H67" s="18" t="n">
        <f aca="false">ROUND(G67-'Cohort Data'!H67,Assumptions!$B$10)</f>
        <v>7373.57</v>
      </c>
      <c r="I67" s="18" t="n">
        <f aca="false">CEILING(G67,Assumptions!$B$12)</f>
        <v>22000</v>
      </c>
      <c r="J67" s="18" t="n">
        <f aca="false">FLOOR(G67,Assumptions!$B$12)</f>
        <v>21900</v>
      </c>
      <c r="K67" s="18" t="n">
        <f aca="false">ROUNDUP(G67,Assumptions!$B$10)</f>
        <v>21956.16</v>
      </c>
      <c r="L67" s="18" t="n">
        <f aca="false">ROUNDDOWN(G67,Assumptions!$B$10)</f>
        <v>21956.16</v>
      </c>
      <c r="M67" s="19" t="n">
        <f aca="false">INT('Cohort Data'!E67/Assumptions!$B$11)</f>
        <v>0</v>
      </c>
    </row>
    <row r="68" customFormat="false" ht="15" hidden="false" customHeight="false" outlineLevel="0" collapsed="false">
      <c r="A68" s="2" t="s">
        <v>168</v>
      </c>
      <c r="B68" s="18" t="n">
        <f aca="false">IF('Cohort Data'!D68=Assumptions!$B$16,ROUND('Cohort Data'!L68*'Cohort Data'!K68*Assumptions!$F$5,Assumptions!$B$10),Assumptions!$B$13)</f>
        <v>73284.18</v>
      </c>
      <c r="C68" s="18" t="n">
        <f aca="false">IF('Cohort Data'!D68=Assumptions!$B$16,ROUND('Cohort Data'!E68*Assumptions!$C$6,Assumptions!$B$10),Assumptions!$B$13)</f>
        <v>7280</v>
      </c>
      <c r="D68" s="18" t="n">
        <f aca="false">SUM(B68:C68)</f>
        <v>80564.18</v>
      </c>
      <c r="E68" s="18" t="n">
        <f aca="false">ROUND(D68/Assumptions!$F$7,Assumptions!$B$10)</f>
        <v>79373.58</v>
      </c>
      <c r="F68" s="18" t="n">
        <f aca="false">ROUND(E68*Assumptions!$C$7,Assumptions!$B$10)</f>
        <v>4365.55</v>
      </c>
      <c r="G68" s="18" t="n">
        <f aca="false">SUM(E68:F68)</f>
        <v>83739.13</v>
      </c>
      <c r="H68" s="18" t="n">
        <f aca="false">ROUND(G68-'Cohort Data'!H68,Assumptions!$B$10)</f>
        <v>26356.09</v>
      </c>
      <c r="I68" s="18" t="n">
        <f aca="false">CEILING(G68,Assumptions!$B$12)</f>
        <v>83800</v>
      </c>
      <c r="J68" s="18" t="n">
        <f aca="false">FLOOR(G68,Assumptions!$B$12)</f>
        <v>83700</v>
      </c>
      <c r="K68" s="18" t="n">
        <f aca="false">ROUNDUP(G68,Assumptions!$B$10)</f>
        <v>83739.13</v>
      </c>
      <c r="L68" s="18" t="n">
        <f aca="false">ROUNDDOWN(G68,Assumptions!$B$10)</f>
        <v>83739.13</v>
      </c>
      <c r="M68" s="19" t="n">
        <f aca="false">INT('Cohort Data'!E68/Assumptions!$B$11)</f>
        <v>2</v>
      </c>
    </row>
    <row r="69" customFormat="false" ht="15" hidden="false" customHeight="false" outlineLevel="0" collapsed="false">
      <c r="A69" s="2" t="s">
        <v>169</v>
      </c>
      <c r="B69" s="18" t="n">
        <f aca="false">IF('Cohort Data'!D69=Assumptions!$B$16,ROUND('Cohort Data'!L69*'Cohort Data'!K69*Assumptions!$F$5,Assumptions!$B$10),Assumptions!$B$13)</f>
        <v>61281.95</v>
      </c>
      <c r="C69" s="18" t="n">
        <f aca="false">IF('Cohort Data'!D69=Assumptions!$B$16,ROUND('Cohort Data'!E69*Assumptions!$C$6,Assumptions!$B$10),Assumptions!$B$13)</f>
        <v>5565</v>
      </c>
      <c r="D69" s="18" t="n">
        <f aca="false">SUM(B69:C69)</f>
        <v>66846.95</v>
      </c>
      <c r="E69" s="18" t="n">
        <f aca="false">ROUND(D69/Assumptions!$F$7,Assumptions!$B$10)</f>
        <v>65859.06</v>
      </c>
      <c r="F69" s="18" t="n">
        <f aca="false">ROUND(E69*Assumptions!$C$7,Assumptions!$B$10)</f>
        <v>3622.25</v>
      </c>
      <c r="G69" s="18" t="n">
        <f aca="false">SUM(E69:F69)</f>
        <v>69481.31</v>
      </c>
      <c r="H69" s="18" t="n">
        <f aca="false">ROUND(G69-'Cohort Data'!H69,Assumptions!$B$10)</f>
        <v>24685.29</v>
      </c>
      <c r="I69" s="18" t="n">
        <f aca="false">CEILING(G69,Assumptions!$B$12)</f>
        <v>69500</v>
      </c>
      <c r="J69" s="18" t="n">
        <f aca="false">FLOOR(G69,Assumptions!$B$12)</f>
        <v>69400</v>
      </c>
      <c r="K69" s="18" t="n">
        <f aca="false">ROUNDUP(G69,Assumptions!$B$10)</f>
        <v>69481.31</v>
      </c>
      <c r="L69" s="18" t="n">
        <f aca="false">ROUNDDOWN(G69,Assumptions!$B$10)</f>
        <v>69481.31</v>
      </c>
      <c r="M69" s="19" t="n">
        <f aca="false">INT('Cohort Data'!E69/Assumptions!$B$11)</f>
        <v>1</v>
      </c>
    </row>
    <row r="70" customFormat="false" ht="15" hidden="false" customHeight="false" outlineLevel="0" collapsed="false">
      <c r="A70" s="2" t="s">
        <v>170</v>
      </c>
      <c r="B70" s="18" t="n">
        <f aca="false">IF('Cohort Data'!D70=Assumptions!$B$16,ROUND('Cohort Data'!L70*'Cohort Data'!K70*Assumptions!$F$5,Assumptions!$B$10),Assumptions!$B$13)</f>
        <v>13713.41</v>
      </c>
      <c r="C70" s="18" t="n">
        <f aca="false">IF('Cohort Data'!D70=Assumptions!$B$16,ROUND('Cohort Data'!E70*Assumptions!$C$6,Assumptions!$B$10),Assumptions!$B$13)</f>
        <v>3045</v>
      </c>
      <c r="D70" s="18" t="n">
        <f aca="false">SUM(B70:C70)</f>
        <v>16758.41</v>
      </c>
      <c r="E70" s="18" t="n">
        <f aca="false">ROUND(D70/Assumptions!$F$7,Assumptions!$B$10)</f>
        <v>16510.75</v>
      </c>
      <c r="F70" s="18" t="n">
        <f aca="false">ROUND(E70*Assumptions!$C$7,Assumptions!$B$10)</f>
        <v>908.09</v>
      </c>
      <c r="G70" s="18" t="n">
        <f aca="false">SUM(E70:F70)</f>
        <v>17418.84</v>
      </c>
      <c r="H70" s="18" t="n">
        <f aca="false">ROUND(G70-'Cohort Data'!H70,Assumptions!$B$10)</f>
        <v>6161.21</v>
      </c>
      <c r="I70" s="18" t="n">
        <f aca="false">CEILING(G70,Assumptions!$B$12)</f>
        <v>17500</v>
      </c>
      <c r="J70" s="18" t="n">
        <f aca="false">FLOOR(G70,Assumptions!$B$12)</f>
        <v>17400</v>
      </c>
      <c r="K70" s="18" t="n">
        <f aca="false">ROUNDUP(G70,Assumptions!$B$10)</f>
        <v>17418.84</v>
      </c>
      <c r="L70" s="18" t="n">
        <f aca="false">ROUNDDOWN(G70,Assumptions!$B$10)</f>
        <v>17418.84</v>
      </c>
      <c r="M70" s="19" t="n">
        <f aca="false">INT('Cohort Data'!E70/Assumptions!$B$11)</f>
        <v>0</v>
      </c>
    </row>
    <row r="71" customFormat="false" ht="15" hidden="false" customHeight="false" outlineLevel="0" collapsed="false">
      <c r="A71" s="2" t="s">
        <v>171</v>
      </c>
      <c r="B71" s="18" t="n">
        <f aca="false">IF('Cohort Data'!D71=Assumptions!$B$16,ROUND('Cohort Data'!L71*'Cohort Data'!K71*Assumptions!$F$5,Assumptions!$B$10),Assumptions!$B$13)</f>
        <v>33759.41</v>
      </c>
      <c r="C71" s="18" t="n">
        <f aca="false">IF('Cohort Data'!D71=Assumptions!$B$16,ROUND('Cohort Data'!E71*Assumptions!$C$6,Assumptions!$B$10),Assumptions!$B$13)</f>
        <v>4340</v>
      </c>
      <c r="D71" s="18" t="n">
        <f aca="false">SUM(B71:C71)</f>
        <v>38099.41</v>
      </c>
      <c r="E71" s="18" t="n">
        <f aca="false">ROUND(D71/Assumptions!$F$7,Assumptions!$B$10)</f>
        <v>37536.36</v>
      </c>
      <c r="F71" s="18" t="n">
        <f aca="false">ROUND(E71*Assumptions!$C$7,Assumptions!$B$10)</f>
        <v>2064.5</v>
      </c>
      <c r="G71" s="18" t="n">
        <f aca="false">SUM(E71:F71)</f>
        <v>39600.86</v>
      </c>
      <c r="H71" s="18" t="n">
        <f aca="false">ROUND(G71-'Cohort Data'!H71,Assumptions!$B$10)</f>
        <v>12331.77</v>
      </c>
      <c r="I71" s="18" t="n">
        <f aca="false">CEILING(G71,Assumptions!$B$12)</f>
        <v>39700</v>
      </c>
      <c r="J71" s="18" t="n">
        <f aca="false">FLOOR(G71,Assumptions!$B$12)</f>
        <v>39600</v>
      </c>
      <c r="K71" s="18" t="n">
        <f aca="false">ROUNDUP(G71,Assumptions!$B$10)</f>
        <v>39600.86</v>
      </c>
      <c r="L71" s="18" t="n">
        <f aca="false">ROUNDDOWN(G71,Assumptions!$B$10)</f>
        <v>39600.86</v>
      </c>
      <c r="M71" s="19" t="n">
        <f aca="false">INT('Cohort Data'!E71/Assumptions!$B$11)</f>
        <v>1</v>
      </c>
    </row>
    <row r="72" customFormat="false" ht="15" hidden="false" customHeight="false" outlineLevel="0" collapsed="false">
      <c r="A72" s="2" t="s">
        <v>172</v>
      </c>
      <c r="B72" s="18" t="n">
        <f aca="false">IF('Cohort Data'!D72=Assumptions!$B$16,ROUND('Cohort Data'!L72*'Cohort Data'!K72*Assumptions!$F$5,Assumptions!$B$10),Assumptions!$B$13)</f>
        <v>76152.03</v>
      </c>
      <c r="C72" s="18" t="n">
        <f aca="false">IF('Cohort Data'!D72=Assumptions!$B$16,ROUND('Cohort Data'!E72*Assumptions!$C$6,Assumptions!$B$10),Assumptions!$B$13)</f>
        <v>6195</v>
      </c>
      <c r="D72" s="18" t="n">
        <f aca="false">SUM(B72:C72)</f>
        <v>82347.03</v>
      </c>
      <c r="E72" s="18" t="n">
        <f aca="false">ROUND(D72/Assumptions!$F$7,Assumptions!$B$10)</f>
        <v>81130.08</v>
      </c>
      <c r="F72" s="18" t="n">
        <f aca="false">ROUND(E72*Assumptions!$C$7,Assumptions!$B$10)</f>
        <v>4462.15</v>
      </c>
      <c r="G72" s="18" t="n">
        <f aca="false">SUM(E72:F72)</f>
        <v>85592.23</v>
      </c>
      <c r="H72" s="18" t="n">
        <f aca="false">ROUND(G72-'Cohort Data'!H72,Assumptions!$B$10)</f>
        <v>28703.01</v>
      </c>
      <c r="I72" s="18" t="n">
        <f aca="false">CEILING(G72,Assumptions!$B$12)</f>
        <v>85600</v>
      </c>
      <c r="J72" s="18" t="n">
        <f aca="false">FLOOR(G72,Assumptions!$B$12)</f>
        <v>85500</v>
      </c>
      <c r="K72" s="18" t="n">
        <f aca="false">ROUNDUP(G72,Assumptions!$B$10)</f>
        <v>85592.23</v>
      </c>
      <c r="L72" s="18" t="n">
        <f aca="false">ROUNDDOWN(G72,Assumptions!$B$10)</f>
        <v>85592.23</v>
      </c>
      <c r="M72" s="19" t="n">
        <f aca="false">INT('Cohort Data'!E72/Assumptions!$B$11)</f>
        <v>1</v>
      </c>
    </row>
    <row r="73" customFormat="false" ht="15" hidden="false" customHeight="false" outlineLevel="0" collapsed="false">
      <c r="A73" s="2" t="s">
        <v>173</v>
      </c>
      <c r="B73" s="18" t="n">
        <f aca="false">IF('Cohort Data'!D73=Assumptions!$B$16,ROUND('Cohort Data'!L73*'Cohort Data'!K73*Assumptions!$F$5,Assumptions!$B$10),Assumptions!$B$13)</f>
        <v>44374.99</v>
      </c>
      <c r="C73" s="18" t="n">
        <f aca="false">IF('Cohort Data'!D73=Assumptions!$B$16,ROUND('Cohort Data'!E73*Assumptions!$C$6,Assumptions!$B$10),Assumptions!$B$13)</f>
        <v>6125</v>
      </c>
      <c r="D73" s="18" t="n">
        <f aca="false">SUM(B73:C73)</f>
        <v>50499.99</v>
      </c>
      <c r="E73" s="18" t="n">
        <f aca="false">ROUND(D73/Assumptions!$F$7,Assumptions!$B$10)</f>
        <v>49753.68</v>
      </c>
      <c r="F73" s="18" t="n">
        <f aca="false">ROUND(E73*Assumptions!$C$7,Assumptions!$B$10)</f>
        <v>2736.45</v>
      </c>
      <c r="G73" s="18" t="n">
        <f aca="false">SUM(E73:F73)</f>
        <v>52490.13</v>
      </c>
      <c r="H73" s="18" t="n">
        <f aca="false">ROUND(G73-'Cohort Data'!H73,Assumptions!$B$10)</f>
        <v>16437.33</v>
      </c>
      <c r="I73" s="18" t="n">
        <f aca="false">CEILING(G73,Assumptions!$B$12)</f>
        <v>52500</v>
      </c>
      <c r="J73" s="18" t="n">
        <f aca="false">FLOOR(G73,Assumptions!$B$12)</f>
        <v>52400</v>
      </c>
      <c r="K73" s="18" t="n">
        <f aca="false">ROUNDUP(G73,Assumptions!$B$10)</f>
        <v>52490.13</v>
      </c>
      <c r="L73" s="18" t="n">
        <f aca="false">ROUNDDOWN(G73,Assumptions!$B$10)</f>
        <v>52490.13</v>
      </c>
      <c r="M73" s="19" t="n">
        <f aca="false">INT('Cohort Data'!E73/Assumptions!$B$11)</f>
        <v>1</v>
      </c>
    </row>
    <row r="74" customFormat="false" ht="15" hidden="false" customHeight="false" outlineLevel="0" collapsed="false">
      <c r="A74" s="2" t="s">
        <v>174</v>
      </c>
      <c r="B74" s="18" t="n">
        <f aca="false">IF('Cohort Data'!D74=Assumptions!$B$16,ROUND('Cohort Data'!L74*'Cohort Data'!K74*Assumptions!$F$5,Assumptions!$B$10),Assumptions!$B$13)</f>
        <v>67743.03</v>
      </c>
      <c r="C74" s="18" t="n">
        <f aca="false">IF('Cohort Data'!D74=Assumptions!$B$16,ROUND('Cohort Data'!E74*Assumptions!$C$6,Assumptions!$B$10),Assumptions!$B$13)</f>
        <v>8225</v>
      </c>
      <c r="D74" s="18" t="n">
        <f aca="false">SUM(B74:C74)</f>
        <v>75968.03</v>
      </c>
      <c r="E74" s="18" t="n">
        <f aca="false">ROUND(D74/Assumptions!$F$7,Assumptions!$B$10)</f>
        <v>74845.35</v>
      </c>
      <c r="F74" s="18" t="n">
        <f aca="false">ROUND(E74*Assumptions!$C$7,Assumptions!$B$10)</f>
        <v>4116.49</v>
      </c>
      <c r="G74" s="18" t="n">
        <f aca="false">SUM(E74:F74)</f>
        <v>78961.84</v>
      </c>
      <c r="H74" s="18" t="n">
        <f aca="false">ROUND(G74-'Cohort Data'!H74,Assumptions!$B$10)</f>
        <v>24800.92</v>
      </c>
      <c r="I74" s="18" t="n">
        <f aca="false">CEILING(G74,Assumptions!$B$12)</f>
        <v>79000</v>
      </c>
      <c r="J74" s="18" t="n">
        <f aca="false">FLOOR(G74,Assumptions!$B$12)</f>
        <v>78900</v>
      </c>
      <c r="K74" s="18" t="n">
        <f aca="false">ROUNDUP(G74,Assumptions!$B$10)</f>
        <v>78961.85</v>
      </c>
      <c r="L74" s="18" t="n">
        <f aca="false">ROUNDDOWN(G74,Assumptions!$B$10)</f>
        <v>78961.84</v>
      </c>
      <c r="M74" s="19" t="n">
        <f aca="false">INT('Cohort Data'!E74/Assumptions!$B$11)</f>
        <v>2</v>
      </c>
    </row>
    <row r="75" customFormat="false" ht="15" hidden="false" customHeight="false" outlineLevel="0" collapsed="false">
      <c r="A75" s="2" t="s">
        <v>175</v>
      </c>
      <c r="B75" s="18" t="n">
        <f aca="false">IF('Cohort Data'!D75=Assumptions!$B$16,ROUND('Cohort Data'!L75*'Cohort Data'!K75*Assumptions!$F$5,Assumptions!$B$10),Assumptions!$B$13)</f>
        <v>30116.62</v>
      </c>
      <c r="C75" s="18" t="n">
        <f aca="false">IF('Cohort Data'!D75=Assumptions!$B$16,ROUND('Cohort Data'!E75*Assumptions!$C$6,Assumptions!$B$10),Assumptions!$B$13)</f>
        <v>2450</v>
      </c>
      <c r="D75" s="18" t="n">
        <f aca="false">SUM(B75:C75)</f>
        <v>32566.62</v>
      </c>
      <c r="E75" s="18" t="n">
        <f aca="false">ROUND(D75/Assumptions!$F$7,Assumptions!$B$10)</f>
        <v>32085.34</v>
      </c>
      <c r="F75" s="18" t="n">
        <f aca="false">ROUND(E75*Assumptions!$C$7,Assumptions!$B$10)</f>
        <v>1764.69</v>
      </c>
      <c r="G75" s="18" t="n">
        <f aca="false">SUM(E75:F75)</f>
        <v>33850.03</v>
      </c>
      <c r="H75" s="18" t="n">
        <f aca="false">ROUND(G75-'Cohort Data'!H75,Assumptions!$B$10)</f>
        <v>9899.95</v>
      </c>
      <c r="I75" s="18" t="n">
        <f aca="false">CEILING(G75,Assumptions!$B$12)</f>
        <v>33900</v>
      </c>
      <c r="J75" s="18" t="n">
        <f aca="false">FLOOR(G75,Assumptions!$B$12)</f>
        <v>33800</v>
      </c>
      <c r="K75" s="18" t="n">
        <f aca="false">ROUNDUP(G75,Assumptions!$B$10)</f>
        <v>33850.03</v>
      </c>
      <c r="L75" s="18" t="n">
        <f aca="false">ROUNDDOWN(G75,Assumptions!$B$10)</f>
        <v>33850.03</v>
      </c>
      <c r="M75" s="19" t="n">
        <f aca="false">INT('Cohort Data'!E75/Assumptions!$B$11)</f>
        <v>0</v>
      </c>
    </row>
    <row r="76" customFormat="false" ht="15" hidden="false" customHeight="false" outlineLevel="0" collapsed="false">
      <c r="A76" s="2" t="s">
        <v>176</v>
      </c>
      <c r="B76" s="18" t="n">
        <f aca="false">IF('Cohort Data'!D76=Assumptions!$B$16,ROUND('Cohort Data'!L76*'Cohort Data'!K76*Assumptions!$F$5,Assumptions!$B$10),Assumptions!$B$13)</f>
        <v>47287.63</v>
      </c>
      <c r="C76" s="18" t="n">
        <f aca="false">IF('Cohort Data'!D76=Assumptions!$B$16,ROUND('Cohort Data'!E76*Assumptions!$C$6,Assumptions!$B$10),Assumptions!$B$13)</f>
        <v>8050</v>
      </c>
      <c r="D76" s="18" t="n">
        <f aca="false">SUM(B76:C76)</f>
        <v>55337.63</v>
      </c>
      <c r="E76" s="18" t="n">
        <f aca="false">ROUND(D76/Assumptions!$F$7,Assumptions!$B$10)</f>
        <v>54519.83</v>
      </c>
      <c r="F76" s="18" t="n">
        <f aca="false">ROUND(E76*Assumptions!$C$7,Assumptions!$B$10)</f>
        <v>2998.59</v>
      </c>
      <c r="G76" s="18" t="n">
        <f aca="false">SUM(E76:F76)</f>
        <v>57518.42</v>
      </c>
      <c r="H76" s="18" t="n">
        <f aca="false">ROUND(G76-'Cohort Data'!H76,Assumptions!$B$10)</f>
        <v>19899.62</v>
      </c>
      <c r="I76" s="18" t="n">
        <f aca="false">CEILING(G76,Assumptions!$B$12)</f>
        <v>57600</v>
      </c>
      <c r="J76" s="18" t="n">
        <f aca="false">FLOOR(G76,Assumptions!$B$12)</f>
        <v>57500</v>
      </c>
      <c r="K76" s="18" t="n">
        <f aca="false">ROUNDUP(G76,Assumptions!$B$10)</f>
        <v>57518.42</v>
      </c>
      <c r="L76" s="18" t="n">
        <f aca="false">ROUNDDOWN(G76,Assumptions!$B$10)</f>
        <v>57518.42</v>
      </c>
      <c r="M76" s="19" t="n">
        <f aca="false">INT('Cohort Data'!E76/Assumptions!$B$11)</f>
        <v>2</v>
      </c>
    </row>
    <row r="77" customFormat="false" ht="15" hidden="false" customHeight="false" outlineLevel="0" collapsed="false">
      <c r="A77" s="2" t="s">
        <v>177</v>
      </c>
      <c r="B77" s="18" t="n">
        <f aca="false">IF('Cohort Data'!D77=Assumptions!$B$16,ROUND('Cohort Data'!L77*'Cohort Data'!K77*Assumptions!$F$5,Assumptions!$B$10),Assumptions!$B$13)</f>
        <v>41198.33</v>
      </c>
      <c r="C77" s="18" t="n">
        <f aca="false">IF('Cohort Data'!D77=Assumptions!$B$16,ROUND('Cohort Data'!E77*Assumptions!$C$6,Assumptions!$B$10),Assumptions!$B$13)</f>
        <v>8575</v>
      </c>
      <c r="D77" s="18" t="n">
        <f aca="false">SUM(B77:C77)</f>
        <v>49773.33</v>
      </c>
      <c r="E77" s="18" t="n">
        <f aca="false">ROUND(D77/Assumptions!$F$7,Assumptions!$B$10)</f>
        <v>49037.76</v>
      </c>
      <c r="F77" s="18" t="n">
        <f aca="false">ROUND(E77*Assumptions!$C$7,Assumptions!$B$10)</f>
        <v>2697.08</v>
      </c>
      <c r="G77" s="18" t="n">
        <f aca="false">SUM(E77:F77)</f>
        <v>51734.84</v>
      </c>
      <c r="H77" s="18" t="n">
        <f aca="false">ROUND(G77-'Cohort Data'!H77,Assumptions!$B$10)</f>
        <v>18456.98</v>
      </c>
      <c r="I77" s="18" t="n">
        <f aca="false">CEILING(G77,Assumptions!$B$12)</f>
        <v>51800</v>
      </c>
      <c r="J77" s="18" t="n">
        <f aca="false">FLOOR(G77,Assumptions!$B$12)</f>
        <v>51700</v>
      </c>
      <c r="K77" s="18" t="n">
        <f aca="false">ROUNDUP(G77,Assumptions!$B$10)</f>
        <v>51734.84</v>
      </c>
      <c r="L77" s="18" t="n">
        <f aca="false">ROUNDDOWN(G77,Assumptions!$B$10)</f>
        <v>51734.84</v>
      </c>
      <c r="M77" s="19" t="n">
        <f aca="false">INT('Cohort Data'!E77/Assumptions!$B$11)</f>
        <v>2</v>
      </c>
    </row>
    <row r="78" customFormat="false" ht="15" hidden="false" customHeight="false" outlineLevel="0" collapsed="false">
      <c r="A78" s="2" t="s">
        <v>178</v>
      </c>
      <c r="B78" s="18" t="n">
        <f aca="false">IF('Cohort Data'!D78=Assumptions!$B$16,ROUND('Cohort Data'!L78*'Cohort Data'!K78*Assumptions!$F$5,Assumptions!$B$10),Assumptions!$B$13)</f>
        <v>88234.53</v>
      </c>
      <c r="C78" s="18" t="n">
        <f aca="false">IF('Cohort Data'!D78=Assumptions!$B$16,ROUND('Cohort Data'!E78*Assumptions!$C$6,Assumptions!$B$10),Assumptions!$B$13)</f>
        <v>7490</v>
      </c>
      <c r="D78" s="18" t="n">
        <f aca="false">SUM(B78:C78)</f>
        <v>95724.53</v>
      </c>
      <c r="E78" s="18" t="n">
        <f aca="false">ROUND(D78/Assumptions!$F$7,Assumptions!$B$10)</f>
        <v>94309.88</v>
      </c>
      <c r="F78" s="18" t="n">
        <f aca="false">ROUND(E78*Assumptions!$C$7,Assumptions!$B$10)</f>
        <v>5187.04</v>
      </c>
      <c r="G78" s="18" t="n">
        <f aca="false">SUM(E78:F78)</f>
        <v>99496.92</v>
      </c>
      <c r="H78" s="18" t="n">
        <f aca="false">ROUND(G78-'Cohort Data'!H78,Assumptions!$B$10)</f>
        <v>30746.42</v>
      </c>
      <c r="I78" s="18" t="n">
        <f aca="false">CEILING(G78,Assumptions!$B$12)</f>
        <v>99500</v>
      </c>
      <c r="J78" s="18" t="n">
        <f aca="false">FLOOR(G78,Assumptions!$B$12)</f>
        <v>99400</v>
      </c>
      <c r="K78" s="18" t="n">
        <f aca="false">ROUNDUP(G78,Assumptions!$B$10)</f>
        <v>99496.92</v>
      </c>
      <c r="L78" s="18" t="n">
        <f aca="false">ROUNDDOWN(G78,Assumptions!$B$10)</f>
        <v>99496.92</v>
      </c>
      <c r="M78" s="19" t="n">
        <f aca="false">INT('Cohort Data'!E78/Assumptions!$B$11)</f>
        <v>2</v>
      </c>
    </row>
    <row r="79" customFormat="false" ht="15" hidden="false" customHeight="false" outlineLevel="0" collapsed="false">
      <c r="A79" s="2" t="s">
        <v>179</v>
      </c>
      <c r="B79" s="18" t="n">
        <f aca="false">IF('Cohort Data'!D79=Assumptions!$B$16,ROUND('Cohort Data'!L79*'Cohort Data'!K79*Assumptions!$F$5,Assumptions!$B$10),Assumptions!$B$13)</f>
        <v>0</v>
      </c>
      <c r="C79" s="18" t="n">
        <f aca="false">IF('Cohort Data'!D79=Assumptions!$B$16,ROUND('Cohort Data'!E79*Assumptions!$C$6,Assumptions!$B$10),Assumptions!$B$13)</f>
        <v>0</v>
      </c>
      <c r="D79" s="18" t="n">
        <f aca="false">SUM(B79:C79)</f>
        <v>0</v>
      </c>
      <c r="E79" s="18" t="n">
        <f aca="false">ROUND(D79/Assumptions!$F$7,Assumptions!$B$10)</f>
        <v>0</v>
      </c>
      <c r="F79" s="18" t="n">
        <f aca="false">ROUND(E79*Assumptions!$C$7,Assumptions!$B$10)</f>
        <v>0</v>
      </c>
      <c r="G79" s="18" t="n">
        <f aca="false">SUM(E79:F79)</f>
        <v>0</v>
      </c>
      <c r="H79" s="18" t="n">
        <f aca="false">ROUND(G79-'Cohort Data'!H79,Assumptions!$B$10)</f>
        <v>-37618.8</v>
      </c>
      <c r="I79" s="18" t="n">
        <f aca="false">CEILING(G79,Assumptions!$B$12)</f>
        <v>0</v>
      </c>
      <c r="J79" s="18" t="n">
        <f aca="false">FLOOR(G79,Assumptions!$B$12)</f>
        <v>0</v>
      </c>
      <c r="K79" s="18" t="n">
        <f aca="false">ROUNDUP(G79,Assumptions!$B$10)</f>
        <v>0</v>
      </c>
      <c r="L79" s="18" t="n">
        <f aca="false">ROUNDDOWN(G79,Assumptions!$B$10)</f>
        <v>0</v>
      </c>
      <c r="M79" s="19" t="n">
        <f aca="false">INT('Cohort Data'!E79/Assumptions!$B$11)</f>
        <v>1</v>
      </c>
    </row>
    <row r="80" customFormat="false" ht="15" hidden="false" customHeight="false" outlineLevel="0" collapsed="false">
      <c r="A80" s="2" t="s">
        <v>180</v>
      </c>
      <c r="B80" s="18" t="n">
        <f aca="false">IF('Cohort Data'!D80=Assumptions!$B$16,ROUND('Cohort Data'!L80*'Cohort Data'!K80*Assumptions!$F$5,Assumptions!$B$10),Assumptions!$B$13)</f>
        <v>23093.49</v>
      </c>
      <c r="C80" s="18" t="n">
        <f aca="false">IF('Cohort Data'!D80=Assumptions!$B$16,ROUND('Cohort Data'!E80*Assumptions!$C$6,Assumptions!$B$10),Assumptions!$B$13)</f>
        <v>3605</v>
      </c>
      <c r="D80" s="18" t="n">
        <f aca="false">SUM(B80:C80)</f>
        <v>26698.49</v>
      </c>
      <c r="E80" s="18" t="n">
        <f aca="false">ROUND(D80/Assumptions!$F$7,Assumptions!$B$10)</f>
        <v>26303.93</v>
      </c>
      <c r="F80" s="18" t="n">
        <f aca="false">ROUND(E80*Assumptions!$C$7,Assumptions!$B$10)</f>
        <v>1446.72</v>
      </c>
      <c r="G80" s="18" t="n">
        <f aca="false">SUM(E80:F80)</f>
        <v>27750.65</v>
      </c>
      <c r="H80" s="18" t="n">
        <f aca="false">ROUND(G80-'Cohort Data'!H80,Assumptions!$B$10)</f>
        <v>9667.97</v>
      </c>
      <c r="I80" s="18" t="n">
        <f aca="false">CEILING(G80,Assumptions!$B$12)</f>
        <v>27800</v>
      </c>
      <c r="J80" s="18" t="n">
        <f aca="false">FLOOR(G80,Assumptions!$B$12)</f>
        <v>27700</v>
      </c>
      <c r="K80" s="18" t="n">
        <f aca="false">ROUNDUP(G80,Assumptions!$B$10)</f>
        <v>27750.65</v>
      </c>
      <c r="L80" s="18" t="n">
        <f aca="false">ROUNDDOWN(G80,Assumptions!$B$10)</f>
        <v>27750.65</v>
      </c>
      <c r="M80" s="19" t="n">
        <f aca="false">INT('Cohort Data'!E80/Assumptions!$B$11)</f>
        <v>1</v>
      </c>
    </row>
    <row r="81" customFormat="false" ht="15" hidden="false" customHeight="false" outlineLevel="0" collapsed="false">
      <c r="A81" s="2" t="s">
        <v>181</v>
      </c>
      <c r="B81" s="18" t="n">
        <f aca="false">IF('Cohort Data'!D81=Assumptions!$B$16,ROUND('Cohort Data'!L81*'Cohort Data'!K81*Assumptions!$F$5,Assumptions!$B$10),Assumptions!$B$13)</f>
        <v>45748.58</v>
      </c>
      <c r="C81" s="18" t="n">
        <f aca="false">IF('Cohort Data'!D81=Assumptions!$B$16,ROUND('Cohort Data'!E81*Assumptions!$C$6,Assumptions!$B$10),Assumptions!$B$13)</f>
        <v>6160</v>
      </c>
      <c r="D81" s="18" t="n">
        <f aca="false">SUM(B81:C81)</f>
        <v>51908.58</v>
      </c>
      <c r="E81" s="18" t="n">
        <f aca="false">ROUND(D81/Assumptions!$F$7,Assumptions!$B$10)</f>
        <v>51141.46</v>
      </c>
      <c r="F81" s="18" t="n">
        <f aca="false">ROUND(E81*Assumptions!$C$7,Assumptions!$B$10)</f>
        <v>2812.78</v>
      </c>
      <c r="G81" s="18" t="n">
        <f aca="false">SUM(E81:F81)</f>
        <v>53954.24</v>
      </c>
      <c r="H81" s="18" t="n">
        <f aca="false">ROUND(G81-'Cohort Data'!H81,Assumptions!$B$10)</f>
        <v>20880.32</v>
      </c>
      <c r="I81" s="18" t="n">
        <f aca="false">CEILING(G81,Assumptions!$B$12)</f>
        <v>54000</v>
      </c>
      <c r="J81" s="18" t="n">
        <f aca="false">FLOOR(G81,Assumptions!$B$12)</f>
        <v>53900</v>
      </c>
      <c r="K81" s="18" t="n">
        <f aca="false">ROUNDUP(G81,Assumptions!$B$10)</f>
        <v>53954.24</v>
      </c>
      <c r="L81" s="18" t="n">
        <f aca="false">ROUNDDOWN(G81,Assumptions!$B$10)</f>
        <v>53954.24</v>
      </c>
      <c r="M81" s="19" t="n">
        <f aca="false">INT('Cohort Data'!E81/Assumptions!$B$11)</f>
        <v>1</v>
      </c>
    </row>
    <row r="82" customFormat="false" ht="15" hidden="false" customHeight="false" outlineLevel="0" collapsed="false">
      <c r="A82" s="2" t="s">
        <v>182</v>
      </c>
      <c r="B82" s="18" t="n">
        <f aca="false">IF('Cohort Data'!D82=Assumptions!$B$16,ROUND('Cohort Data'!L82*'Cohort Data'!K82*Assumptions!$F$5,Assumptions!$B$10),Assumptions!$B$13)</f>
        <v>40448.06</v>
      </c>
      <c r="C82" s="18" t="n">
        <f aca="false">IF('Cohort Data'!D82=Assumptions!$B$16,ROUND('Cohort Data'!E82*Assumptions!$C$6,Assumptions!$B$10),Assumptions!$B$13)</f>
        <v>7945</v>
      </c>
      <c r="D82" s="18" t="n">
        <f aca="false">SUM(B82:C82)</f>
        <v>48393.06</v>
      </c>
      <c r="E82" s="18" t="n">
        <f aca="false">ROUND(D82/Assumptions!$F$7,Assumptions!$B$10)</f>
        <v>47677.89</v>
      </c>
      <c r="F82" s="18" t="n">
        <f aca="false">ROUND(E82*Assumptions!$C$7,Assumptions!$B$10)</f>
        <v>2622.28</v>
      </c>
      <c r="G82" s="18" t="n">
        <f aca="false">SUM(E82:F82)</f>
        <v>50300.17</v>
      </c>
      <c r="H82" s="18" t="n">
        <f aca="false">ROUND(G82-'Cohort Data'!H82,Assumptions!$B$10)</f>
        <v>16410.89</v>
      </c>
      <c r="I82" s="18" t="n">
        <f aca="false">CEILING(G82,Assumptions!$B$12)</f>
        <v>50400</v>
      </c>
      <c r="J82" s="18" t="n">
        <f aca="false">FLOOR(G82,Assumptions!$B$12)</f>
        <v>50300</v>
      </c>
      <c r="K82" s="18" t="n">
        <f aca="false">ROUNDUP(G82,Assumptions!$B$10)</f>
        <v>50300.17</v>
      </c>
      <c r="L82" s="18" t="n">
        <f aca="false">ROUNDDOWN(G82,Assumptions!$B$10)</f>
        <v>50300.17</v>
      </c>
      <c r="M82" s="19" t="n">
        <f aca="false">INT('Cohort Data'!E82/Assumptions!$B$11)</f>
        <v>2</v>
      </c>
    </row>
    <row r="83" customFormat="false" ht="15" hidden="false" customHeight="false" outlineLevel="0" collapsed="false">
      <c r="A83" s="2" t="s">
        <v>183</v>
      </c>
      <c r="B83" s="18" t="n">
        <f aca="false">IF('Cohort Data'!D83=Assumptions!$B$16,ROUND('Cohort Data'!L83*'Cohort Data'!K83*Assumptions!$F$5,Assumptions!$B$10),Assumptions!$B$13)</f>
        <v>21716.2</v>
      </c>
      <c r="C83" s="18" t="n">
        <f aca="false">IF('Cohort Data'!D83=Assumptions!$B$16,ROUND('Cohort Data'!E83*Assumptions!$C$6,Assumptions!$B$10),Assumptions!$B$13)</f>
        <v>3955</v>
      </c>
      <c r="D83" s="18" t="n">
        <f aca="false">SUM(B83:C83)</f>
        <v>25671.2</v>
      </c>
      <c r="E83" s="18" t="n">
        <f aca="false">ROUND(D83/Assumptions!$F$7,Assumptions!$B$10)</f>
        <v>25291.82</v>
      </c>
      <c r="F83" s="18" t="n">
        <f aca="false">ROUND(E83*Assumptions!$C$7,Assumptions!$B$10)</f>
        <v>1391.05</v>
      </c>
      <c r="G83" s="18" t="n">
        <f aca="false">SUM(E83:F83)</f>
        <v>26682.87</v>
      </c>
      <c r="H83" s="18" t="n">
        <f aca="false">ROUND(G83-'Cohort Data'!H83,Assumptions!$B$10)</f>
        <v>8962.66</v>
      </c>
      <c r="I83" s="18" t="n">
        <f aca="false">CEILING(G83,Assumptions!$B$12)</f>
        <v>26700</v>
      </c>
      <c r="J83" s="18" t="n">
        <f aca="false">FLOOR(G83,Assumptions!$B$12)</f>
        <v>26600</v>
      </c>
      <c r="K83" s="18" t="n">
        <f aca="false">ROUNDUP(G83,Assumptions!$B$10)</f>
        <v>26682.87</v>
      </c>
      <c r="L83" s="18" t="n">
        <f aca="false">ROUNDDOWN(G83,Assumptions!$B$10)</f>
        <v>26682.87</v>
      </c>
      <c r="M83" s="19" t="n">
        <f aca="false">INT('Cohort Data'!E83/Assumptions!$B$11)</f>
        <v>1</v>
      </c>
    </row>
    <row r="84" customFormat="false" ht="15" hidden="false" customHeight="false" outlineLevel="0" collapsed="false">
      <c r="A84" s="2" t="s">
        <v>184</v>
      </c>
      <c r="B84" s="18" t="n">
        <f aca="false">IF('Cohort Data'!D84=Assumptions!$B$16,ROUND('Cohort Data'!L84*'Cohort Data'!K84*Assumptions!$F$5,Assumptions!$B$10),Assumptions!$B$13)</f>
        <v>59695.44</v>
      </c>
      <c r="C84" s="18" t="n">
        <f aca="false">IF('Cohort Data'!D84=Assumptions!$B$16,ROUND('Cohort Data'!E84*Assumptions!$C$6,Assumptions!$B$10),Assumptions!$B$13)</f>
        <v>6300</v>
      </c>
      <c r="D84" s="18" t="n">
        <f aca="false">SUM(B84:C84)</f>
        <v>65995.44</v>
      </c>
      <c r="E84" s="18" t="n">
        <f aca="false">ROUND(D84/Assumptions!$F$7,Assumptions!$B$10)</f>
        <v>65020.14</v>
      </c>
      <c r="F84" s="18" t="n">
        <f aca="false">ROUND(E84*Assumptions!$C$7,Assumptions!$B$10)</f>
        <v>3576.11</v>
      </c>
      <c r="G84" s="18" t="n">
        <f aca="false">SUM(E84:F84)</f>
        <v>68596.25</v>
      </c>
      <c r="H84" s="18" t="n">
        <f aca="false">ROUND(G84-'Cohort Data'!H84,Assumptions!$B$10)</f>
        <v>24959.93</v>
      </c>
      <c r="I84" s="18" t="n">
        <f aca="false">CEILING(G84,Assumptions!$B$12)</f>
        <v>68600</v>
      </c>
      <c r="J84" s="18" t="n">
        <f aca="false">FLOOR(G84,Assumptions!$B$12)</f>
        <v>68500</v>
      </c>
      <c r="K84" s="18" t="n">
        <f aca="false">ROUNDUP(G84,Assumptions!$B$10)</f>
        <v>68596.25</v>
      </c>
      <c r="L84" s="18" t="n">
        <f aca="false">ROUNDDOWN(G84,Assumptions!$B$10)</f>
        <v>68596.25</v>
      </c>
      <c r="M84" s="19" t="n">
        <f aca="false">INT('Cohort Data'!E84/Assumptions!$B$11)</f>
        <v>1</v>
      </c>
    </row>
    <row r="85" customFormat="false" ht="15" hidden="false" customHeight="false" outlineLevel="0" collapsed="false">
      <c r="A85" s="2" t="s">
        <v>185</v>
      </c>
      <c r="B85" s="18" t="n">
        <f aca="false">IF('Cohort Data'!D85=Assumptions!$B$16,ROUND('Cohort Data'!L85*'Cohort Data'!K85*Assumptions!$F$5,Assumptions!$B$10),Assumptions!$B$13)</f>
        <v>40434.35</v>
      </c>
      <c r="C85" s="18" t="n">
        <f aca="false">IF('Cohort Data'!D85=Assumptions!$B$16,ROUND('Cohort Data'!E85*Assumptions!$C$6,Assumptions!$B$10),Assumptions!$B$13)</f>
        <v>8260</v>
      </c>
      <c r="D85" s="18" t="n">
        <f aca="false">SUM(B85:C85)</f>
        <v>48694.35</v>
      </c>
      <c r="E85" s="18" t="n">
        <f aca="false">ROUND(D85/Assumptions!$F$7,Assumptions!$B$10)</f>
        <v>47974.73</v>
      </c>
      <c r="F85" s="18" t="n">
        <f aca="false">ROUND(E85*Assumptions!$C$7,Assumptions!$B$10)</f>
        <v>2638.61</v>
      </c>
      <c r="G85" s="18" t="n">
        <f aca="false">SUM(E85:F85)</f>
        <v>50613.34</v>
      </c>
      <c r="H85" s="18" t="n">
        <f aca="false">ROUND(G85-'Cohort Data'!H85,Assumptions!$B$10)</f>
        <v>16735.54</v>
      </c>
      <c r="I85" s="18" t="n">
        <f aca="false">CEILING(G85,Assumptions!$B$12)</f>
        <v>50700</v>
      </c>
      <c r="J85" s="18" t="n">
        <f aca="false">FLOOR(G85,Assumptions!$B$12)</f>
        <v>50600</v>
      </c>
      <c r="K85" s="18" t="n">
        <f aca="false">ROUNDUP(G85,Assumptions!$B$10)</f>
        <v>50613.34</v>
      </c>
      <c r="L85" s="18" t="n">
        <f aca="false">ROUNDDOWN(G85,Assumptions!$B$10)</f>
        <v>50613.34</v>
      </c>
      <c r="M85" s="19" t="n">
        <f aca="false">INT('Cohort Data'!E85/Assumptions!$B$11)</f>
        <v>2</v>
      </c>
    </row>
    <row r="86" customFormat="false" ht="15" hidden="false" customHeight="false" outlineLevel="0" collapsed="false">
      <c r="A86" s="2" t="s">
        <v>186</v>
      </c>
      <c r="B86" s="18" t="n">
        <f aca="false">IF('Cohort Data'!D86=Assumptions!$B$16,ROUND('Cohort Data'!L86*'Cohort Data'!K86*Assumptions!$F$5,Assumptions!$B$10),Assumptions!$B$13)</f>
        <v>17936.69</v>
      </c>
      <c r="C86" s="18" t="n">
        <f aca="false">IF('Cohort Data'!D86=Assumptions!$B$16,ROUND('Cohort Data'!E86*Assumptions!$C$6,Assumptions!$B$10),Assumptions!$B$13)</f>
        <v>2240</v>
      </c>
      <c r="D86" s="18" t="n">
        <f aca="false">SUM(B86:C86)</f>
        <v>20176.69</v>
      </c>
      <c r="E86" s="18" t="n">
        <f aca="false">ROUND(D86/Assumptions!$F$7,Assumptions!$B$10)</f>
        <v>19878.51</v>
      </c>
      <c r="F86" s="18" t="n">
        <f aca="false">ROUND(E86*Assumptions!$C$7,Assumptions!$B$10)</f>
        <v>1093.32</v>
      </c>
      <c r="G86" s="18" t="n">
        <f aca="false">SUM(E86:F86)</f>
        <v>20971.83</v>
      </c>
      <c r="H86" s="18" t="n">
        <f aca="false">ROUND(G86-'Cohort Data'!H86,Assumptions!$B$10)</f>
        <v>6187.83</v>
      </c>
      <c r="I86" s="18" t="n">
        <f aca="false">CEILING(G86,Assumptions!$B$12)</f>
        <v>21000</v>
      </c>
      <c r="J86" s="18" t="n">
        <f aca="false">FLOOR(G86,Assumptions!$B$12)</f>
        <v>20900</v>
      </c>
      <c r="K86" s="18" t="n">
        <f aca="false">ROUNDUP(G86,Assumptions!$B$10)</f>
        <v>20971.83</v>
      </c>
      <c r="L86" s="18" t="n">
        <f aca="false">ROUNDDOWN(G86,Assumptions!$B$10)</f>
        <v>20971.83</v>
      </c>
      <c r="M86" s="19" t="n">
        <f aca="false">INT('Cohort Data'!E86/Assumptions!$B$11)</f>
        <v>0</v>
      </c>
    </row>
    <row r="87" customFormat="false" ht="15" hidden="false" customHeight="false" outlineLevel="0" collapsed="false">
      <c r="A87" s="2" t="s">
        <v>187</v>
      </c>
      <c r="B87" s="18" t="n">
        <f aca="false">IF('Cohort Data'!D87=Assumptions!$B$16,ROUND('Cohort Data'!L87*'Cohort Data'!K87*Assumptions!$F$5,Assumptions!$B$10),Assumptions!$B$13)</f>
        <v>25222.67</v>
      </c>
      <c r="C87" s="18" t="n">
        <f aca="false">IF('Cohort Data'!D87=Assumptions!$B$16,ROUND('Cohort Data'!E87*Assumptions!$C$6,Assumptions!$B$10),Assumptions!$B$13)</f>
        <v>2345</v>
      </c>
      <c r="D87" s="18" t="n">
        <f aca="false">SUM(B87:C87)</f>
        <v>27567.67</v>
      </c>
      <c r="E87" s="18" t="n">
        <f aca="false">ROUND(D87/Assumptions!$F$7,Assumptions!$B$10)</f>
        <v>27160.27</v>
      </c>
      <c r="F87" s="18" t="n">
        <f aca="false">ROUND(E87*Assumptions!$C$7,Assumptions!$B$10)</f>
        <v>1493.81</v>
      </c>
      <c r="G87" s="18" t="n">
        <f aca="false">SUM(E87:F87)</f>
        <v>28654.08</v>
      </c>
      <c r="H87" s="18" t="n">
        <f aca="false">ROUND(G87-'Cohort Data'!H87,Assumptions!$B$10)</f>
        <v>8393.28</v>
      </c>
      <c r="I87" s="18" t="n">
        <f aca="false">CEILING(G87,Assumptions!$B$12)</f>
        <v>28700</v>
      </c>
      <c r="J87" s="18" t="n">
        <f aca="false">FLOOR(G87,Assumptions!$B$12)</f>
        <v>28600</v>
      </c>
      <c r="K87" s="18" t="n">
        <f aca="false">ROUNDUP(G87,Assumptions!$B$10)</f>
        <v>28654.08</v>
      </c>
      <c r="L87" s="18" t="n">
        <f aca="false">ROUNDDOWN(G87,Assumptions!$B$10)</f>
        <v>28654.08</v>
      </c>
      <c r="M87" s="19" t="n">
        <f aca="false">INT('Cohort Data'!E87/Assumptions!$B$11)</f>
        <v>0</v>
      </c>
    </row>
    <row r="88" customFormat="false" ht="15" hidden="false" customHeight="false" outlineLevel="0" collapsed="false">
      <c r="A88" s="2" t="s">
        <v>188</v>
      </c>
      <c r="B88" s="18" t="n">
        <f aca="false">IF('Cohort Data'!D88=Assumptions!$B$16,ROUND('Cohort Data'!L88*'Cohort Data'!K88*Assumptions!$F$5,Assumptions!$B$10),Assumptions!$B$13)</f>
        <v>33724.99</v>
      </c>
      <c r="C88" s="18" t="n">
        <f aca="false">IF('Cohort Data'!D88=Assumptions!$B$16,ROUND('Cohort Data'!E88*Assumptions!$C$6,Assumptions!$B$10),Assumptions!$B$13)</f>
        <v>4655</v>
      </c>
      <c r="D88" s="18" t="n">
        <f aca="false">SUM(B88:C88)</f>
        <v>38379.99</v>
      </c>
      <c r="E88" s="18" t="n">
        <f aca="false">ROUND(D88/Assumptions!$F$7,Assumptions!$B$10)</f>
        <v>37812.8</v>
      </c>
      <c r="F88" s="18" t="n">
        <f aca="false">ROUND(E88*Assumptions!$C$7,Assumptions!$B$10)</f>
        <v>2079.7</v>
      </c>
      <c r="G88" s="18" t="n">
        <f aca="false">SUM(E88:F88)</f>
        <v>39892.5</v>
      </c>
      <c r="H88" s="18" t="n">
        <f aca="false">ROUND(G88-'Cohort Data'!H88,Assumptions!$B$10)</f>
        <v>12777.79</v>
      </c>
      <c r="I88" s="18" t="n">
        <f aca="false">CEILING(G88,Assumptions!$B$12)</f>
        <v>39900</v>
      </c>
      <c r="J88" s="18" t="n">
        <f aca="false">FLOOR(G88,Assumptions!$B$12)</f>
        <v>39800</v>
      </c>
      <c r="K88" s="18" t="n">
        <f aca="false">ROUNDUP(G88,Assumptions!$B$10)</f>
        <v>39892.5</v>
      </c>
      <c r="L88" s="18" t="n">
        <f aca="false">ROUNDDOWN(G88,Assumptions!$B$10)</f>
        <v>39892.5</v>
      </c>
      <c r="M88" s="19" t="n">
        <f aca="false">INT('Cohort Data'!E88/Assumptions!$B$11)</f>
        <v>1</v>
      </c>
    </row>
    <row r="89" customFormat="false" ht="15" hidden="false" customHeight="false" outlineLevel="0" collapsed="false">
      <c r="A89" s="2" t="s">
        <v>189</v>
      </c>
      <c r="B89" s="18" t="n">
        <f aca="false">IF('Cohort Data'!D89=Assumptions!$B$16,ROUND('Cohort Data'!L89*'Cohort Data'!K89*Assumptions!$F$5,Assumptions!$B$10),Assumptions!$B$13)</f>
        <v>15374.3</v>
      </c>
      <c r="C89" s="18" t="n">
        <f aca="false">IF('Cohort Data'!D89=Assumptions!$B$16,ROUND('Cohort Data'!E89*Assumptions!$C$6,Assumptions!$B$10),Assumptions!$B$13)</f>
        <v>3360</v>
      </c>
      <c r="D89" s="18" t="n">
        <f aca="false">SUM(B89:C89)</f>
        <v>18734.3</v>
      </c>
      <c r="E89" s="18" t="n">
        <f aca="false">ROUND(D89/Assumptions!$F$7,Assumptions!$B$10)</f>
        <v>18457.44</v>
      </c>
      <c r="F89" s="18" t="n">
        <f aca="false">ROUND(E89*Assumptions!$C$7,Assumptions!$B$10)</f>
        <v>1015.16</v>
      </c>
      <c r="G89" s="18" t="n">
        <f aca="false">SUM(E89:F89)</f>
        <v>19472.6</v>
      </c>
      <c r="H89" s="18" t="n">
        <f aca="false">ROUND(G89-'Cohort Data'!H89,Assumptions!$B$10)</f>
        <v>8067.8</v>
      </c>
      <c r="I89" s="18" t="n">
        <f aca="false">CEILING(G89,Assumptions!$B$12)</f>
        <v>19500</v>
      </c>
      <c r="J89" s="18" t="n">
        <f aca="false">FLOOR(G89,Assumptions!$B$12)</f>
        <v>19400</v>
      </c>
      <c r="K89" s="18" t="n">
        <f aca="false">ROUNDUP(G89,Assumptions!$B$10)</f>
        <v>19472.6</v>
      </c>
      <c r="L89" s="18" t="n">
        <f aca="false">ROUNDDOWN(G89,Assumptions!$B$10)</f>
        <v>19472.6</v>
      </c>
      <c r="M89" s="19" t="n">
        <f aca="false">INT('Cohort Data'!E89/Assumptions!$B$11)</f>
        <v>0</v>
      </c>
    </row>
    <row r="90" customFormat="false" ht="15" hidden="false" customHeight="false" outlineLevel="0" collapsed="false">
      <c r="A90" s="2" t="s">
        <v>190</v>
      </c>
      <c r="B90" s="18" t="n">
        <f aca="false">IF('Cohort Data'!D90=Assumptions!$B$16,ROUND('Cohort Data'!L90*'Cohort Data'!K90*Assumptions!$F$5,Assumptions!$B$10),Assumptions!$B$13)</f>
        <v>34705.82</v>
      </c>
      <c r="C90" s="18" t="n">
        <f aca="false">IF('Cohort Data'!D90=Assumptions!$B$16,ROUND('Cohort Data'!E90*Assumptions!$C$6,Assumptions!$B$10),Assumptions!$B$13)</f>
        <v>4235</v>
      </c>
      <c r="D90" s="18" t="n">
        <f aca="false">SUM(B90:C90)</f>
        <v>38940.82</v>
      </c>
      <c r="E90" s="18" t="n">
        <f aca="false">ROUND(D90/Assumptions!$F$7,Assumptions!$B$10)</f>
        <v>38365.34</v>
      </c>
      <c r="F90" s="18" t="n">
        <f aca="false">ROUND(E90*Assumptions!$C$7,Assumptions!$B$10)</f>
        <v>2110.09</v>
      </c>
      <c r="G90" s="18" t="n">
        <f aca="false">SUM(E90:F90)</f>
        <v>40475.43</v>
      </c>
      <c r="H90" s="18" t="n">
        <f aca="false">ROUND(G90-'Cohort Data'!H90,Assumptions!$B$10)</f>
        <v>12597.03</v>
      </c>
      <c r="I90" s="18" t="n">
        <f aca="false">CEILING(G90,Assumptions!$B$12)</f>
        <v>40500</v>
      </c>
      <c r="J90" s="18" t="n">
        <f aca="false">FLOOR(G90,Assumptions!$B$12)</f>
        <v>40400</v>
      </c>
      <c r="K90" s="18" t="n">
        <f aca="false">ROUNDUP(G90,Assumptions!$B$10)</f>
        <v>40475.43</v>
      </c>
      <c r="L90" s="18" t="n">
        <f aca="false">ROUNDDOWN(G90,Assumptions!$B$10)</f>
        <v>40475.42</v>
      </c>
      <c r="M90" s="19" t="n">
        <f aca="false">INT('Cohort Data'!E90/Assumptions!$B$11)</f>
        <v>1</v>
      </c>
    </row>
    <row r="91" customFormat="false" ht="15" hidden="false" customHeight="false" outlineLevel="0" collapsed="false">
      <c r="A91" s="2" t="s">
        <v>191</v>
      </c>
      <c r="B91" s="18" t="n">
        <f aca="false">IF('Cohort Data'!D91=Assumptions!$B$16,ROUND('Cohort Data'!L91*'Cohort Data'!K91*Assumptions!$F$5,Assumptions!$B$10),Assumptions!$B$13)</f>
        <v>32724.41</v>
      </c>
      <c r="C91" s="18" t="n">
        <f aca="false">IF('Cohort Data'!D91=Assumptions!$B$16,ROUND('Cohort Data'!E91*Assumptions!$C$6,Assumptions!$B$10),Assumptions!$B$13)</f>
        <v>6685</v>
      </c>
      <c r="D91" s="18" t="n">
        <f aca="false">SUM(B91:C91)</f>
        <v>39409.41</v>
      </c>
      <c r="E91" s="18" t="n">
        <f aca="false">ROUND(D91/Assumptions!$F$7,Assumptions!$B$10)</f>
        <v>38827</v>
      </c>
      <c r="F91" s="18" t="n">
        <f aca="false">ROUND(E91*Assumptions!$C$7,Assumptions!$B$10)</f>
        <v>2135.49</v>
      </c>
      <c r="G91" s="18" t="n">
        <f aca="false">SUM(E91:F91)</f>
        <v>40962.49</v>
      </c>
      <c r="H91" s="18" t="n">
        <f aca="false">ROUND(G91-'Cohort Data'!H91,Assumptions!$B$10)</f>
        <v>14098.34</v>
      </c>
      <c r="I91" s="18" t="n">
        <f aca="false">CEILING(G91,Assumptions!$B$12)</f>
        <v>41000</v>
      </c>
      <c r="J91" s="18" t="n">
        <f aca="false">FLOOR(G91,Assumptions!$B$12)</f>
        <v>40900</v>
      </c>
      <c r="K91" s="18" t="n">
        <f aca="false">ROUNDUP(G91,Assumptions!$B$10)</f>
        <v>40962.49</v>
      </c>
      <c r="L91" s="18" t="n">
        <f aca="false">ROUNDDOWN(G91,Assumptions!$B$10)</f>
        <v>40962.49</v>
      </c>
      <c r="M91" s="19" t="n">
        <f aca="false">INT('Cohort Data'!E91/Assumptions!$B$11)</f>
        <v>1</v>
      </c>
    </row>
    <row r="92" customFormat="false" ht="15" hidden="false" customHeight="false" outlineLevel="0" collapsed="false">
      <c r="A92" s="2" t="s">
        <v>192</v>
      </c>
      <c r="B92" s="18" t="n">
        <f aca="false">IF('Cohort Data'!D92=Assumptions!$B$16,ROUND('Cohort Data'!L92*'Cohort Data'!K92*Assumptions!$F$5,Assumptions!$B$10),Assumptions!$B$13)</f>
        <v>30268.16</v>
      </c>
      <c r="C92" s="18" t="n">
        <f aca="false">IF('Cohort Data'!D92=Assumptions!$B$16,ROUND('Cohort Data'!E92*Assumptions!$C$6,Assumptions!$B$10),Assumptions!$B$13)</f>
        <v>3675</v>
      </c>
      <c r="D92" s="18" t="n">
        <f aca="false">SUM(B92:C92)</f>
        <v>33943.16</v>
      </c>
      <c r="E92" s="18" t="n">
        <f aca="false">ROUND(D92/Assumptions!$F$7,Assumptions!$B$10)</f>
        <v>33441.54</v>
      </c>
      <c r="F92" s="18" t="n">
        <f aca="false">ROUND(E92*Assumptions!$C$7,Assumptions!$B$10)</f>
        <v>1839.28</v>
      </c>
      <c r="G92" s="18" t="n">
        <f aca="false">SUM(E92:F92)</f>
        <v>35280.82</v>
      </c>
      <c r="H92" s="18" t="n">
        <f aca="false">ROUND(G92-'Cohort Data'!H92,Assumptions!$B$10)</f>
        <v>11081.26</v>
      </c>
      <c r="I92" s="18" t="n">
        <f aca="false">CEILING(G92,Assumptions!$B$12)</f>
        <v>35300</v>
      </c>
      <c r="J92" s="18" t="n">
        <f aca="false">FLOOR(G92,Assumptions!$B$12)</f>
        <v>35200</v>
      </c>
      <c r="K92" s="18" t="n">
        <f aca="false">ROUNDUP(G92,Assumptions!$B$10)</f>
        <v>35280.82</v>
      </c>
      <c r="L92" s="18" t="n">
        <f aca="false">ROUNDDOWN(G92,Assumptions!$B$10)</f>
        <v>35280.82</v>
      </c>
      <c r="M92" s="19" t="n">
        <f aca="false">INT('Cohort Data'!E92/Assumptions!$B$11)</f>
        <v>1</v>
      </c>
    </row>
    <row r="93" customFormat="false" ht="15" hidden="false" customHeight="false" outlineLevel="0" collapsed="false">
      <c r="A93" s="2" t="s">
        <v>193</v>
      </c>
      <c r="B93" s="18" t="n">
        <f aca="false">IF('Cohort Data'!D93=Assumptions!$B$16,ROUND('Cohort Data'!L93*'Cohort Data'!K93*Assumptions!$F$5,Assumptions!$B$10),Assumptions!$B$13)</f>
        <v>24649.02</v>
      </c>
      <c r="C93" s="18" t="n">
        <f aca="false">IF('Cohort Data'!D93=Assumptions!$B$16,ROUND('Cohort Data'!E93*Assumptions!$C$6,Assumptions!$B$10),Assumptions!$B$13)</f>
        <v>3850</v>
      </c>
      <c r="D93" s="18" t="n">
        <f aca="false">SUM(B93:C93)</f>
        <v>28499.02</v>
      </c>
      <c r="E93" s="18" t="n">
        <f aca="false">ROUND(D93/Assumptions!$F$7,Assumptions!$B$10)</f>
        <v>28077.85</v>
      </c>
      <c r="F93" s="18" t="n">
        <f aca="false">ROUND(E93*Assumptions!$C$7,Assumptions!$B$10)</f>
        <v>1544.28</v>
      </c>
      <c r="G93" s="18" t="n">
        <f aca="false">SUM(E93:F93)</f>
        <v>29622.13</v>
      </c>
      <c r="H93" s="18" t="n">
        <f aca="false">ROUND(G93-'Cohort Data'!H93,Assumptions!$B$10)</f>
        <v>11208.13</v>
      </c>
      <c r="I93" s="18" t="n">
        <f aca="false">CEILING(G93,Assumptions!$B$12)</f>
        <v>29700</v>
      </c>
      <c r="J93" s="18" t="n">
        <f aca="false">FLOOR(G93,Assumptions!$B$12)</f>
        <v>29600</v>
      </c>
      <c r="K93" s="18" t="n">
        <f aca="false">ROUNDUP(G93,Assumptions!$B$10)</f>
        <v>29622.13</v>
      </c>
      <c r="L93" s="18" t="n">
        <f aca="false">ROUNDDOWN(G93,Assumptions!$B$10)</f>
        <v>29622.12</v>
      </c>
      <c r="M93" s="19" t="n">
        <f aca="false">INT('Cohort Data'!E93/Assumptions!$B$11)</f>
        <v>1</v>
      </c>
    </row>
    <row r="94" customFormat="false" ht="15" hidden="false" customHeight="false" outlineLevel="0" collapsed="false">
      <c r="A94" s="2" t="s">
        <v>194</v>
      </c>
      <c r="B94" s="18" t="n">
        <f aca="false">IF('Cohort Data'!D94=Assumptions!$B$16,ROUND('Cohort Data'!L94*'Cohort Data'!K94*Assumptions!$F$5,Assumptions!$B$10),Assumptions!$B$13)</f>
        <v>44080.3</v>
      </c>
      <c r="C94" s="18" t="n">
        <f aca="false">IF('Cohort Data'!D94=Assumptions!$B$16,ROUND('Cohort Data'!E94*Assumptions!$C$6,Assumptions!$B$10),Assumptions!$B$13)</f>
        <v>7035</v>
      </c>
      <c r="D94" s="18" t="n">
        <f aca="false">SUM(B94:C94)</f>
        <v>51115.3</v>
      </c>
      <c r="E94" s="18" t="n">
        <f aca="false">ROUND(D94/Assumptions!$F$7,Assumptions!$B$10)</f>
        <v>50359.9</v>
      </c>
      <c r="F94" s="18" t="n">
        <f aca="false">ROUND(E94*Assumptions!$C$7,Assumptions!$B$10)</f>
        <v>2769.79</v>
      </c>
      <c r="G94" s="18" t="n">
        <f aca="false">SUM(E94:F94)</f>
        <v>53129.69</v>
      </c>
      <c r="H94" s="18" t="n">
        <f aca="false">ROUND(G94-'Cohort Data'!H94,Assumptions!$B$10)</f>
        <v>19181.59</v>
      </c>
      <c r="I94" s="18" t="n">
        <f aca="false">CEILING(G94,Assumptions!$B$12)</f>
        <v>53200</v>
      </c>
      <c r="J94" s="18" t="n">
        <f aca="false">FLOOR(G94,Assumptions!$B$12)</f>
        <v>53100</v>
      </c>
      <c r="K94" s="18" t="n">
        <f aca="false">ROUNDUP(G94,Assumptions!$B$10)</f>
        <v>53129.69</v>
      </c>
      <c r="L94" s="18" t="n">
        <f aca="false">ROUNDDOWN(G94,Assumptions!$B$10)</f>
        <v>53129.69</v>
      </c>
      <c r="M94" s="19" t="n">
        <f aca="false">INT('Cohort Data'!E94/Assumptions!$B$11)</f>
        <v>2</v>
      </c>
    </row>
    <row r="95" customFormat="false" ht="15" hidden="false" customHeight="false" outlineLevel="0" collapsed="false">
      <c r="A95" s="2" t="s">
        <v>195</v>
      </c>
      <c r="B95" s="18" t="n">
        <f aca="false">IF('Cohort Data'!D95=Assumptions!$B$16,ROUND('Cohort Data'!L95*'Cohort Data'!K95*Assumptions!$F$5,Assumptions!$B$10),Assumptions!$B$13)</f>
        <v>32286.04</v>
      </c>
      <c r="C95" s="18" t="n">
        <f aca="false">IF('Cohort Data'!D95=Assumptions!$B$16,ROUND('Cohort Data'!E95*Assumptions!$C$6,Assumptions!$B$10),Assumptions!$B$13)</f>
        <v>2940</v>
      </c>
      <c r="D95" s="18" t="n">
        <f aca="false">SUM(B95:C95)</f>
        <v>35226.04</v>
      </c>
      <c r="E95" s="18" t="n">
        <f aca="false">ROUND(D95/Assumptions!$F$7,Assumptions!$B$10)</f>
        <v>34705.46</v>
      </c>
      <c r="F95" s="18" t="n">
        <f aca="false">ROUND(E95*Assumptions!$C$7,Assumptions!$B$10)</f>
        <v>1908.8</v>
      </c>
      <c r="G95" s="18" t="n">
        <f aca="false">SUM(E95:F95)</f>
        <v>36614.26</v>
      </c>
      <c r="H95" s="18" t="n">
        <f aca="false">ROUND(G95-'Cohort Data'!H95,Assumptions!$B$10)</f>
        <v>12398.07</v>
      </c>
      <c r="I95" s="18" t="n">
        <f aca="false">CEILING(G95,Assumptions!$B$12)</f>
        <v>36700</v>
      </c>
      <c r="J95" s="18" t="n">
        <f aca="false">FLOOR(G95,Assumptions!$B$12)</f>
        <v>36600</v>
      </c>
      <c r="K95" s="18" t="n">
        <f aca="false">ROUNDUP(G95,Assumptions!$B$10)</f>
        <v>36614.26</v>
      </c>
      <c r="L95" s="18" t="n">
        <f aca="false">ROUNDDOWN(G95,Assumptions!$B$10)</f>
        <v>36614.26</v>
      </c>
      <c r="M95" s="19" t="n">
        <f aca="false">INT('Cohort Data'!E95/Assumptions!$B$11)</f>
        <v>0</v>
      </c>
    </row>
    <row r="96" customFormat="false" ht="15" hidden="false" customHeight="false" outlineLevel="0" collapsed="false">
      <c r="A96" s="2" t="s">
        <v>196</v>
      </c>
      <c r="B96" s="18" t="n">
        <f aca="false">IF('Cohort Data'!D96=Assumptions!$B$16,ROUND('Cohort Data'!L96*'Cohort Data'!K96*Assumptions!$F$5,Assumptions!$B$10),Assumptions!$B$13)</f>
        <v>62868.45</v>
      </c>
      <c r="C96" s="18" t="n">
        <f aca="false">IF('Cohort Data'!D96=Assumptions!$B$16,ROUND('Cohort Data'!E96*Assumptions!$C$6,Assumptions!$B$10),Assumptions!$B$13)</f>
        <v>5845</v>
      </c>
      <c r="D96" s="18" t="n">
        <f aca="false">SUM(B96:C96)</f>
        <v>68713.45</v>
      </c>
      <c r="E96" s="18" t="n">
        <f aca="false">ROUND(D96/Assumptions!$F$7,Assumptions!$B$10)</f>
        <v>67697.98</v>
      </c>
      <c r="F96" s="18" t="n">
        <f aca="false">ROUND(E96*Assumptions!$C$7,Assumptions!$B$10)</f>
        <v>3723.39</v>
      </c>
      <c r="G96" s="18" t="n">
        <f aca="false">SUM(E96:F96)</f>
        <v>71421.37</v>
      </c>
      <c r="H96" s="18" t="n">
        <f aca="false">ROUND(G96-'Cohort Data'!H96,Assumptions!$B$10)</f>
        <v>25970.65</v>
      </c>
      <c r="I96" s="18" t="n">
        <f aca="false">CEILING(G96,Assumptions!$B$12)</f>
        <v>71500</v>
      </c>
      <c r="J96" s="18" t="n">
        <f aca="false">FLOOR(G96,Assumptions!$B$12)</f>
        <v>71400</v>
      </c>
      <c r="K96" s="18" t="n">
        <f aca="false">ROUNDUP(G96,Assumptions!$B$10)</f>
        <v>71421.37</v>
      </c>
      <c r="L96" s="18" t="n">
        <f aca="false">ROUNDDOWN(G96,Assumptions!$B$10)</f>
        <v>71421.37</v>
      </c>
      <c r="M96" s="19" t="n">
        <f aca="false">INT('Cohort Data'!E96/Assumptions!$B$11)</f>
        <v>1</v>
      </c>
    </row>
    <row r="97" customFormat="false" ht="15" hidden="false" customHeight="false" outlineLevel="0" collapsed="false">
      <c r="A97" s="2" t="s">
        <v>197</v>
      </c>
      <c r="B97" s="18" t="n">
        <f aca="false">IF('Cohort Data'!D97=Assumptions!$B$16,ROUND('Cohort Data'!L97*'Cohort Data'!K97*Assumptions!$F$5,Assumptions!$B$10),Assumptions!$B$13)</f>
        <v>24055.01</v>
      </c>
      <c r="C97" s="18" t="n">
        <f aca="false">IF('Cohort Data'!D97=Assumptions!$B$16,ROUND('Cohort Data'!E97*Assumptions!$C$6,Assumptions!$B$10),Assumptions!$B$13)</f>
        <v>4095</v>
      </c>
      <c r="D97" s="18" t="n">
        <f aca="false">SUM(B97:C97)</f>
        <v>28150.01</v>
      </c>
      <c r="E97" s="18" t="n">
        <f aca="false">ROUND(D97/Assumptions!$F$7,Assumptions!$B$10)</f>
        <v>27734</v>
      </c>
      <c r="F97" s="18" t="n">
        <f aca="false">ROUND(E97*Assumptions!$C$7,Assumptions!$B$10)</f>
        <v>1525.37</v>
      </c>
      <c r="G97" s="18" t="n">
        <f aca="false">SUM(E97:F97)</f>
        <v>29259.37</v>
      </c>
      <c r="H97" s="18" t="n">
        <f aca="false">ROUND(G97-'Cohort Data'!H97,Assumptions!$B$10)</f>
        <v>9104.95</v>
      </c>
      <c r="I97" s="18" t="n">
        <f aca="false">CEILING(G97,Assumptions!$B$12)</f>
        <v>29300</v>
      </c>
      <c r="J97" s="18" t="n">
        <f aca="false">FLOOR(G97,Assumptions!$B$12)</f>
        <v>29200</v>
      </c>
      <c r="K97" s="18" t="n">
        <f aca="false">ROUNDUP(G97,Assumptions!$B$10)</f>
        <v>29259.37</v>
      </c>
      <c r="L97" s="18" t="n">
        <f aca="false">ROUNDDOWN(G97,Assumptions!$B$10)</f>
        <v>29259.37</v>
      </c>
      <c r="M97" s="19" t="n">
        <f aca="false">INT('Cohort Data'!E97/Assumptions!$B$11)</f>
        <v>1</v>
      </c>
    </row>
    <row r="98" customFormat="false" ht="15" hidden="false" customHeight="false" outlineLevel="0" collapsed="false">
      <c r="A98" s="2" t="s">
        <v>198</v>
      </c>
      <c r="B98" s="18" t="n">
        <f aca="false">IF('Cohort Data'!D98=Assumptions!$B$16,ROUND('Cohort Data'!L98*'Cohort Data'!K98*Assumptions!$F$5,Assumptions!$B$10),Assumptions!$B$13)</f>
        <v>0</v>
      </c>
      <c r="C98" s="18" t="n">
        <f aca="false">IF('Cohort Data'!D98=Assumptions!$B$16,ROUND('Cohort Data'!E98*Assumptions!$C$6,Assumptions!$B$10),Assumptions!$B$13)</f>
        <v>0</v>
      </c>
      <c r="D98" s="18" t="n">
        <f aca="false">SUM(B98:C98)</f>
        <v>0</v>
      </c>
      <c r="E98" s="18" t="n">
        <f aca="false">ROUND(D98/Assumptions!$F$7,Assumptions!$B$10)</f>
        <v>0</v>
      </c>
      <c r="F98" s="18" t="n">
        <f aca="false">ROUND(E98*Assumptions!$C$7,Assumptions!$B$10)</f>
        <v>0</v>
      </c>
      <c r="G98" s="18" t="n">
        <f aca="false">SUM(E98:F98)</f>
        <v>0</v>
      </c>
      <c r="H98" s="18" t="n">
        <f aca="false">ROUND(G98-'Cohort Data'!H98,Assumptions!$B$10)</f>
        <v>-42542.48</v>
      </c>
      <c r="I98" s="18" t="n">
        <f aca="false">CEILING(G98,Assumptions!$B$12)</f>
        <v>0</v>
      </c>
      <c r="J98" s="18" t="n">
        <f aca="false">FLOOR(G98,Assumptions!$B$12)</f>
        <v>0</v>
      </c>
      <c r="K98" s="18" t="n">
        <f aca="false">ROUNDUP(G98,Assumptions!$B$10)</f>
        <v>0</v>
      </c>
      <c r="L98" s="18" t="n">
        <f aca="false">ROUNDDOWN(G98,Assumptions!$B$10)</f>
        <v>0</v>
      </c>
      <c r="M98" s="19" t="n">
        <f aca="false">INT('Cohort Data'!E98/Assumptions!$B$11)</f>
        <v>2</v>
      </c>
    </row>
    <row r="99" customFormat="false" ht="15" hidden="false" customHeight="false" outlineLevel="0" collapsed="false">
      <c r="A99" s="2" t="s">
        <v>199</v>
      </c>
      <c r="B99" s="18" t="n">
        <f aca="false">IF('Cohort Data'!D99=Assumptions!$B$16,ROUND('Cohort Data'!L99*'Cohort Data'!K99*Assumptions!$F$5,Assumptions!$B$10),Assumptions!$B$13)</f>
        <v>35691.78</v>
      </c>
      <c r="C99" s="18" t="n">
        <f aca="false">IF('Cohort Data'!D99=Assumptions!$B$16,ROUND('Cohort Data'!E99*Assumptions!$C$6,Assumptions!$B$10),Assumptions!$B$13)</f>
        <v>6335</v>
      </c>
      <c r="D99" s="18" t="n">
        <f aca="false">SUM(B99:C99)</f>
        <v>42026.78</v>
      </c>
      <c r="E99" s="18" t="n">
        <f aca="false">ROUND(D99/Assumptions!$F$7,Assumptions!$B$10)</f>
        <v>41405.69</v>
      </c>
      <c r="F99" s="18" t="n">
        <f aca="false">ROUND(E99*Assumptions!$C$7,Assumptions!$B$10)</f>
        <v>2277.31</v>
      </c>
      <c r="G99" s="18" t="n">
        <f aca="false">SUM(E99:F99)</f>
        <v>43683</v>
      </c>
      <c r="H99" s="18" t="n">
        <f aca="false">ROUND(G99-'Cohort Data'!H99,Assumptions!$B$10)</f>
        <v>17592.94</v>
      </c>
      <c r="I99" s="18" t="n">
        <f aca="false">CEILING(G99,Assumptions!$B$12)</f>
        <v>43700</v>
      </c>
      <c r="J99" s="18" t="n">
        <f aca="false">FLOOR(G99,Assumptions!$B$12)</f>
        <v>43600</v>
      </c>
      <c r="K99" s="18" t="n">
        <f aca="false">ROUNDUP(G99,Assumptions!$B$10)</f>
        <v>43683</v>
      </c>
      <c r="L99" s="18" t="n">
        <f aca="false">ROUNDDOWN(G99,Assumptions!$B$10)</f>
        <v>43683</v>
      </c>
      <c r="M99" s="19" t="n">
        <f aca="false">INT('Cohort Data'!E99/Assumptions!$B$11)</f>
        <v>1</v>
      </c>
    </row>
    <row r="100" customFormat="false" ht="15" hidden="false" customHeight="false" outlineLevel="0" collapsed="false">
      <c r="A100" s="2" t="s">
        <v>200</v>
      </c>
      <c r="B100" s="18" t="n">
        <f aca="false">IF('Cohort Data'!D100=Assumptions!$B$16,ROUND('Cohort Data'!L100*'Cohort Data'!K100*Assumptions!$F$5,Assumptions!$B$10),Assumptions!$B$13)</f>
        <v>34060.8</v>
      </c>
      <c r="C100" s="18" t="n">
        <f aca="false">IF('Cohort Data'!D100=Assumptions!$B$16,ROUND('Cohort Data'!E100*Assumptions!$C$6,Assumptions!$B$10),Assumptions!$B$13)</f>
        <v>4970</v>
      </c>
      <c r="D100" s="18" t="n">
        <f aca="false">SUM(B100:C100)</f>
        <v>39030.8</v>
      </c>
      <c r="E100" s="18" t="n">
        <f aca="false">ROUND(D100/Assumptions!$F$7,Assumptions!$B$10)</f>
        <v>38453.99</v>
      </c>
      <c r="F100" s="18" t="n">
        <f aca="false">ROUND(E100*Assumptions!$C$7,Assumptions!$B$10)</f>
        <v>2114.97</v>
      </c>
      <c r="G100" s="18" t="n">
        <f aca="false">SUM(E100:F100)</f>
        <v>40568.96</v>
      </c>
      <c r="H100" s="18" t="n">
        <f aca="false">ROUND(G100-'Cohort Data'!H100,Assumptions!$B$10)</f>
        <v>13760.78</v>
      </c>
      <c r="I100" s="18" t="n">
        <f aca="false">CEILING(G100,Assumptions!$B$12)</f>
        <v>40600</v>
      </c>
      <c r="J100" s="18" t="n">
        <f aca="false">FLOOR(G100,Assumptions!$B$12)</f>
        <v>40500</v>
      </c>
      <c r="K100" s="18" t="n">
        <f aca="false">ROUNDUP(G100,Assumptions!$B$10)</f>
        <v>40568.96</v>
      </c>
      <c r="L100" s="18" t="n">
        <f aca="false">ROUNDDOWN(G100,Assumptions!$B$10)</f>
        <v>40568.96</v>
      </c>
      <c r="M100" s="19" t="n">
        <f aca="false">INT('Cohort Data'!E100/Assumptions!$B$11)</f>
        <v>1</v>
      </c>
    </row>
    <row r="101" customFormat="false" ht="15" hidden="false" customHeight="false" outlineLevel="0" collapsed="false">
      <c r="A101" s="2" t="s">
        <v>201</v>
      </c>
      <c r="B101" s="18" t="n">
        <f aca="false">IF('Cohort Data'!D101=Assumptions!$B$16,ROUND('Cohort Data'!L101*'Cohort Data'!K101*Assumptions!$F$5,Assumptions!$B$10),Assumptions!$B$13)</f>
        <v>23125.52</v>
      </c>
      <c r="C101" s="18" t="n">
        <f aca="false">IF('Cohort Data'!D101=Assumptions!$B$16,ROUND('Cohort Data'!E101*Assumptions!$C$6,Assumptions!$B$10),Assumptions!$B$13)</f>
        <v>2660</v>
      </c>
      <c r="D101" s="18" t="n">
        <f aca="false">SUM(B101:C101)</f>
        <v>25785.52</v>
      </c>
      <c r="E101" s="18" t="n">
        <f aca="false">ROUND(D101/Assumptions!$F$7,Assumptions!$B$10)</f>
        <v>25404.45</v>
      </c>
      <c r="F101" s="18" t="n">
        <f aca="false">ROUND(E101*Assumptions!$C$7,Assumptions!$B$10)</f>
        <v>1397.24</v>
      </c>
      <c r="G101" s="18" t="n">
        <f aca="false">SUM(E101:F101)</f>
        <v>26801.69</v>
      </c>
      <c r="H101" s="18" t="n">
        <f aca="false">ROUND(G101-'Cohort Data'!H101,Assumptions!$B$10)</f>
        <v>8884.54</v>
      </c>
      <c r="I101" s="18" t="n">
        <f aca="false">CEILING(G101,Assumptions!$B$12)</f>
        <v>26900</v>
      </c>
      <c r="J101" s="18" t="n">
        <f aca="false">FLOOR(G101,Assumptions!$B$12)</f>
        <v>26800</v>
      </c>
      <c r="K101" s="18" t="n">
        <f aca="false">ROUNDUP(G101,Assumptions!$B$10)</f>
        <v>26801.69</v>
      </c>
      <c r="L101" s="18" t="n">
        <f aca="false">ROUNDDOWN(G101,Assumptions!$B$10)</f>
        <v>26801.69</v>
      </c>
      <c r="M101" s="19" t="n">
        <f aca="false">INT('Cohort Data'!E101/Assumptions!$B$11)</f>
        <v>0</v>
      </c>
    </row>
    <row r="102" customFormat="false" ht="15" hidden="false" customHeight="false" outlineLevel="0" collapsed="false">
      <c r="A102" s="2" t="s">
        <v>202</v>
      </c>
      <c r="B102" s="18" t="n">
        <f aca="false">IF('Cohort Data'!D102=Assumptions!$B$16,ROUND('Cohort Data'!L102*'Cohort Data'!K102*Assumptions!$F$5,Assumptions!$B$10),Assumptions!$B$13)</f>
        <v>73947.06</v>
      </c>
      <c r="C102" s="18" t="n">
        <f aca="false">IF('Cohort Data'!D102=Assumptions!$B$16,ROUND('Cohort Data'!E102*Assumptions!$C$6,Assumptions!$B$10),Assumptions!$B$13)</f>
        <v>8750</v>
      </c>
      <c r="D102" s="18" t="n">
        <f aca="false">SUM(B102:C102)</f>
        <v>82697.06</v>
      </c>
      <c r="E102" s="18" t="n">
        <f aca="false">ROUND(D102/Assumptions!$F$7,Assumptions!$B$10)</f>
        <v>81474.94</v>
      </c>
      <c r="F102" s="18" t="n">
        <f aca="false">ROUND(E102*Assumptions!$C$7,Assumptions!$B$10)</f>
        <v>4481.12</v>
      </c>
      <c r="G102" s="18" t="n">
        <f aca="false">SUM(E102:F102)</f>
        <v>85956.06</v>
      </c>
      <c r="H102" s="18" t="n">
        <f aca="false">ROUND(G102-'Cohort Data'!H102,Assumptions!$B$10)</f>
        <v>30714.06</v>
      </c>
      <c r="I102" s="18" t="n">
        <f aca="false">CEILING(G102,Assumptions!$B$12)</f>
        <v>86000</v>
      </c>
      <c r="J102" s="18" t="n">
        <f aca="false">FLOOR(G102,Assumptions!$B$12)</f>
        <v>85900</v>
      </c>
      <c r="K102" s="18" t="n">
        <f aca="false">ROUNDUP(G102,Assumptions!$B$10)</f>
        <v>85956.06</v>
      </c>
      <c r="L102" s="18" t="n">
        <f aca="false">ROUNDDOWN(G102,Assumptions!$B$10)</f>
        <v>85956.06</v>
      </c>
      <c r="M102" s="19" t="n">
        <f aca="false">INT('Cohort Data'!E102/Assumptions!$B$11)</f>
        <v>2</v>
      </c>
    </row>
    <row r="103" customFormat="false" ht="15" hidden="false" customHeight="false" outlineLevel="0" collapsed="false">
      <c r="A103" s="2" t="s">
        <v>203</v>
      </c>
      <c r="B103" s="18" t="n">
        <f aca="false">IF('Cohort Data'!D103=Assumptions!$B$16,ROUND('Cohort Data'!L103*'Cohort Data'!K103*Assumptions!$F$5,Assumptions!$B$10),Assumptions!$B$13)</f>
        <v>30524.51</v>
      </c>
      <c r="C103" s="18" t="n">
        <f aca="false">IF('Cohort Data'!D103=Assumptions!$B$16,ROUND('Cohort Data'!E103*Assumptions!$C$6,Assumptions!$B$10),Assumptions!$B$13)</f>
        <v>4585</v>
      </c>
      <c r="D103" s="18" t="n">
        <f aca="false">SUM(B103:C103)</f>
        <v>35109.51</v>
      </c>
      <c r="E103" s="18" t="n">
        <f aca="false">ROUND(D103/Assumptions!$F$7,Assumptions!$B$10)</f>
        <v>34590.65</v>
      </c>
      <c r="F103" s="18" t="n">
        <f aca="false">ROUND(E103*Assumptions!$C$7,Assumptions!$B$10)</f>
        <v>1902.49</v>
      </c>
      <c r="G103" s="18" t="n">
        <f aca="false">SUM(E103:F103)</f>
        <v>36493.14</v>
      </c>
      <c r="H103" s="18" t="n">
        <f aca="false">ROUND(G103-'Cohort Data'!H103,Assumptions!$B$10)</f>
        <v>11951.6</v>
      </c>
      <c r="I103" s="18" t="n">
        <f aca="false">CEILING(G103,Assumptions!$B$12)</f>
        <v>36500</v>
      </c>
      <c r="J103" s="18" t="n">
        <f aca="false">FLOOR(G103,Assumptions!$B$12)</f>
        <v>36400</v>
      </c>
      <c r="K103" s="18" t="n">
        <f aca="false">ROUNDUP(G103,Assumptions!$B$10)</f>
        <v>36493.14</v>
      </c>
      <c r="L103" s="18" t="n">
        <f aca="false">ROUNDDOWN(G103,Assumptions!$B$10)</f>
        <v>36493.14</v>
      </c>
      <c r="M103" s="19" t="n">
        <f aca="false">INT('Cohort Data'!E103/Assumptions!$B$11)</f>
        <v>1</v>
      </c>
    </row>
    <row r="104" customFormat="false" ht="15" hidden="false" customHeight="false" outlineLevel="0" collapsed="false">
      <c r="A104" s="2" t="s">
        <v>204</v>
      </c>
      <c r="B104" s="18" t="n">
        <f aca="false">IF('Cohort Data'!D104=Assumptions!$B$16,ROUND('Cohort Data'!L104*'Cohort Data'!K104*Assumptions!$F$5,Assumptions!$B$10),Assumptions!$B$13)</f>
        <v>65797.22</v>
      </c>
      <c r="C104" s="18" t="n">
        <f aca="false">IF('Cohort Data'!D104=Assumptions!$B$16,ROUND('Cohort Data'!E104*Assumptions!$C$6,Assumptions!$B$10),Assumptions!$B$13)</f>
        <v>8715</v>
      </c>
      <c r="D104" s="18" t="n">
        <f aca="false">SUM(B104:C104)</f>
        <v>74512.22</v>
      </c>
      <c r="E104" s="18" t="n">
        <f aca="false">ROUND(D104/Assumptions!$F$7,Assumptions!$B$10)</f>
        <v>73411.05</v>
      </c>
      <c r="F104" s="18" t="n">
        <f aca="false">ROUND(E104*Assumptions!$C$7,Assumptions!$B$10)</f>
        <v>4037.61</v>
      </c>
      <c r="G104" s="18" t="n">
        <f aca="false">SUM(E104:F104)</f>
        <v>77448.66</v>
      </c>
      <c r="H104" s="18" t="n">
        <f aca="false">ROUND(G104-'Cohort Data'!H104,Assumptions!$B$10)</f>
        <v>23758.78</v>
      </c>
      <c r="I104" s="18" t="n">
        <f aca="false">CEILING(G104,Assumptions!$B$12)</f>
        <v>77500</v>
      </c>
      <c r="J104" s="18" t="n">
        <f aca="false">FLOOR(G104,Assumptions!$B$12)</f>
        <v>77400</v>
      </c>
      <c r="K104" s="18" t="n">
        <f aca="false">ROUNDUP(G104,Assumptions!$B$10)</f>
        <v>77448.66</v>
      </c>
      <c r="L104" s="18" t="n">
        <f aca="false">ROUNDDOWN(G104,Assumptions!$B$10)</f>
        <v>77448.66</v>
      </c>
      <c r="M104" s="19" t="n">
        <f aca="false">INT('Cohort Data'!E104/Assumptions!$B$11)</f>
        <v>2</v>
      </c>
    </row>
    <row r="105" customFormat="false" ht="15" hidden="false" customHeight="false" outlineLevel="0" collapsed="false">
      <c r="A105" s="2" t="s">
        <v>205</v>
      </c>
      <c r="B105" s="18" t="n">
        <f aca="false">IF('Cohort Data'!D105=Assumptions!$B$16,ROUND('Cohort Data'!L105*'Cohort Data'!K105*Assumptions!$F$5,Assumptions!$B$10),Assumptions!$B$13)</f>
        <v>18069.97</v>
      </c>
      <c r="C105" s="18" t="n">
        <f aca="false">IF('Cohort Data'!D105=Assumptions!$B$16,ROUND('Cohort Data'!E105*Assumptions!$C$6,Assumptions!$B$10),Assumptions!$B$13)</f>
        <v>2205</v>
      </c>
      <c r="D105" s="18" t="n">
        <f aca="false">SUM(B105:C105)</f>
        <v>20274.97</v>
      </c>
      <c r="E105" s="18" t="n">
        <f aca="false">ROUND(D105/Assumptions!$F$7,Assumptions!$B$10)</f>
        <v>19975.34</v>
      </c>
      <c r="F105" s="18" t="n">
        <f aca="false">ROUND(E105*Assumptions!$C$7,Assumptions!$B$10)</f>
        <v>1098.64</v>
      </c>
      <c r="G105" s="18" t="n">
        <f aca="false">SUM(E105:F105)</f>
        <v>21073.98</v>
      </c>
      <c r="H105" s="18" t="n">
        <f aca="false">ROUND(G105-'Cohort Data'!H105,Assumptions!$B$10)</f>
        <v>6849.08</v>
      </c>
      <c r="I105" s="18" t="n">
        <f aca="false">CEILING(G105,Assumptions!$B$12)</f>
        <v>21100</v>
      </c>
      <c r="J105" s="18" t="n">
        <f aca="false">FLOOR(G105,Assumptions!$B$12)</f>
        <v>21000</v>
      </c>
      <c r="K105" s="18" t="n">
        <f aca="false">ROUNDUP(G105,Assumptions!$B$10)</f>
        <v>21073.98</v>
      </c>
      <c r="L105" s="18" t="n">
        <f aca="false">ROUNDDOWN(G105,Assumptions!$B$10)</f>
        <v>21073.98</v>
      </c>
      <c r="M105" s="19" t="n">
        <f aca="false">INT('Cohort Data'!E105/Assumptions!$B$11)</f>
        <v>0</v>
      </c>
    </row>
    <row r="106" customFormat="false" ht="15" hidden="false" customHeight="false" outlineLevel="0" collapsed="false">
      <c r="A106" s="2" t="s">
        <v>206</v>
      </c>
      <c r="B106" s="18" t="n">
        <f aca="false">IF('Cohort Data'!D106=Assumptions!$B$16,ROUND('Cohort Data'!L106*'Cohort Data'!K106*Assumptions!$F$5,Assumptions!$B$10),Assumptions!$B$13)</f>
        <v>26481.07</v>
      </c>
      <c r="C106" s="18" t="n">
        <f aca="false">IF('Cohort Data'!D106=Assumptions!$B$16,ROUND('Cohort Data'!E106*Assumptions!$C$6,Assumptions!$B$10),Assumptions!$B$13)</f>
        <v>5880</v>
      </c>
      <c r="D106" s="18" t="n">
        <f aca="false">SUM(B106:C106)</f>
        <v>32361.07</v>
      </c>
      <c r="E106" s="18" t="n">
        <f aca="false">ROUND(D106/Assumptions!$F$7,Assumptions!$B$10)</f>
        <v>31882.83</v>
      </c>
      <c r="F106" s="18" t="n">
        <f aca="false">ROUND(E106*Assumptions!$C$7,Assumptions!$B$10)</f>
        <v>1753.56</v>
      </c>
      <c r="G106" s="18" t="n">
        <f aca="false">SUM(E106:F106)</f>
        <v>33636.39</v>
      </c>
      <c r="H106" s="18" t="n">
        <f aca="false">ROUND(G106-'Cohort Data'!H106,Assumptions!$B$10)</f>
        <v>11673.41</v>
      </c>
      <c r="I106" s="18" t="n">
        <f aca="false">CEILING(G106,Assumptions!$B$12)</f>
        <v>33700</v>
      </c>
      <c r="J106" s="18" t="n">
        <f aca="false">FLOOR(G106,Assumptions!$B$12)</f>
        <v>33600</v>
      </c>
      <c r="K106" s="18" t="n">
        <f aca="false">ROUNDUP(G106,Assumptions!$B$10)</f>
        <v>33636.39</v>
      </c>
      <c r="L106" s="18" t="n">
        <f aca="false">ROUNDDOWN(G106,Assumptions!$B$10)</f>
        <v>33636.39</v>
      </c>
      <c r="M106" s="19" t="n">
        <f aca="false">INT('Cohort Data'!E106/Assumptions!$B$11)</f>
        <v>1</v>
      </c>
    </row>
    <row r="107" customFormat="false" ht="15" hidden="false" customHeight="false" outlineLevel="0" collapsed="false">
      <c r="A107" s="2" t="s">
        <v>207</v>
      </c>
      <c r="B107" s="18" t="n">
        <f aca="false">IF('Cohort Data'!D107=Assumptions!$B$16,ROUND('Cohort Data'!L107*'Cohort Data'!K107*Assumptions!$F$5,Assumptions!$B$10),Assumptions!$B$13)</f>
        <v>34616.21</v>
      </c>
      <c r="C107" s="18" t="n">
        <f aca="false">IF('Cohort Data'!D107=Assumptions!$B$16,ROUND('Cohort Data'!E107*Assumptions!$C$6,Assumptions!$B$10),Assumptions!$B$13)</f>
        <v>4585</v>
      </c>
      <c r="D107" s="18" t="n">
        <f aca="false">SUM(B107:C107)</f>
        <v>39201.21</v>
      </c>
      <c r="E107" s="18" t="n">
        <f aca="false">ROUND(D107/Assumptions!$F$7,Assumptions!$B$10)</f>
        <v>38621.88</v>
      </c>
      <c r="F107" s="18" t="n">
        <f aca="false">ROUND(E107*Assumptions!$C$7,Assumptions!$B$10)</f>
        <v>2124.2</v>
      </c>
      <c r="G107" s="18" t="n">
        <f aca="false">SUM(E107:F107)</f>
        <v>40746.08</v>
      </c>
      <c r="H107" s="18" t="n">
        <f aca="false">ROUND(G107-'Cohort Data'!H107,Assumptions!$B$10)</f>
        <v>12214.28</v>
      </c>
      <c r="I107" s="18" t="n">
        <f aca="false">CEILING(G107,Assumptions!$B$12)</f>
        <v>40800</v>
      </c>
      <c r="J107" s="18" t="n">
        <f aca="false">FLOOR(G107,Assumptions!$B$12)</f>
        <v>40700</v>
      </c>
      <c r="K107" s="18" t="n">
        <f aca="false">ROUNDUP(G107,Assumptions!$B$10)</f>
        <v>40746.08</v>
      </c>
      <c r="L107" s="18" t="n">
        <f aca="false">ROUNDDOWN(G107,Assumptions!$B$10)</f>
        <v>40746.07</v>
      </c>
      <c r="M107" s="19" t="n">
        <f aca="false">INT('Cohort Data'!E107/Assumptions!$B$11)</f>
        <v>1</v>
      </c>
    </row>
    <row r="108" customFormat="false" ht="15" hidden="false" customHeight="false" outlineLevel="0" collapsed="false">
      <c r="A108" s="2" t="s">
        <v>208</v>
      </c>
      <c r="B108" s="18" t="n">
        <f aca="false">IF('Cohort Data'!D108=Assumptions!$B$16,ROUND('Cohort Data'!L108*'Cohort Data'!K108*Assumptions!$F$5,Assumptions!$B$10),Assumptions!$B$13)</f>
        <v>48509.27</v>
      </c>
      <c r="C108" s="18" t="n">
        <f aca="false">IF('Cohort Data'!D108=Assumptions!$B$16,ROUND('Cohort Data'!E108*Assumptions!$C$6,Assumptions!$B$10),Assumptions!$B$13)</f>
        <v>8610</v>
      </c>
      <c r="D108" s="18" t="n">
        <f aca="false">SUM(B108:C108)</f>
        <v>57119.27</v>
      </c>
      <c r="E108" s="18" t="n">
        <f aca="false">ROUND(D108/Assumptions!$F$7,Assumptions!$B$10)</f>
        <v>56275.14</v>
      </c>
      <c r="F108" s="18" t="n">
        <f aca="false">ROUND(E108*Assumptions!$C$7,Assumptions!$B$10)</f>
        <v>3095.13</v>
      </c>
      <c r="G108" s="18" t="n">
        <f aca="false">SUM(E108:F108)</f>
        <v>59370.27</v>
      </c>
      <c r="H108" s="18" t="n">
        <f aca="false">ROUND(G108-'Cohort Data'!H108,Assumptions!$B$10)</f>
        <v>24300.51</v>
      </c>
      <c r="I108" s="18" t="n">
        <f aca="false">CEILING(G108,Assumptions!$B$12)</f>
        <v>59400</v>
      </c>
      <c r="J108" s="18" t="n">
        <f aca="false">FLOOR(G108,Assumptions!$B$12)</f>
        <v>59300</v>
      </c>
      <c r="K108" s="18" t="n">
        <f aca="false">ROUNDUP(G108,Assumptions!$B$10)</f>
        <v>59370.27</v>
      </c>
      <c r="L108" s="18" t="n">
        <f aca="false">ROUNDDOWN(G108,Assumptions!$B$10)</f>
        <v>59370.27</v>
      </c>
      <c r="M108" s="19" t="n">
        <f aca="false">INT('Cohort Data'!E108/Assumptions!$B$11)</f>
        <v>2</v>
      </c>
    </row>
    <row r="109" customFormat="false" ht="15" hidden="false" customHeight="false" outlineLevel="0" collapsed="false">
      <c r="A109" s="2" t="s">
        <v>209</v>
      </c>
      <c r="B109" s="18" t="n">
        <f aca="false">IF('Cohort Data'!D109=Assumptions!$B$16,ROUND('Cohort Data'!L109*'Cohort Data'!K109*Assumptions!$F$5,Assumptions!$B$10),Assumptions!$B$13)</f>
        <v>36247</v>
      </c>
      <c r="C109" s="18" t="n">
        <f aca="false">IF('Cohort Data'!D109=Assumptions!$B$16,ROUND('Cohort Data'!E109*Assumptions!$C$6,Assumptions!$B$10),Assumptions!$B$13)</f>
        <v>4515</v>
      </c>
      <c r="D109" s="18" t="n">
        <f aca="false">SUM(B109:C109)</f>
        <v>40762</v>
      </c>
      <c r="E109" s="18" t="n">
        <f aca="false">ROUND(D109/Assumptions!$F$7,Assumptions!$B$10)</f>
        <v>40159.61</v>
      </c>
      <c r="F109" s="18" t="n">
        <f aca="false">ROUND(E109*Assumptions!$C$7,Assumptions!$B$10)</f>
        <v>2208.78</v>
      </c>
      <c r="G109" s="18" t="n">
        <f aca="false">SUM(E109:F109)</f>
        <v>42368.39</v>
      </c>
      <c r="H109" s="18" t="n">
        <f aca="false">ROUND(G109-'Cohort Data'!H109,Assumptions!$B$10)</f>
        <v>11998.95</v>
      </c>
      <c r="I109" s="18" t="n">
        <f aca="false">CEILING(G109,Assumptions!$B$12)</f>
        <v>42400</v>
      </c>
      <c r="J109" s="18" t="n">
        <f aca="false">FLOOR(G109,Assumptions!$B$12)</f>
        <v>42300</v>
      </c>
      <c r="K109" s="18" t="n">
        <f aca="false">ROUNDUP(G109,Assumptions!$B$10)</f>
        <v>42368.39</v>
      </c>
      <c r="L109" s="18" t="n">
        <f aca="false">ROUNDDOWN(G109,Assumptions!$B$10)</f>
        <v>42368.39</v>
      </c>
      <c r="M109" s="19" t="n">
        <f aca="false">INT('Cohort Data'!E109/Assumptions!$B$11)</f>
        <v>1</v>
      </c>
    </row>
    <row r="110" customFormat="false" ht="15" hidden="false" customHeight="false" outlineLevel="0" collapsed="false">
      <c r="A110" s="2" t="s">
        <v>210</v>
      </c>
      <c r="B110" s="18" t="n">
        <f aca="false">IF('Cohort Data'!D110=Assumptions!$B$16,ROUND('Cohort Data'!L110*'Cohort Data'!K110*Assumptions!$F$5,Assumptions!$B$10),Assumptions!$B$13)</f>
        <v>44921.79</v>
      </c>
      <c r="C110" s="18" t="n">
        <f aca="false">IF('Cohort Data'!D110=Assumptions!$B$16,ROUND('Cohort Data'!E110*Assumptions!$C$6,Assumptions!$B$10),Assumptions!$B$13)</f>
        <v>6545</v>
      </c>
      <c r="D110" s="18" t="n">
        <f aca="false">SUM(B110:C110)</f>
        <v>51466.79</v>
      </c>
      <c r="E110" s="18" t="n">
        <f aca="false">ROUND(D110/Assumptions!$F$7,Assumptions!$B$10)</f>
        <v>50706.2</v>
      </c>
      <c r="F110" s="18" t="n">
        <f aca="false">ROUND(E110*Assumptions!$C$7,Assumptions!$B$10)</f>
        <v>2788.84</v>
      </c>
      <c r="G110" s="18" t="n">
        <f aca="false">SUM(E110:F110)</f>
        <v>53495.04</v>
      </c>
      <c r="H110" s="18" t="n">
        <f aca="false">ROUND(G110-'Cohort Data'!H110,Assumptions!$B$10)</f>
        <v>18690.6</v>
      </c>
      <c r="I110" s="18" t="n">
        <f aca="false">CEILING(G110,Assumptions!$B$12)</f>
        <v>53500</v>
      </c>
      <c r="J110" s="18" t="n">
        <f aca="false">FLOOR(G110,Assumptions!$B$12)</f>
        <v>53400</v>
      </c>
      <c r="K110" s="18" t="n">
        <f aca="false">ROUNDUP(G110,Assumptions!$B$10)</f>
        <v>53495.04</v>
      </c>
      <c r="L110" s="18" t="n">
        <f aca="false">ROUNDDOWN(G110,Assumptions!$B$10)</f>
        <v>53495.03</v>
      </c>
      <c r="M110" s="19" t="n">
        <f aca="false">INT('Cohort Data'!E110/Assumptions!$B$11)</f>
        <v>1</v>
      </c>
    </row>
    <row r="111" customFormat="false" ht="15" hidden="false" customHeight="false" outlineLevel="0" collapsed="false">
      <c r="A111" s="2" t="s">
        <v>211</v>
      </c>
      <c r="B111" s="18" t="n">
        <f aca="false">IF('Cohort Data'!D111=Assumptions!$B$16,ROUND('Cohort Data'!L111*'Cohort Data'!K111*Assumptions!$F$5,Assumptions!$B$10),Assumptions!$B$13)</f>
        <v>78751.38</v>
      </c>
      <c r="C111" s="18" t="n">
        <f aca="false">IF('Cohort Data'!D111=Assumptions!$B$16,ROUND('Cohort Data'!E111*Assumptions!$C$6,Assumptions!$B$10),Assumptions!$B$13)</f>
        <v>6685</v>
      </c>
      <c r="D111" s="18" t="n">
        <f aca="false">SUM(B111:C111)</f>
        <v>85436.38</v>
      </c>
      <c r="E111" s="18" t="n">
        <f aca="false">ROUND(D111/Assumptions!$F$7,Assumptions!$B$10)</f>
        <v>84173.77</v>
      </c>
      <c r="F111" s="18" t="n">
        <f aca="false">ROUND(E111*Assumptions!$C$7,Assumptions!$B$10)</f>
        <v>4629.56</v>
      </c>
      <c r="G111" s="18" t="n">
        <f aca="false">SUM(E111:F111)</f>
        <v>88803.33</v>
      </c>
      <c r="H111" s="18" t="n">
        <f aca="false">ROUND(G111-'Cohort Data'!H111,Assumptions!$B$10)</f>
        <v>31870.05</v>
      </c>
      <c r="I111" s="18" t="n">
        <f aca="false">CEILING(G111,Assumptions!$B$12)</f>
        <v>88900</v>
      </c>
      <c r="J111" s="18" t="n">
        <f aca="false">FLOOR(G111,Assumptions!$B$12)</f>
        <v>88800</v>
      </c>
      <c r="K111" s="18" t="n">
        <f aca="false">ROUNDUP(G111,Assumptions!$B$10)</f>
        <v>88803.33</v>
      </c>
      <c r="L111" s="18" t="n">
        <f aca="false">ROUNDDOWN(G111,Assumptions!$B$10)</f>
        <v>88803.33</v>
      </c>
      <c r="M111" s="19" t="n">
        <f aca="false">INT('Cohort Data'!E111/Assumptions!$B$11)</f>
        <v>1</v>
      </c>
    </row>
    <row r="112" customFormat="false" ht="15" hidden="false" customHeight="false" outlineLevel="0" collapsed="false">
      <c r="A112" s="2" t="s">
        <v>212</v>
      </c>
      <c r="B112" s="18" t="n">
        <f aca="false">IF('Cohort Data'!D112=Assumptions!$B$16,ROUND('Cohort Data'!L112*'Cohort Data'!K112*Assumptions!$F$5,Assumptions!$B$10),Assumptions!$B$13)</f>
        <v>19956.75</v>
      </c>
      <c r="C112" s="18" t="n">
        <f aca="false">IF('Cohort Data'!D112=Assumptions!$B$16,ROUND('Cohort Data'!E112*Assumptions!$C$6,Assumptions!$B$10),Assumptions!$B$13)</f>
        <v>3640</v>
      </c>
      <c r="D112" s="18" t="n">
        <f aca="false">SUM(B112:C112)</f>
        <v>23596.75</v>
      </c>
      <c r="E112" s="18" t="n">
        <f aca="false">ROUND(D112/Assumptions!$F$7,Assumptions!$B$10)</f>
        <v>23248.03</v>
      </c>
      <c r="F112" s="18" t="n">
        <f aca="false">ROUND(E112*Assumptions!$C$7,Assumptions!$B$10)</f>
        <v>1278.64</v>
      </c>
      <c r="G112" s="18" t="n">
        <f aca="false">SUM(E112:F112)</f>
        <v>24526.67</v>
      </c>
      <c r="H112" s="18" t="n">
        <f aca="false">ROUND(G112-'Cohort Data'!H112,Assumptions!$B$10)</f>
        <v>8143.76</v>
      </c>
      <c r="I112" s="18" t="n">
        <f aca="false">CEILING(G112,Assumptions!$B$12)</f>
        <v>24600</v>
      </c>
      <c r="J112" s="18" t="n">
        <f aca="false">FLOOR(G112,Assumptions!$B$12)</f>
        <v>24500</v>
      </c>
      <c r="K112" s="18" t="n">
        <f aca="false">ROUNDUP(G112,Assumptions!$B$10)</f>
        <v>24526.67</v>
      </c>
      <c r="L112" s="18" t="n">
        <f aca="false">ROUNDDOWN(G112,Assumptions!$B$10)</f>
        <v>24526.67</v>
      </c>
      <c r="M112" s="19" t="n">
        <f aca="false">INT('Cohort Data'!E112/Assumptions!$B$11)</f>
        <v>1</v>
      </c>
    </row>
    <row r="113" customFormat="false" ht="15" hidden="false" customHeight="false" outlineLevel="0" collapsed="false">
      <c r="A113" s="2" t="s">
        <v>213</v>
      </c>
      <c r="B113" s="18" t="n">
        <f aca="false">IF('Cohort Data'!D113=Assumptions!$B$16,ROUND('Cohort Data'!L113*'Cohort Data'!K113*Assumptions!$F$5,Assumptions!$B$10),Assumptions!$B$13)</f>
        <v>36113.6</v>
      </c>
      <c r="C113" s="18" t="n">
        <f aca="false">IF('Cohort Data'!D113=Assumptions!$B$16,ROUND('Cohort Data'!E113*Assumptions!$C$6,Assumptions!$B$10),Assumptions!$B$13)</f>
        <v>3850</v>
      </c>
      <c r="D113" s="18" t="n">
        <f aca="false">SUM(B113:C113)</f>
        <v>39963.6</v>
      </c>
      <c r="E113" s="18" t="n">
        <f aca="false">ROUND(D113/Assumptions!$F$7,Assumptions!$B$10)</f>
        <v>39373</v>
      </c>
      <c r="F113" s="18" t="n">
        <f aca="false">ROUND(E113*Assumptions!$C$7,Assumptions!$B$10)</f>
        <v>2165.52</v>
      </c>
      <c r="G113" s="18" t="n">
        <f aca="false">SUM(E113:F113)</f>
        <v>41538.52</v>
      </c>
      <c r="H113" s="18" t="n">
        <f aca="false">ROUND(G113-'Cohort Data'!H113,Assumptions!$B$10)</f>
        <v>14451.46</v>
      </c>
      <c r="I113" s="18" t="n">
        <f aca="false">CEILING(G113,Assumptions!$B$12)</f>
        <v>41600</v>
      </c>
      <c r="J113" s="18" t="n">
        <f aca="false">FLOOR(G113,Assumptions!$B$12)</f>
        <v>41500</v>
      </c>
      <c r="K113" s="18" t="n">
        <f aca="false">ROUNDUP(G113,Assumptions!$B$10)</f>
        <v>41538.52</v>
      </c>
      <c r="L113" s="18" t="n">
        <f aca="false">ROUNDDOWN(G113,Assumptions!$B$10)</f>
        <v>41538.52</v>
      </c>
      <c r="M113" s="19" t="n">
        <f aca="false">INT('Cohort Data'!E113/Assumptions!$B$11)</f>
        <v>1</v>
      </c>
    </row>
    <row r="114" customFormat="false" ht="15" hidden="false" customHeight="false" outlineLevel="0" collapsed="false">
      <c r="A114" s="2" t="s">
        <v>214</v>
      </c>
      <c r="B114" s="18" t="n">
        <f aca="false">IF('Cohort Data'!D114=Assumptions!$B$16,ROUND('Cohort Data'!L114*'Cohort Data'!K114*Assumptions!$F$5,Assumptions!$B$10),Assumptions!$B$13)</f>
        <v>44798.47</v>
      </c>
      <c r="C114" s="18" t="n">
        <f aca="false">IF('Cohort Data'!D114=Assumptions!$B$16,ROUND('Cohort Data'!E114*Assumptions!$C$6,Assumptions!$B$10),Assumptions!$B$13)</f>
        <v>8330</v>
      </c>
      <c r="D114" s="18" t="n">
        <f aca="false">SUM(B114:C114)</f>
        <v>53128.47</v>
      </c>
      <c r="E114" s="18" t="n">
        <f aca="false">ROUND(D114/Assumptions!$F$7,Assumptions!$B$10)</f>
        <v>52343.32</v>
      </c>
      <c r="F114" s="18" t="n">
        <f aca="false">ROUND(E114*Assumptions!$C$7,Assumptions!$B$10)</f>
        <v>2878.88</v>
      </c>
      <c r="G114" s="18" t="n">
        <f aca="false">SUM(E114:F114)</f>
        <v>55222.2</v>
      </c>
      <c r="H114" s="18" t="n">
        <f aca="false">ROUND(G114-'Cohort Data'!H114,Assumptions!$B$10)</f>
        <v>22115.45</v>
      </c>
      <c r="I114" s="18" t="n">
        <f aca="false">CEILING(G114,Assumptions!$B$12)</f>
        <v>55300</v>
      </c>
      <c r="J114" s="18" t="n">
        <f aca="false">FLOOR(G114,Assumptions!$B$12)</f>
        <v>55200</v>
      </c>
      <c r="K114" s="18" t="n">
        <f aca="false">ROUNDUP(G114,Assumptions!$B$10)</f>
        <v>55222.2</v>
      </c>
      <c r="L114" s="18" t="n">
        <f aca="false">ROUNDDOWN(G114,Assumptions!$B$10)</f>
        <v>55222.2</v>
      </c>
      <c r="M114" s="19" t="n">
        <f aca="false">INT('Cohort Data'!E114/Assumptions!$B$11)</f>
        <v>2</v>
      </c>
    </row>
    <row r="115" customFormat="false" ht="15" hidden="false" customHeight="false" outlineLevel="0" collapsed="false">
      <c r="A115" s="2" t="s">
        <v>215</v>
      </c>
      <c r="B115" s="18" t="n">
        <f aca="false">IF('Cohort Data'!D115=Assumptions!$B$16,ROUND('Cohort Data'!L115*'Cohort Data'!K115*Assumptions!$F$5,Assumptions!$B$10),Assumptions!$B$13)</f>
        <v>37994.58</v>
      </c>
      <c r="C115" s="18" t="n">
        <f aca="false">IF('Cohort Data'!D115=Assumptions!$B$16,ROUND('Cohort Data'!E115*Assumptions!$C$6,Assumptions!$B$10),Assumptions!$B$13)</f>
        <v>8085</v>
      </c>
      <c r="D115" s="18" t="n">
        <f aca="false">SUM(B115:C115)</f>
        <v>46079.58</v>
      </c>
      <c r="E115" s="18" t="n">
        <f aca="false">ROUND(D115/Assumptions!$F$7,Assumptions!$B$10)</f>
        <v>45398.6</v>
      </c>
      <c r="F115" s="18" t="n">
        <f aca="false">ROUND(E115*Assumptions!$C$7,Assumptions!$B$10)</f>
        <v>2496.92</v>
      </c>
      <c r="G115" s="18" t="n">
        <f aca="false">SUM(E115:F115)</f>
        <v>47895.52</v>
      </c>
      <c r="H115" s="18" t="n">
        <f aca="false">ROUND(G115-'Cohort Data'!H115,Assumptions!$B$10)</f>
        <v>18955.84</v>
      </c>
      <c r="I115" s="18" t="n">
        <f aca="false">CEILING(G115,Assumptions!$B$12)</f>
        <v>47900</v>
      </c>
      <c r="J115" s="18" t="n">
        <f aca="false">FLOOR(G115,Assumptions!$B$12)</f>
        <v>47800</v>
      </c>
      <c r="K115" s="18" t="n">
        <f aca="false">ROUNDUP(G115,Assumptions!$B$10)</f>
        <v>47895.52</v>
      </c>
      <c r="L115" s="18" t="n">
        <f aca="false">ROUNDDOWN(G115,Assumptions!$B$10)</f>
        <v>47895.52</v>
      </c>
      <c r="M115" s="19" t="n">
        <f aca="false">INT('Cohort Data'!E115/Assumptions!$B$11)</f>
        <v>2</v>
      </c>
    </row>
    <row r="116" customFormat="false" ht="15" hidden="false" customHeight="false" outlineLevel="0" collapsed="false">
      <c r="A116" s="2" t="s">
        <v>216</v>
      </c>
      <c r="B116" s="18" t="n">
        <f aca="false">IF('Cohort Data'!D116=Assumptions!$B$16,ROUND('Cohort Data'!L116*'Cohort Data'!K116*Assumptions!$F$5,Assumptions!$B$10),Assumptions!$B$13)</f>
        <v>60736.51</v>
      </c>
      <c r="C116" s="18" t="n">
        <f aca="false">IF('Cohort Data'!D116=Assumptions!$B$16,ROUND('Cohort Data'!E116*Assumptions!$C$6,Assumptions!$B$10),Assumptions!$B$13)</f>
        <v>7175</v>
      </c>
      <c r="D116" s="18" t="n">
        <f aca="false">SUM(B116:C116)</f>
        <v>67911.51</v>
      </c>
      <c r="E116" s="18" t="n">
        <f aca="false">ROUND(D116/Assumptions!$F$7,Assumptions!$B$10)</f>
        <v>66907.89</v>
      </c>
      <c r="F116" s="18" t="n">
        <f aca="false">ROUND(E116*Assumptions!$C$7,Assumptions!$B$10)</f>
        <v>3679.93</v>
      </c>
      <c r="G116" s="18" t="n">
        <f aca="false">SUM(E116:F116)</f>
        <v>70587.82</v>
      </c>
      <c r="H116" s="18" t="n">
        <f aca="false">ROUND(G116-'Cohort Data'!H116,Assumptions!$B$10)</f>
        <v>24031.09</v>
      </c>
      <c r="I116" s="18" t="n">
        <f aca="false">CEILING(G116,Assumptions!$B$12)</f>
        <v>70600</v>
      </c>
      <c r="J116" s="18" t="n">
        <f aca="false">FLOOR(G116,Assumptions!$B$12)</f>
        <v>70500</v>
      </c>
      <c r="K116" s="18" t="n">
        <f aca="false">ROUNDUP(G116,Assumptions!$B$10)</f>
        <v>70587.82</v>
      </c>
      <c r="L116" s="18" t="n">
        <f aca="false">ROUNDDOWN(G116,Assumptions!$B$10)</f>
        <v>70587.81</v>
      </c>
      <c r="M116" s="19" t="n">
        <f aca="false">INT('Cohort Data'!E116/Assumptions!$B$11)</f>
        <v>2</v>
      </c>
    </row>
    <row r="117" customFormat="false" ht="15" hidden="false" customHeight="false" outlineLevel="0" collapsed="false">
      <c r="A117" s="2" t="s">
        <v>217</v>
      </c>
      <c r="B117" s="18" t="n">
        <f aca="false">IF('Cohort Data'!D117=Assumptions!$B$16,ROUND('Cohort Data'!L117*'Cohort Data'!K117*Assumptions!$F$5,Assumptions!$B$10),Assumptions!$B$13)</f>
        <v>0</v>
      </c>
      <c r="C117" s="18" t="n">
        <f aca="false">IF('Cohort Data'!D117=Assumptions!$B$16,ROUND('Cohort Data'!E117*Assumptions!$C$6,Assumptions!$B$10),Assumptions!$B$13)</f>
        <v>0</v>
      </c>
      <c r="D117" s="18" t="n">
        <f aca="false">SUM(B117:C117)</f>
        <v>0</v>
      </c>
      <c r="E117" s="18" t="n">
        <f aca="false">ROUND(D117/Assumptions!$F$7,Assumptions!$B$10)</f>
        <v>0</v>
      </c>
      <c r="F117" s="18" t="n">
        <f aca="false">ROUND(E117*Assumptions!$C$7,Assumptions!$B$10)</f>
        <v>0</v>
      </c>
      <c r="G117" s="18" t="n">
        <f aca="false">SUM(E117:F117)</f>
        <v>0</v>
      </c>
      <c r="H117" s="18" t="n">
        <f aca="false">ROUND(G117-'Cohort Data'!H117,Assumptions!$B$10)</f>
        <v>-45298.44</v>
      </c>
      <c r="I117" s="18" t="n">
        <f aca="false">CEILING(G117,Assumptions!$B$12)</f>
        <v>0</v>
      </c>
      <c r="J117" s="18" t="n">
        <f aca="false">FLOOR(G117,Assumptions!$B$12)</f>
        <v>0</v>
      </c>
      <c r="K117" s="18" t="n">
        <f aca="false">ROUNDUP(G117,Assumptions!$B$10)</f>
        <v>0</v>
      </c>
      <c r="L117" s="18" t="n">
        <f aca="false">ROUNDDOWN(G117,Assumptions!$B$10)</f>
        <v>0</v>
      </c>
      <c r="M117" s="19" t="n">
        <f aca="false">INT('Cohort Data'!E117/Assumptions!$B$11)</f>
        <v>2</v>
      </c>
    </row>
    <row r="118" customFormat="false" ht="15" hidden="false" customHeight="false" outlineLevel="0" collapsed="false">
      <c r="A118" s="2" t="s">
        <v>218</v>
      </c>
      <c r="B118" s="18" t="n">
        <f aca="false">IF('Cohort Data'!D118=Assumptions!$B$16,ROUND('Cohort Data'!L118*'Cohort Data'!K118*Assumptions!$F$5,Assumptions!$B$10),Assumptions!$B$13)</f>
        <v>52921.03</v>
      </c>
      <c r="C118" s="18" t="n">
        <f aca="false">IF('Cohort Data'!D118=Assumptions!$B$16,ROUND('Cohort Data'!E118*Assumptions!$C$6,Assumptions!$B$10),Assumptions!$B$13)</f>
        <v>8190</v>
      </c>
      <c r="D118" s="18" t="n">
        <f aca="false">SUM(B118:C118)</f>
        <v>61111.03</v>
      </c>
      <c r="E118" s="18" t="n">
        <f aca="false">ROUND(D118/Assumptions!$F$7,Assumptions!$B$10)</f>
        <v>60207.91</v>
      </c>
      <c r="F118" s="18" t="n">
        <f aca="false">ROUND(E118*Assumptions!$C$7,Assumptions!$B$10)</f>
        <v>3311.44</v>
      </c>
      <c r="G118" s="18" t="n">
        <f aca="false">SUM(E118:F118)</f>
        <v>63519.35</v>
      </c>
      <c r="H118" s="18" t="n">
        <f aca="false">ROUND(G118-'Cohort Data'!H118,Assumptions!$B$10)</f>
        <v>19627.5</v>
      </c>
      <c r="I118" s="18" t="n">
        <f aca="false">CEILING(G118,Assumptions!$B$12)</f>
        <v>63600</v>
      </c>
      <c r="J118" s="18" t="n">
        <f aca="false">FLOOR(G118,Assumptions!$B$12)</f>
        <v>63500</v>
      </c>
      <c r="K118" s="18" t="n">
        <f aca="false">ROUNDUP(G118,Assumptions!$B$10)</f>
        <v>63519.36</v>
      </c>
      <c r="L118" s="18" t="n">
        <f aca="false">ROUNDDOWN(G118,Assumptions!$B$10)</f>
        <v>63519.35</v>
      </c>
      <c r="M118" s="19" t="n">
        <f aca="false">INT('Cohort Data'!E118/Assumptions!$B$11)</f>
        <v>2</v>
      </c>
    </row>
    <row r="119" customFormat="false" ht="15" hidden="false" customHeight="false" outlineLevel="0" collapsed="false">
      <c r="A119" s="2" t="s">
        <v>219</v>
      </c>
      <c r="B119" s="18" t="n">
        <f aca="false">IF('Cohort Data'!D119=Assumptions!$B$16,ROUND('Cohort Data'!L119*'Cohort Data'!K119*Assumptions!$F$5,Assumptions!$B$10),Assumptions!$B$13)</f>
        <v>67262.58</v>
      </c>
      <c r="C119" s="18" t="n">
        <f aca="false">IF('Cohort Data'!D119=Assumptions!$B$16,ROUND('Cohort Data'!E119*Assumptions!$C$6,Assumptions!$B$10),Assumptions!$B$13)</f>
        <v>8400</v>
      </c>
      <c r="D119" s="18" t="n">
        <f aca="false">SUM(B119:C119)</f>
        <v>75662.58</v>
      </c>
      <c r="E119" s="18" t="n">
        <f aca="false">ROUND(D119/Assumptions!$F$7,Assumptions!$B$10)</f>
        <v>74544.41</v>
      </c>
      <c r="F119" s="18" t="n">
        <f aca="false">ROUND(E119*Assumptions!$C$7,Assumptions!$B$10)</f>
        <v>4099.94</v>
      </c>
      <c r="G119" s="18" t="n">
        <f aca="false">SUM(E119:F119)</f>
        <v>78644.35</v>
      </c>
      <c r="H119" s="18" t="n">
        <f aca="false">ROUND(G119-'Cohort Data'!H119,Assumptions!$B$10)</f>
        <v>23758.75</v>
      </c>
      <c r="I119" s="18" t="n">
        <f aca="false">CEILING(G119,Assumptions!$B$12)</f>
        <v>78700</v>
      </c>
      <c r="J119" s="18" t="n">
        <f aca="false">FLOOR(G119,Assumptions!$B$12)</f>
        <v>78600</v>
      </c>
      <c r="K119" s="18" t="n">
        <f aca="false">ROUNDUP(G119,Assumptions!$B$10)</f>
        <v>78644.35</v>
      </c>
      <c r="L119" s="18" t="n">
        <f aca="false">ROUNDDOWN(G119,Assumptions!$B$10)</f>
        <v>78644.35</v>
      </c>
      <c r="M119" s="19" t="n">
        <f aca="false">INT('Cohort Data'!E119/Assumptions!$B$11)</f>
        <v>2</v>
      </c>
    </row>
    <row r="120" customFormat="false" ht="15" hidden="false" customHeight="false" outlineLevel="0" collapsed="false">
      <c r="A120" s="2" t="s">
        <v>220</v>
      </c>
      <c r="B120" s="18" t="n">
        <f aca="false">IF('Cohort Data'!D120=Assumptions!$B$16,ROUND('Cohort Data'!L120*'Cohort Data'!K120*Assumptions!$F$5,Assumptions!$B$10),Assumptions!$B$13)</f>
        <v>45918.88</v>
      </c>
      <c r="C120" s="18" t="n">
        <f aca="false">IF('Cohort Data'!D120=Assumptions!$B$16,ROUND('Cohort Data'!E120*Assumptions!$C$6,Assumptions!$B$10),Assumptions!$B$13)</f>
        <v>3815</v>
      </c>
      <c r="D120" s="18" t="n">
        <f aca="false">SUM(B120:C120)</f>
        <v>49733.88</v>
      </c>
      <c r="E120" s="18" t="n">
        <f aca="false">ROUND(D120/Assumptions!$F$7,Assumptions!$B$10)</f>
        <v>48998.9</v>
      </c>
      <c r="F120" s="18" t="n">
        <f aca="false">ROUND(E120*Assumptions!$C$7,Assumptions!$B$10)</f>
        <v>2694.94</v>
      </c>
      <c r="G120" s="18" t="n">
        <f aca="false">SUM(E120:F120)</f>
        <v>51693.84</v>
      </c>
      <c r="H120" s="18" t="n">
        <f aca="false">ROUND(G120-'Cohort Data'!H120,Assumptions!$B$10)</f>
        <v>15914.81</v>
      </c>
      <c r="I120" s="18" t="n">
        <f aca="false">CEILING(G120,Assumptions!$B$12)</f>
        <v>51700</v>
      </c>
      <c r="J120" s="18" t="n">
        <f aca="false">FLOOR(G120,Assumptions!$B$12)</f>
        <v>51600</v>
      </c>
      <c r="K120" s="18" t="n">
        <f aca="false">ROUNDUP(G120,Assumptions!$B$10)</f>
        <v>51693.84</v>
      </c>
      <c r="L120" s="18" t="n">
        <f aca="false">ROUNDDOWN(G120,Assumptions!$B$10)</f>
        <v>51693.84</v>
      </c>
      <c r="M120" s="19" t="n">
        <f aca="false">INT('Cohort Data'!E120/Assumptions!$B$11)</f>
        <v>1</v>
      </c>
    </row>
    <row r="121" customFormat="false" ht="15" hidden="false" customHeight="false" outlineLevel="0" collapsed="false">
      <c r="A121" s="2" t="s">
        <v>221</v>
      </c>
      <c r="B121" s="18" t="n">
        <f aca="false">IF('Cohort Data'!D121=Assumptions!$B$16,ROUND('Cohort Data'!L121*'Cohort Data'!K121*Assumptions!$F$5,Assumptions!$B$10),Assumptions!$B$13)</f>
        <v>33320.65</v>
      </c>
      <c r="C121" s="18" t="n">
        <f aca="false">IF('Cohort Data'!D121=Assumptions!$B$16,ROUND('Cohort Data'!E121*Assumptions!$C$6,Assumptions!$B$10),Assumptions!$B$13)</f>
        <v>6545</v>
      </c>
      <c r="D121" s="18" t="n">
        <f aca="false">SUM(B121:C121)</f>
        <v>39865.65</v>
      </c>
      <c r="E121" s="18" t="n">
        <f aca="false">ROUND(D121/Assumptions!$F$7,Assumptions!$B$10)</f>
        <v>39276.5</v>
      </c>
      <c r="F121" s="18" t="n">
        <f aca="false">ROUND(E121*Assumptions!$C$7,Assumptions!$B$10)</f>
        <v>2160.21</v>
      </c>
      <c r="G121" s="18" t="n">
        <f aca="false">SUM(E121:F121)</f>
        <v>41436.71</v>
      </c>
      <c r="H121" s="18" t="n">
        <f aca="false">ROUND(G121-'Cohort Data'!H121,Assumptions!$B$10)</f>
        <v>15211.08</v>
      </c>
      <c r="I121" s="18" t="n">
        <f aca="false">CEILING(G121,Assumptions!$B$12)</f>
        <v>41500</v>
      </c>
      <c r="J121" s="18" t="n">
        <f aca="false">FLOOR(G121,Assumptions!$B$12)</f>
        <v>41400</v>
      </c>
      <c r="K121" s="18" t="n">
        <f aca="false">ROUNDUP(G121,Assumptions!$B$10)</f>
        <v>41436.71</v>
      </c>
      <c r="L121" s="18" t="n">
        <f aca="false">ROUNDDOWN(G121,Assumptions!$B$10)</f>
        <v>41436.71</v>
      </c>
      <c r="M121" s="19" t="n">
        <f aca="false">INT('Cohort Data'!E121/Assumptions!$B$11)</f>
        <v>1</v>
      </c>
    </row>
    <row r="122" customFormat="false" ht="15" hidden="false" customHeight="false" outlineLevel="0" collapsed="false">
      <c r="A122" s="2" t="s">
        <v>222</v>
      </c>
      <c r="B122" s="18" t="n">
        <f aca="false">IF('Cohort Data'!D122=Assumptions!$B$16,ROUND('Cohort Data'!L122*'Cohort Data'!K122*Assumptions!$F$5,Assumptions!$B$10),Assumptions!$B$13)</f>
        <v>21347.86</v>
      </c>
      <c r="C122" s="18" t="n">
        <f aca="false">IF('Cohort Data'!D122=Assumptions!$B$16,ROUND('Cohort Data'!E122*Assumptions!$C$6,Assumptions!$B$10),Assumptions!$B$13)</f>
        <v>2170</v>
      </c>
      <c r="D122" s="18" t="n">
        <f aca="false">SUM(B122:C122)</f>
        <v>23517.86</v>
      </c>
      <c r="E122" s="18" t="n">
        <f aca="false">ROUND(D122/Assumptions!$F$7,Assumptions!$B$10)</f>
        <v>23170.31</v>
      </c>
      <c r="F122" s="18" t="n">
        <f aca="false">ROUND(E122*Assumptions!$C$7,Assumptions!$B$10)</f>
        <v>1274.37</v>
      </c>
      <c r="G122" s="18" t="n">
        <f aca="false">SUM(E122:F122)</f>
        <v>24444.68</v>
      </c>
      <c r="H122" s="18" t="n">
        <f aca="false">ROUND(G122-'Cohort Data'!H122,Assumptions!$B$10)</f>
        <v>7728.86</v>
      </c>
      <c r="I122" s="18" t="n">
        <f aca="false">CEILING(G122,Assumptions!$B$12)</f>
        <v>24500</v>
      </c>
      <c r="J122" s="18" t="n">
        <f aca="false">FLOOR(G122,Assumptions!$B$12)</f>
        <v>24400</v>
      </c>
      <c r="K122" s="18" t="n">
        <f aca="false">ROUNDUP(G122,Assumptions!$B$10)</f>
        <v>24444.68</v>
      </c>
      <c r="L122" s="18" t="n">
        <f aca="false">ROUNDDOWN(G122,Assumptions!$B$10)</f>
        <v>24444.68</v>
      </c>
      <c r="M122" s="19" t="n">
        <f aca="false">INT('Cohort Data'!E122/Assumptions!$B$11)</f>
        <v>0</v>
      </c>
    </row>
    <row r="123" customFormat="false" ht="15" hidden="false" customHeight="false" outlineLevel="0" collapsed="false">
      <c r="A123" s="2" t="s">
        <v>223</v>
      </c>
      <c r="B123" s="18" t="n">
        <f aca="false">IF('Cohort Data'!D123=Assumptions!$B$16,ROUND('Cohort Data'!L123*'Cohort Data'!K123*Assumptions!$F$5,Assumptions!$B$10),Assumptions!$B$13)</f>
        <v>47514.35</v>
      </c>
      <c r="C123" s="18" t="n">
        <f aca="false">IF('Cohort Data'!D123=Assumptions!$B$16,ROUND('Cohort Data'!E123*Assumptions!$C$6,Assumptions!$B$10),Assumptions!$B$13)</f>
        <v>5985</v>
      </c>
      <c r="D123" s="18" t="n">
        <f aca="false">SUM(B123:C123)</f>
        <v>53499.35</v>
      </c>
      <c r="E123" s="18" t="n">
        <f aca="false">ROUND(D123/Assumptions!$F$7,Assumptions!$B$10)</f>
        <v>52708.72</v>
      </c>
      <c r="F123" s="18" t="n">
        <f aca="false">ROUND(E123*Assumptions!$C$7,Assumptions!$B$10)</f>
        <v>2898.98</v>
      </c>
      <c r="G123" s="18" t="n">
        <f aca="false">SUM(E123:F123)</f>
        <v>55607.7</v>
      </c>
      <c r="H123" s="18" t="n">
        <f aca="false">ROUND(G123-'Cohort Data'!H123,Assumptions!$B$10)</f>
        <v>20112.2</v>
      </c>
      <c r="I123" s="18" t="n">
        <f aca="false">CEILING(G123,Assumptions!$B$12)</f>
        <v>55700</v>
      </c>
      <c r="J123" s="18" t="n">
        <f aca="false">FLOOR(G123,Assumptions!$B$12)</f>
        <v>55600</v>
      </c>
      <c r="K123" s="18" t="n">
        <f aca="false">ROUNDUP(G123,Assumptions!$B$10)</f>
        <v>55607.7</v>
      </c>
      <c r="L123" s="18" t="n">
        <f aca="false">ROUNDDOWN(G123,Assumptions!$B$10)</f>
        <v>55607.7</v>
      </c>
      <c r="M123" s="19" t="n">
        <f aca="false">INT('Cohort Data'!E123/Assumptions!$B$11)</f>
        <v>1</v>
      </c>
    </row>
    <row r="124" customFormat="false" ht="15" hidden="false" customHeight="false" outlineLevel="0" collapsed="false">
      <c r="A124" s="2" t="s">
        <v>224</v>
      </c>
      <c r="B124" s="18" t="n">
        <f aca="false">IF('Cohort Data'!D124=Assumptions!$B$16,ROUND('Cohort Data'!L124*'Cohort Data'!K124*Assumptions!$F$5,Assumptions!$B$10),Assumptions!$B$13)</f>
        <v>25281.75</v>
      </c>
      <c r="C124" s="18" t="n">
        <f aca="false">IF('Cohort Data'!D124=Assumptions!$B$16,ROUND('Cohort Data'!E124*Assumptions!$C$6,Assumptions!$B$10),Assumptions!$B$13)</f>
        <v>4165</v>
      </c>
      <c r="D124" s="18" t="n">
        <f aca="false">SUM(B124:C124)</f>
        <v>29446.75</v>
      </c>
      <c r="E124" s="18" t="n">
        <f aca="false">ROUND(D124/Assumptions!$F$7,Assumptions!$B$10)</f>
        <v>29011.58</v>
      </c>
      <c r="F124" s="18" t="n">
        <f aca="false">ROUND(E124*Assumptions!$C$7,Assumptions!$B$10)</f>
        <v>1595.64</v>
      </c>
      <c r="G124" s="18" t="n">
        <f aca="false">SUM(E124:F124)</f>
        <v>30607.22</v>
      </c>
      <c r="H124" s="18" t="n">
        <f aca="false">ROUND(G124-'Cohort Data'!H124,Assumptions!$B$10)</f>
        <v>9852.91</v>
      </c>
      <c r="I124" s="18" t="n">
        <f aca="false">CEILING(G124,Assumptions!$B$12)</f>
        <v>30700</v>
      </c>
      <c r="J124" s="18" t="n">
        <f aca="false">FLOOR(G124,Assumptions!$B$12)</f>
        <v>30600</v>
      </c>
      <c r="K124" s="18" t="n">
        <f aca="false">ROUNDUP(G124,Assumptions!$B$10)</f>
        <v>30607.22</v>
      </c>
      <c r="L124" s="18" t="n">
        <f aca="false">ROUNDDOWN(G124,Assumptions!$B$10)</f>
        <v>30607.22</v>
      </c>
      <c r="M124" s="19" t="n">
        <f aca="false">INT('Cohort Data'!E124/Assumptions!$B$11)</f>
        <v>1</v>
      </c>
    </row>
    <row r="125" customFormat="false" ht="15" hidden="false" customHeight="false" outlineLevel="0" collapsed="false">
      <c r="A125" s="2" t="s">
        <v>225</v>
      </c>
      <c r="B125" s="18" t="n">
        <f aca="false">IF('Cohort Data'!D125=Assumptions!$B$16,ROUND('Cohort Data'!L125*'Cohort Data'!K125*Assumptions!$F$5,Assumptions!$B$10),Assumptions!$B$13)</f>
        <v>21932.41</v>
      </c>
      <c r="C125" s="18" t="n">
        <f aca="false">IF('Cohort Data'!D125=Assumptions!$B$16,ROUND('Cohort Data'!E125*Assumptions!$C$6,Assumptions!$B$10),Assumptions!$B$13)</f>
        <v>2905</v>
      </c>
      <c r="D125" s="18" t="n">
        <f aca="false">SUM(B125:C125)</f>
        <v>24837.41</v>
      </c>
      <c r="E125" s="18" t="n">
        <f aca="false">ROUND(D125/Assumptions!$F$7,Assumptions!$B$10)</f>
        <v>24470.35</v>
      </c>
      <c r="F125" s="18" t="n">
        <f aca="false">ROUND(E125*Assumptions!$C$7,Assumptions!$B$10)</f>
        <v>1345.87</v>
      </c>
      <c r="G125" s="18" t="n">
        <f aca="false">SUM(E125:F125)</f>
        <v>25816.22</v>
      </c>
      <c r="H125" s="18" t="n">
        <f aca="false">ROUND(G125-'Cohort Data'!H125,Assumptions!$B$10)</f>
        <v>8823.46</v>
      </c>
      <c r="I125" s="18" t="n">
        <f aca="false">CEILING(G125,Assumptions!$B$12)</f>
        <v>25900</v>
      </c>
      <c r="J125" s="18" t="n">
        <f aca="false">FLOOR(G125,Assumptions!$B$12)</f>
        <v>25800</v>
      </c>
      <c r="K125" s="18" t="n">
        <f aca="false">ROUNDUP(G125,Assumptions!$B$10)</f>
        <v>25816.22</v>
      </c>
      <c r="L125" s="18" t="n">
        <f aca="false">ROUNDDOWN(G125,Assumptions!$B$10)</f>
        <v>25816.22</v>
      </c>
      <c r="M125" s="19" t="n">
        <f aca="false">INT('Cohort Data'!E125/Assumptions!$B$11)</f>
        <v>0</v>
      </c>
    </row>
    <row r="126" customFormat="false" ht="15" hidden="false" customHeight="false" outlineLevel="0" collapsed="false">
      <c r="A126" s="2" t="s">
        <v>226</v>
      </c>
      <c r="B126" s="18" t="n">
        <f aca="false">IF('Cohort Data'!D126=Assumptions!$B$16,ROUND('Cohort Data'!L126*'Cohort Data'!K126*Assumptions!$F$5,Assumptions!$B$10),Assumptions!$B$13)</f>
        <v>34194.91</v>
      </c>
      <c r="C126" s="18" t="n">
        <f aca="false">IF('Cohort Data'!D126=Assumptions!$B$16,ROUND('Cohort Data'!E126*Assumptions!$C$6,Assumptions!$B$10),Assumptions!$B$13)</f>
        <v>3815</v>
      </c>
      <c r="D126" s="18" t="n">
        <f aca="false">SUM(B126:C126)</f>
        <v>38009.91</v>
      </c>
      <c r="E126" s="18" t="n">
        <f aca="false">ROUND(D126/Assumptions!$F$7,Assumptions!$B$10)</f>
        <v>37448.19</v>
      </c>
      <c r="F126" s="18" t="n">
        <f aca="false">ROUND(E126*Assumptions!$C$7,Assumptions!$B$10)</f>
        <v>2059.65</v>
      </c>
      <c r="G126" s="18" t="n">
        <f aca="false">SUM(E126:F126)</f>
        <v>39507.84</v>
      </c>
      <c r="H126" s="18" t="n">
        <f aca="false">ROUND(G126-'Cohort Data'!H126,Assumptions!$B$10)</f>
        <v>14511.96</v>
      </c>
      <c r="I126" s="18" t="n">
        <f aca="false">CEILING(G126,Assumptions!$B$12)</f>
        <v>39600</v>
      </c>
      <c r="J126" s="18" t="n">
        <f aca="false">FLOOR(G126,Assumptions!$B$12)</f>
        <v>39500</v>
      </c>
      <c r="K126" s="18" t="n">
        <f aca="false">ROUNDUP(G126,Assumptions!$B$10)</f>
        <v>39507.85</v>
      </c>
      <c r="L126" s="18" t="n">
        <f aca="false">ROUNDDOWN(G126,Assumptions!$B$10)</f>
        <v>39507.84</v>
      </c>
      <c r="M126" s="19" t="n">
        <f aca="false">INT('Cohort Data'!E126/Assumptions!$B$11)</f>
        <v>1</v>
      </c>
    </row>
    <row r="127" customFormat="false" ht="15" hidden="false" customHeight="false" outlineLevel="0" collapsed="false">
      <c r="A127" s="2" t="s">
        <v>227</v>
      </c>
      <c r="B127" s="18" t="n">
        <f aca="false">IF('Cohort Data'!D127=Assumptions!$B$16,ROUND('Cohort Data'!L127*'Cohort Data'!K127*Assumptions!$F$5,Assumptions!$B$10),Assumptions!$B$13)</f>
        <v>15858.49</v>
      </c>
      <c r="C127" s="18" t="n">
        <f aca="false">IF('Cohort Data'!D127=Assumptions!$B$16,ROUND('Cohort Data'!E127*Assumptions!$C$6,Assumptions!$B$10),Assumptions!$B$13)</f>
        <v>3115</v>
      </c>
      <c r="D127" s="18" t="n">
        <f aca="false">SUM(B127:C127)</f>
        <v>18973.49</v>
      </c>
      <c r="E127" s="18" t="n">
        <f aca="false">ROUND(D127/Assumptions!$F$7,Assumptions!$B$10)</f>
        <v>18693.09</v>
      </c>
      <c r="F127" s="18" t="n">
        <f aca="false">ROUND(E127*Assumptions!$C$7,Assumptions!$B$10)</f>
        <v>1028.12</v>
      </c>
      <c r="G127" s="18" t="n">
        <f aca="false">SUM(E127:F127)</f>
        <v>19721.21</v>
      </c>
      <c r="H127" s="18" t="n">
        <f aca="false">ROUND(G127-'Cohort Data'!H127,Assumptions!$B$10)</f>
        <v>7373.71</v>
      </c>
      <c r="I127" s="18" t="n">
        <f aca="false">CEILING(G127,Assumptions!$B$12)</f>
        <v>19800</v>
      </c>
      <c r="J127" s="18" t="n">
        <f aca="false">FLOOR(G127,Assumptions!$B$12)</f>
        <v>19700</v>
      </c>
      <c r="K127" s="18" t="n">
        <f aca="false">ROUNDUP(G127,Assumptions!$B$10)</f>
        <v>19721.21</v>
      </c>
      <c r="L127" s="18" t="n">
        <f aca="false">ROUNDDOWN(G127,Assumptions!$B$10)</f>
        <v>19721.21</v>
      </c>
      <c r="M127" s="19" t="n">
        <f aca="false">INT('Cohort Data'!E127/Assumptions!$B$11)</f>
        <v>0</v>
      </c>
    </row>
    <row r="128" customFormat="false" ht="15" hidden="false" customHeight="false" outlineLevel="0" collapsed="false">
      <c r="A128" s="2" t="s">
        <v>228</v>
      </c>
      <c r="B128" s="18" t="n">
        <f aca="false">IF('Cohort Data'!D128=Assumptions!$B$16,ROUND('Cohort Data'!L128*'Cohort Data'!K128*Assumptions!$F$5,Assumptions!$B$10),Assumptions!$B$13)</f>
        <v>14701.68</v>
      </c>
      <c r="C128" s="18" t="n">
        <f aca="false">IF('Cohort Data'!D128=Assumptions!$B$16,ROUND('Cohort Data'!E128*Assumptions!$C$6,Assumptions!$B$10),Assumptions!$B$13)</f>
        <v>2380</v>
      </c>
      <c r="D128" s="18" t="n">
        <f aca="false">SUM(B128:C128)</f>
        <v>17081.68</v>
      </c>
      <c r="E128" s="18" t="n">
        <f aca="false">ROUND(D128/Assumptions!$F$7,Assumptions!$B$10)</f>
        <v>16829.24</v>
      </c>
      <c r="F128" s="18" t="n">
        <f aca="false">ROUND(E128*Assumptions!$C$7,Assumptions!$B$10)</f>
        <v>925.61</v>
      </c>
      <c r="G128" s="18" t="n">
        <f aca="false">SUM(E128:F128)</f>
        <v>17754.85</v>
      </c>
      <c r="H128" s="18" t="n">
        <f aca="false">ROUND(G128-'Cohort Data'!H128,Assumptions!$B$10)</f>
        <v>5637.25</v>
      </c>
      <c r="I128" s="18" t="n">
        <f aca="false">CEILING(G128,Assumptions!$B$12)</f>
        <v>17800</v>
      </c>
      <c r="J128" s="18" t="n">
        <f aca="false">FLOOR(G128,Assumptions!$B$12)</f>
        <v>17700</v>
      </c>
      <c r="K128" s="18" t="n">
        <f aca="false">ROUNDUP(G128,Assumptions!$B$10)</f>
        <v>17754.86</v>
      </c>
      <c r="L128" s="18" t="n">
        <f aca="false">ROUNDDOWN(G128,Assumptions!$B$10)</f>
        <v>17754.85</v>
      </c>
      <c r="M128" s="19" t="n">
        <f aca="false">INT('Cohort Data'!E128/Assumptions!$B$11)</f>
        <v>0</v>
      </c>
    </row>
    <row r="129" customFormat="false" ht="15" hidden="false" customHeight="false" outlineLevel="0" collapsed="false">
      <c r="A129" s="2" t="s">
        <v>229</v>
      </c>
      <c r="B129" s="18" t="n">
        <f aca="false">IF('Cohort Data'!D129=Assumptions!$B$16,ROUND('Cohort Data'!L129*'Cohort Data'!K129*Assumptions!$F$5,Assumptions!$B$10),Assumptions!$B$13)</f>
        <v>16671.7</v>
      </c>
      <c r="C129" s="18" t="n">
        <f aca="false">IF('Cohort Data'!D129=Assumptions!$B$16,ROUND('Cohort Data'!E129*Assumptions!$C$6,Assumptions!$B$10),Assumptions!$B$13)</f>
        <v>3255</v>
      </c>
      <c r="D129" s="18" t="n">
        <f aca="false">SUM(B129:C129)</f>
        <v>19926.7</v>
      </c>
      <c r="E129" s="18" t="n">
        <f aca="false">ROUND(D129/Assumptions!$F$7,Assumptions!$B$10)</f>
        <v>19632.22</v>
      </c>
      <c r="F129" s="18" t="n">
        <f aca="false">ROUND(E129*Assumptions!$C$7,Assumptions!$B$10)</f>
        <v>1079.77</v>
      </c>
      <c r="G129" s="18" t="n">
        <f aca="false">SUM(E129:F129)</f>
        <v>20711.99</v>
      </c>
      <c r="H129" s="18" t="n">
        <f aca="false">ROUND(G129-'Cohort Data'!H129,Assumptions!$B$10)</f>
        <v>7587.83</v>
      </c>
      <c r="I129" s="18" t="n">
        <f aca="false">CEILING(G129,Assumptions!$B$12)</f>
        <v>20800</v>
      </c>
      <c r="J129" s="18" t="n">
        <f aca="false">FLOOR(G129,Assumptions!$B$12)</f>
        <v>20700</v>
      </c>
      <c r="K129" s="18" t="n">
        <f aca="false">ROUNDUP(G129,Assumptions!$B$10)</f>
        <v>20711.99</v>
      </c>
      <c r="L129" s="18" t="n">
        <f aca="false">ROUNDDOWN(G129,Assumptions!$B$10)</f>
        <v>20711.99</v>
      </c>
      <c r="M129" s="19" t="n">
        <f aca="false">INT('Cohort Data'!E129/Assumptions!$B$11)</f>
        <v>0</v>
      </c>
    </row>
    <row r="130" customFormat="false" ht="15" hidden="false" customHeight="false" outlineLevel="0" collapsed="false">
      <c r="A130" s="2" t="s">
        <v>230</v>
      </c>
      <c r="B130" s="18" t="n">
        <f aca="false">IF('Cohort Data'!D130=Assumptions!$B$16,ROUND('Cohort Data'!L130*'Cohort Data'!K130*Assumptions!$F$5,Assumptions!$B$10),Assumptions!$B$13)</f>
        <v>13980.69</v>
      </c>
      <c r="C130" s="18" t="n">
        <f aca="false">IF('Cohort Data'!D130=Assumptions!$B$16,ROUND('Cohort Data'!E130*Assumptions!$C$6,Assumptions!$B$10),Assumptions!$B$13)</f>
        <v>2100</v>
      </c>
      <c r="D130" s="18" t="n">
        <f aca="false">SUM(B130:C130)</f>
        <v>16080.69</v>
      </c>
      <c r="E130" s="18" t="n">
        <f aca="false">ROUND(D130/Assumptions!$F$7,Assumptions!$B$10)</f>
        <v>15843.04</v>
      </c>
      <c r="F130" s="18" t="n">
        <f aca="false">ROUND(E130*Assumptions!$C$7,Assumptions!$B$10)</f>
        <v>871.37</v>
      </c>
      <c r="G130" s="18" t="n">
        <f aca="false">SUM(E130:F130)</f>
        <v>16714.41</v>
      </c>
      <c r="H130" s="18" t="n">
        <f aca="false">ROUND(G130-'Cohort Data'!H130,Assumptions!$B$10)</f>
        <v>6065.61</v>
      </c>
      <c r="I130" s="18" t="n">
        <f aca="false">CEILING(G130,Assumptions!$B$12)</f>
        <v>16800</v>
      </c>
      <c r="J130" s="18" t="n">
        <f aca="false">FLOOR(G130,Assumptions!$B$12)</f>
        <v>16700</v>
      </c>
      <c r="K130" s="18" t="n">
        <f aca="false">ROUNDUP(G130,Assumptions!$B$10)</f>
        <v>16714.41</v>
      </c>
      <c r="L130" s="18" t="n">
        <f aca="false">ROUNDDOWN(G130,Assumptions!$B$10)</f>
        <v>16714.41</v>
      </c>
      <c r="M130" s="19" t="n">
        <f aca="false">INT('Cohort Data'!E130/Assumptions!$B$11)</f>
        <v>0</v>
      </c>
    </row>
    <row r="131" customFormat="false" ht="15" hidden="false" customHeight="false" outlineLevel="0" collapsed="false">
      <c r="A131" s="2" t="s">
        <v>231</v>
      </c>
      <c r="B131" s="18" t="n">
        <f aca="false">IF('Cohort Data'!D131=Assumptions!$B$16,ROUND('Cohort Data'!L131*'Cohort Data'!K131*Assumptions!$F$5,Assumptions!$B$10),Assumptions!$B$13)</f>
        <v>57173.19</v>
      </c>
      <c r="C131" s="18" t="n">
        <f aca="false">IF('Cohort Data'!D131=Assumptions!$B$16,ROUND('Cohort Data'!E131*Assumptions!$C$6,Assumptions!$B$10),Assumptions!$B$13)</f>
        <v>8330</v>
      </c>
      <c r="D131" s="18" t="n">
        <f aca="false">SUM(B131:C131)</f>
        <v>65503.19</v>
      </c>
      <c r="E131" s="18" t="n">
        <f aca="false">ROUND(D131/Assumptions!$F$7,Assumptions!$B$10)</f>
        <v>64535.16</v>
      </c>
      <c r="F131" s="18" t="n">
        <f aca="false">ROUND(E131*Assumptions!$C$7,Assumptions!$B$10)</f>
        <v>3549.43</v>
      </c>
      <c r="G131" s="18" t="n">
        <f aca="false">SUM(E131:F131)</f>
        <v>68084.59</v>
      </c>
      <c r="H131" s="18" t="n">
        <f aca="false">ROUND(G131-'Cohort Data'!H131,Assumptions!$B$10)</f>
        <v>22845.55</v>
      </c>
      <c r="I131" s="18" t="n">
        <f aca="false">CEILING(G131,Assumptions!$B$12)</f>
        <v>68100</v>
      </c>
      <c r="J131" s="18" t="n">
        <f aca="false">FLOOR(G131,Assumptions!$B$12)</f>
        <v>68000</v>
      </c>
      <c r="K131" s="18" t="n">
        <f aca="false">ROUNDUP(G131,Assumptions!$B$10)</f>
        <v>68084.59</v>
      </c>
      <c r="L131" s="18" t="n">
        <f aca="false">ROUNDDOWN(G131,Assumptions!$B$10)</f>
        <v>68084.59</v>
      </c>
      <c r="M131" s="19" t="n">
        <f aca="false">INT('Cohort Data'!E131/Assumptions!$B$11)</f>
        <v>2</v>
      </c>
    </row>
    <row r="132" customFormat="false" ht="15" hidden="false" customHeight="false" outlineLevel="0" collapsed="false">
      <c r="A132" s="2" t="s">
        <v>232</v>
      </c>
      <c r="B132" s="18" t="n">
        <f aca="false">IF('Cohort Data'!D132=Assumptions!$B$16,ROUND('Cohort Data'!L132*'Cohort Data'!K132*Assumptions!$F$5,Assumptions!$B$10),Assumptions!$B$13)</f>
        <v>37072.13</v>
      </c>
      <c r="C132" s="18" t="n">
        <f aca="false">IF('Cohort Data'!D132=Assumptions!$B$16,ROUND('Cohort Data'!E132*Assumptions!$C$6,Assumptions!$B$10),Assumptions!$B$13)</f>
        <v>3290</v>
      </c>
      <c r="D132" s="18" t="n">
        <f aca="false">SUM(B132:C132)</f>
        <v>40362.13</v>
      </c>
      <c r="E132" s="18" t="n">
        <f aca="false">ROUND(D132/Assumptions!$F$7,Assumptions!$B$10)</f>
        <v>39765.65</v>
      </c>
      <c r="F132" s="18" t="n">
        <f aca="false">ROUND(E132*Assumptions!$C$7,Assumptions!$B$10)</f>
        <v>2187.11</v>
      </c>
      <c r="G132" s="18" t="n">
        <f aca="false">SUM(E132:F132)</f>
        <v>41952.76</v>
      </c>
      <c r="H132" s="18" t="n">
        <f aca="false">ROUND(G132-'Cohort Data'!H132,Assumptions!$B$10)</f>
        <v>12173.56</v>
      </c>
      <c r="I132" s="18" t="n">
        <f aca="false">CEILING(G132,Assumptions!$B$12)</f>
        <v>42000</v>
      </c>
      <c r="J132" s="18" t="n">
        <f aca="false">FLOOR(G132,Assumptions!$B$12)</f>
        <v>41900</v>
      </c>
      <c r="K132" s="18" t="n">
        <f aca="false">ROUNDUP(G132,Assumptions!$B$10)</f>
        <v>41952.76</v>
      </c>
      <c r="L132" s="18" t="n">
        <f aca="false">ROUNDDOWN(G132,Assumptions!$B$10)</f>
        <v>41952.76</v>
      </c>
      <c r="M132" s="19" t="n">
        <f aca="false">INT('Cohort Data'!E132/Assumptions!$B$11)</f>
        <v>0</v>
      </c>
    </row>
    <row r="133" customFormat="false" ht="15" hidden="false" customHeight="false" outlineLevel="0" collapsed="false">
      <c r="A133" s="2" t="s">
        <v>233</v>
      </c>
      <c r="B133" s="18" t="n">
        <f aca="false">IF('Cohort Data'!D133=Assumptions!$B$16,ROUND('Cohort Data'!L133*'Cohort Data'!K133*Assumptions!$F$5,Assumptions!$B$10),Assumptions!$B$13)</f>
        <v>41736.48</v>
      </c>
      <c r="C133" s="18" t="n">
        <f aca="false">IF('Cohort Data'!D133=Assumptions!$B$16,ROUND('Cohort Data'!E133*Assumptions!$C$6,Assumptions!$B$10),Assumptions!$B$13)</f>
        <v>7350</v>
      </c>
      <c r="D133" s="18" t="n">
        <f aca="false">SUM(B133:C133)</f>
        <v>49086.48</v>
      </c>
      <c r="E133" s="18" t="n">
        <f aca="false">ROUND(D133/Assumptions!$F$7,Assumptions!$B$10)</f>
        <v>48361.06</v>
      </c>
      <c r="F133" s="18" t="n">
        <f aca="false">ROUND(E133*Assumptions!$C$7,Assumptions!$B$10)</f>
        <v>2659.86</v>
      </c>
      <c r="G133" s="18" t="n">
        <f aca="false">SUM(E133:F133)</f>
        <v>51020.92</v>
      </c>
      <c r="H133" s="18" t="n">
        <f aca="false">ROUND(G133-'Cohort Data'!H133,Assumptions!$B$10)</f>
        <v>18877.9</v>
      </c>
      <c r="I133" s="18" t="n">
        <f aca="false">CEILING(G133,Assumptions!$B$12)</f>
        <v>51100</v>
      </c>
      <c r="J133" s="18" t="n">
        <f aca="false">FLOOR(G133,Assumptions!$B$12)</f>
        <v>51000</v>
      </c>
      <c r="K133" s="18" t="n">
        <f aca="false">ROUNDUP(G133,Assumptions!$B$10)</f>
        <v>51020.92</v>
      </c>
      <c r="L133" s="18" t="n">
        <f aca="false">ROUNDDOWN(G133,Assumptions!$B$10)</f>
        <v>51020.92</v>
      </c>
      <c r="M133" s="19" t="n">
        <f aca="false">INT('Cohort Data'!E133/Assumptions!$B$11)</f>
        <v>2</v>
      </c>
    </row>
    <row r="134" customFormat="false" ht="15" hidden="false" customHeight="false" outlineLevel="0" collapsed="false">
      <c r="A134" s="2" t="s">
        <v>234</v>
      </c>
      <c r="B134" s="18" t="n">
        <f aca="false">IF('Cohort Data'!D134=Assumptions!$B$16,ROUND('Cohort Data'!L134*'Cohort Data'!K134*Assumptions!$F$5,Assumptions!$B$10),Assumptions!$B$13)</f>
        <v>40213.41</v>
      </c>
      <c r="C134" s="18" t="n">
        <f aca="false">IF('Cohort Data'!D134=Assumptions!$B$16,ROUND('Cohort Data'!E134*Assumptions!$C$6,Assumptions!$B$10),Assumptions!$B$13)</f>
        <v>6510</v>
      </c>
      <c r="D134" s="18" t="n">
        <f aca="false">SUM(B134:C134)</f>
        <v>46723.41</v>
      </c>
      <c r="E134" s="18" t="n">
        <f aca="false">ROUND(D134/Assumptions!$F$7,Assumptions!$B$10)</f>
        <v>46032.92</v>
      </c>
      <c r="F134" s="18" t="n">
        <f aca="false">ROUND(E134*Assumptions!$C$7,Assumptions!$B$10)</f>
        <v>2531.81</v>
      </c>
      <c r="G134" s="18" t="n">
        <f aca="false">SUM(E134:F134)</f>
        <v>48564.73</v>
      </c>
      <c r="H134" s="18" t="n">
        <f aca="false">ROUND(G134-'Cohort Data'!H134,Assumptions!$B$10)</f>
        <v>17739.69</v>
      </c>
      <c r="I134" s="18" t="n">
        <f aca="false">CEILING(G134,Assumptions!$B$12)</f>
        <v>48600</v>
      </c>
      <c r="J134" s="18" t="n">
        <f aca="false">FLOOR(G134,Assumptions!$B$12)</f>
        <v>48500</v>
      </c>
      <c r="K134" s="18" t="n">
        <f aca="false">ROUNDUP(G134,Assumptions!$B$10)</f>
        <v>48564.73</v>
      </c>
      <c r="L134" s="18" t="n">
        <f aca="false">ROUNDDOWN(G134,Assumptions!$B$10)</f>
        <v>48564.73</v>
      </c>
      <c r="M134" s="19" t="n">
        <f aca="false">INT('Cohort Data'!E134/Assumptions!$B$11)</f>
        <v>1</v>
      </c>
    </row>
    <row r="135" customFormat="false" ht="15" hidden="false" customHeight="false" outlineLevel="0" collapsed="false">
      <c r="A135" s="2" t="s">
        <v>235</v>
      </c>
      <c r="B135" s="18" t="n">
        <f aca="false">IF('Cohort Data'!D135=Assumptions!$B$16,ROUND('Cohort Data'!L135*'Cohort Data'!K135*Assumptions!$F$5,Assumptions!$B$10),Assumptions!$B$13)</f>
        <v>54676.01</v>
      </c>
      <c r="C135" s="18" t="n">
        <f aca="false">IF('Cohort Data'!D135=Assumptions!$B$16,ROUND('Cohort Data'!E135*Assumptions!$C$6,Assumptions!$B$10),Assumptions!$B$13)</f>
        <v>8540</v>
      </c>
      <c r="D135" s="18" t="n">
        <f aca="false">SUM(B135:C135)</f>
        <v>63216.01</v>
      </c>
      <c r="E135" s="18" t="n">
        <f aca="false">ROUND(D135/Assumptions!$F$7,Assumptions!$B$10)</f>
        <v>62281.78</v>
      </c>
      <c r="F135" s="18" t="n">
        <f aca="false">ROUND(E135*Assumptions!$C$7,Assumptions!$B$10)</f>
        <v>3425.5</v>
      </c>
      <c r="G135" s="18" t="n">
        <f aca="false">SUM(E135:F135)</f>
        <v>65707.28</v>
      </c>
      <c r="H135" s="18" t="n">
        <f aca="false">ROUND(G135-'Cohort Data'!H135,Assumptions!$B$10)</f>
        <v>24861.68</v>
      </c>
      <c r="I135" s="18" t="n">
        <f aca="false">CEILING(G135,Assumptions!$B$12)</f>
        <v>65800</v>
      </c>
      <c r="J135" s="18" t="n">
        <f aca="false">FLOOR(G135,Assumptions!$B$12)</f>
        <v>65700</v>
      </c>
      <c r="K135" s="18" t="n">
        <f aca="false">ROUNDUP(G135,Assumptions!$B$10)</f>
        <v>65707.28</v>
      </c>
      <c r="L135" s="18" t="n">
        <f aca="false">ROUNDDOWN(G135,Assumptions!$B$10)</f>
        <v>65707.28</v>
      </c>
      <c r="M135" s="19" t="n">
        <f aca="false">INT('Cohort Data'!E135/Assumptions!$B$11)</f>
        <v>2</v>
      </c>
    </row>
    <row r="136" customFormat="false" ht="15" hidden="false" customHeight="false" outlineLevel="0" collapsed="false">
      <c r="A136" s="2" t="s">
        <v>236</v>
      </c>
      <c r="B136" s="18" t="n">
        <f aca="false">IF('Cohort Data'!D136=Assumptions!$B$16,ROUND('Cohort Data'!L136*'Cohort Data'!K136*Assumptions!$F$5,Assumptions!$B$10),Assumptions!$B$13)</f>
        <v>0</v>
      </c>
      <c r="C136" s="18" t="n">
        <f aca="false">IF('Cohort Data'!D136=Assumptions!$B$16,ROUND('Cohort Data'!E136*Assumptions!$C$6,Assumptions!$B$10),Assumptions!$B$13)</f>
        <v>0</v>
      </c>
      <c r="D136" s="18" t="n">
        <f aca="false">SUM(B136:C136)</f>
        <v>0</v>
      </c>
      <c r="E136" s="18" t="n">
        <f aca="false">ROUND(D136/Assumptions!$F$7,Assumptions!$B$10)</f>
        <v>0</v>
      </c>
      <c r="F136" s="18" t="n">
        <f aca="false">ROUND(E136*Assumptions!$C$7,Assumptions!$B$10)</f>
        <v>0</v>
      </c>
      <c r="G136" s="18" t="n">
        <f aca="false">SUM(E136:F136)</f>
        <v>0</v>
      </c>
      <c r="H136" s="18" t="n">
        <f aca="false">ROUND(G136-'Cohort Data'!H136,Assumptions!$B$10)</f>
        <v>-7589.36</v>
      </c>
      <c r="I136" s="18" t="n">
        <f aca="false">CEILING(G136,Assumptions!$B$12)</f>
        <v>0</v>
      </c>
      <c r="J136" s="18" t="n">
        <f aca="false">FLOOR(G136,Assumptions!$B$12)</f>
        <v>0</v>
      </c>
      <c r="K136" s="18" t="n">
        <f aca="false">ROUNDUP(G136,Assumptions!$B$10)</f>
        <v>0</v>
      </c>
      <c r="L136" s="18" t="n">
        <f aca="false">ROUNDDOWN(G136,Assumptions!$B$10)</f>
        <v>0</v>
      </c>
      <c r="M136" s="19" t="n">
        <f aca="false">INT('Cohort Data'!E136/Assumptions!$B$11)</f>
        <v>0</v>
      </c>
    </row>
    <row r="137" customFormat="false" ht="15" hidden="false" customHeight="false" outlineLevel="0" collapsed="false">
      <c r="A137" s="2" t="s">
        <v>237</v>
      </c>
      <c r="B137" s="18" t="n">
        <f aca="false">IF('Cohort Data'!D137=Assumptions!$B$16,ROUND('Cohort Data'!L137*'Cohort Data'!K137*Assumptions!$F$5,Assumptions!$B$10),Assumptions!$B$13)</f>
        <v>60512.3</v>
      </c>
      <c r="C137" s="18" t="n">
        <f aca="false">IF('Cohort Data'!D137=Assumptions!$B$16,ROUND('Cohort Data'!E137*Assumptions!$C$6,Assumptions!$B$10),Assumptions!$B$13)</f>
        <v>8015</v>
      </c>
      <c r="D137" s="18" t="n">
        <f aca="false">SUM(B137:C137)</f>
        <v>68527.3</v>
      </c>
      <c r="E137" s="18" t="n">
        <f aca="false">ROUND(D137/Assumptions!$F$7,Assumptions!$B$10)</f>
        <v>67514.58</v>
      </c>
      <c r="F137" s="18" t="n">
        <f aca="false">ROUND(E137*Assumptions!$C$7,Assumptions!$B$10)</f>
        <v>3713.3</v>
      </c>
      <c r="G137" s="18" t="n">
        <f aca="false">SUM(E137:F137)</f>
        <v>71227.88</v>
      </c>
      <c r="H137" s="18" t="n">
        <f aca="false">ROUND(G137-'Cohort Data'!H137,Assumptions!$B$10)</f>
        <v>21850.44</v>
      </c>
      <c r="I137" s="18" t="n">
        <f aca="false">CEILING(G137,Assumptions!$B$12)</f>
        <v>71300</v>
      </c>
      <c r="J137" s="18" t="n">
        <f aca="false">FLOOR(G137,Assumptions!$B$12)</f>
        <v>71200</v>
      </c>
      <c r="K137" s="18" t="n">
        <f aca="false">ROUNDUP(G137,Assumptions!$B$10)</f>
        <v>71227.88</v>
      </c>
      <c r="L137" s="18" t="n">
        <f aca="false">ROUNDDOWN(G137,Assumptions!$B$10)</f>
        <v>71227.88</v>
      </c>
      <c r="M137" s="19" t="n">
        <f aca="false">INT('Cohort Data'!E137/Assumptions!$B$11)</f>
        <v>2</v>
      </c>
    </row>
    <row r="138" customFormat="false" ht="15" hidden="false" customHeight="false" outlineLevel="0" collapsed="false">
      <c r="A138" s="2" t="s">
        <v>238</v>
      </c>
      <c r="B138" s="18" t="n">
        <f aca="false">IF('Cohort Data'!D138=Assumptions!$B$16,ROUND('Cohort Data'!L138*'Cohort Data'!K138*Assumptions!$F$5,Assumptions!$B$10),Assumptions!$B$13)</f>
        <v>69806.02</v>
      </c>
      <c r="C138" s="18" t="n">
        <f aca="false">IF('Cohort Data'!D138=Assumptions!$B$16,ROUND('Cohort Data'!E138*Assumptions!$C$6,Assumptions!$B$10),Assumptions!$B$13)</f>
        <v>8260</v>
      </c>
      <c r="D138" s="18" t="n">
        <f aca="false">SUM(B138:C138)</f>
        <v>78066.02</v>
      </c>
      <c r="E138" s="18" t="n">
        <f aca="false">ROUND(D138/Assumptions!$F$7,Assumptions!$B$10)</f>
        <v>76912.33</v>
      </c>
      <c r="F138" s="18" t="n">
        <f aca="false">ROUND(E138*Assumptions!$C$7,Assumptions!$B$10)</f>
        <v>4230.18</v>
      </c>
      <c r="G138" s="18" t="n">
        <f aca="false">SUM(E138:F138)</f>
        <v>81142.51</v>
      </c>
      <c r="H138" s="18" t="n">
        <f aca="false">ROUND(G138-'Cohort Data'!H138,Assumptions!$B$10)</f>
        <v>28994.06</v>
      </c>
      <c r="I138" s="18" t="n">
        <f aca="false">CEILING(G138,Assumptions!$B$12)</f>
        <v>81200</v>
      </c>
      <c r="J138" s="18" t="n">
        <f aca="false">FLOOR(G138,Assumptions!$B$12)</f>
        <v>81100</v>
      </c>
      <c r="K138" s="18" t="n">
        <f aca="false">ROUNDUP(G138,Assumptions!$B$10)</f>
        <v>81142.52</v>
      </c>
      <c r="L138" s="18" t="n">
        <f aca="false">ROUNDDOWN(G138,Assumptions!$B$10)</f>
        <v>81142.51</v>
      </c>
      <c r="M138" s="19" t="n">
        <f aca="false">INT('Cohort Data'!E138/Assumptions!$B$11)</f>
        <v>2</v>
      </c>
    </row>
    <row r="139" customFormat="false" ht="15" hidden="false" customHeight="false" outlineLevel="0" collapsed="false">
      <c r="A139" s="2" t="s">
        <v>239</v>
      </c>
      <c r="B139" s="18" t="n">
        <f aca="false">IF('Cohort Data'!D139=Assumptions!$B$16,ROUND('Cohort Data'!L139*'Cohort Data'!K139*Assumptions!$F$5,Assumptions!$B$10),Assumptions!$B$13)</f>
        <v>40872.96</v>
      </c>
      <c r="C139" s="18" t="n">
        <f aca="false">IF('Cohort Data'!D139=Assumptions!$B$16,ROUND('Cohort Data'!E139*Assumptions!$C$6,Assumptions!$B$10),Assumptions!$B$13)</f>
        <v>7455</v>
      </c>
      <c r="D139" s="18" t="n">
        <f aca="false">SUM(B139:C139)</f>
        <v>48327.96</v>
      </c>
      <c r="E139" s="18" t="n">
        <f aca="false">ROUND(D139/Assumptions!$F$7,Assumptions!$B$10)</f>
        <v>47613.75</v>
      </c>
      <c r="F139" s="18" t="n">
        <f aca="false">ROUND(E139*Assumptions!$C$7,Assumptions!$B$10)</f>
        <v>2618.76</v>
      </c>
      <c r="G139" s="18" t="n">
        <f aca="false">SUM(E139:F139)</f>
        <v>50232.51</v>
      </c>
      <c r="H139" s="18" t="n">
        <f aca="false">ROUND(G139-'Cohort Data'!H139,Assumptions!$B$10)</f>
        <v>16679.05</v>
      </c>
      <c r="I139" s="18" t="n">
        <f aca="false">CEILING(G139,Assumptions!$B$12)</f>
        <v>50300</v>
      </c>
      <c r="J139" s="18" t="n">
        <f aca="false">FLOOR(G139,Assumptions!$B$12)</f>
        <v>50200</v>
      </c>
      <c r="K139" s="18" t="n">
        <f aca="false">ROUNDUP(G139,Assumptions!$B$10)</f>
        <v>50232.51</v>
      </c>
      <c r="L139" s="18" t="n">
        <f aca="false">ROUNDDOWN(G139,Assumptions!$B$10)</f>
        <v>50232.51</v>
      </c>
      <c r="M139" s="19" t="n">
        <f aca="false">INT('Cohort Data'!E139/Assumptions!$B$11)</f>
        <v>2</v>
      </c>
    </row>
    <row r="140" customFormat="false" ht="15" hidden="false" customHeight="false" outlineLevel="0" collapsed="false">
      <c r="A140" s="2" t="s">
        <v>240</v>
      </c>
      <c r="B140" s="18" t="n">
        <f aca="false">IF('Cohort Data'!D140=Assumptions!$B$16,ROUND('Cohort Data'!L140*'Cohort Data'!K140*Assumptions!$F$5,Assumptions!$B$10),Assumptions!$B$13)</f>
        <v>25944.14</v>
      </c>
      <c r="C140" s="18" t="n">
        <f aca="false">IF('Cohort Data'!D140=Assumptions!$B$16,ROUND('Cohort Data'!E140*Assumptions!$C$6,Assumptions!$B$10),Assumptions!$B$13)</f>
        <v>4725</v>
      </c>
      <c r="D140" s="18" t="n">
        <f aca="false">SUM(B140:C140)</f>
        <v>30669.14</v>
      </c>
      <c r="E140" s="18" t="n">
        <f aca="false">ROUND(D140/Assumptions!$F$7,Assumptions!$B$10)</f>
        <v>30215.9</v>
      </c>
      <c r="F140" s="18" t="n">
        <f aca="false">ROUND(E140*Assumptions!$C$7,Assumptions!$B$10)</f>
        <v>1661.87</v>
      </c>
      <c r="G140" s="18" t="n">
        <f aca="false">SUM(E140:F140)</f>
        <v>31877.77</v>
      </c>
      <c r="H140" s="18" t="n">
        <f aca="false">ROUND(G140-'Cohort Data'!H140,Assumptions!$B$10)</f>
        <v>12204.49</v>
      </c>
      <c r="I140" s="18" t="n">
        <f aca="false">CEILING(G140,Assumptions!$B$12)</f>
        <v>31900</v>
      </c>
      <c r="J140" s="18" t="n">
        <f aca="false">FLOOR(G140,Assumptions!$B$12)</f>
        <v>31800</v>
      </c>
      <c r="K140" s="18" t="n">
        <f aca="false">ROUNDUP(G140,Assumptions!$B$10)</f>
        <v>31877.77</v>
      </c>
      <c r="L140" s="18" t="n">
        <f aca="false">ROUNDDOWN(G140,Assumptions!$B$10)</f>
        <v>31877.77</v>
      </c>
      <c r="M140" s="19" t="n">
        <f aca="false">INT('Cohort Data'!E140/Assumptions!$B$11)</f>
        <v>1</v>
      </c>
    </row>
    <row r="141" customFormat="false" ht="15" hidden="false" customHeight="false" outlineLevel="0" collapsed="false">
      <c r="A141" s="2" t="s">
        <v>241</v>
      </c>
      <c r="B141" s="18" t="n">
        <f aca="false">IF('Cohort Data'!D141=Assumptions!$B$16,ROUND('Cohort Data'!L141*'Cohort Data'!K141*Assumptions!$F$5,Assumptions!$B$10),Assumptions!$B$13)</f>
        <v>61739.07</v>
      </c>
      <c r="C141" s="18" t="n">
        <f aca="false">IF('Cohort Data'!D141=Assumptions!$B$16,ROUND('Cohort Data'!E141*Assumptions!$C$6,Assumptions!$B$10),Assumptions!$B$13)</f>
        <v>8610</v>
      </c>
      <c r="D141" s="18" t="n">
        <f aca="false">SUM(B141:C141)</f>
        <v>70349.07</v>
      </c>
      <c r="E141" s="18" t="n">
        <f aca="false">ROUND(D141/Assumptions!$F$7,Assumptions!$B$10)</f>
        <v>69309.43</v>
      </c>
      <c r="F141" s="18" t="n">
        <f aca="false">ROUND(E141*Assumptions!$C$7,Assumptions!$B$10)</f>
        <v>3812.02</v>
      </c>
      <c r="G141" s="18" t="n">
        <f aca="false">SUM(E141:F141)</f>
        <v>73121.45</v>
      </c>
      <c r="H141" s="18" t="n">
        <f aca="false">ROUND(G141-'Cohort Data'!H141,Assumptions!$B$10)</f>
        <v>26007.53</v>
      </c>
      <c r="I141" s="18" t="n">
        <f aca="false">CEILING(G141,Assumptions!$B$12)</f>
        <v>73200</v>
      </c>
      <c r="J141" s="18" t="n">
        <f aca="false">FLOOR(G141,Assumptions!$B$12)</f>
        <v>73100</v>
      </c>
      <c r="K141" s="18" t="n">
        <f aca="false">ROUNDUP(G141,Assumptions!$B$10)</f>
        <v>73121.45</v>
      </c>
      <c r="L141" s="18" t="n">
        <f aca="false">ROUNDDOWN(G141,Assumptions!$B$10)</f>
        <v>73121.45</v>
      </c>
      <c r="M141" s="19" t="n">
        <f aca="false">INT('Cohort Data'!E141/Assumptions!$B$11)</f>
        <v>2</v>
      </c>
    </row>
    <row r="142" customFormat="false" ht="15" hidden="false" customHeight="false" outlineLevel="0" collapsed="false">
      <c r="A142" s="2" t="s">
        <v>242</v>
      </c>
      <c r="B142" s="18" t="n">
        <f aca="false">IF('Cohort Data'!D142=Assumptions!$B$16,ROUND('Cohort Data'!L142*'Cohort Data'!K142*Assumptions!$F$5,Assumptions!$B$10),Assumptions!$B$13)</f>
        <v>40982.61</v>
      </c>
      <c r="C142" s="18" t="n">
        <f aca="false">IF('Cohort Data'!D142=Assumptions!$B$16,ROUND('Cohort Data'!E142*Assumptions!$C$6,Assumptions!$B$10),Assumptions!$B$13)</f>
        <v>4550</v>
      </c>
      <c r="D142" s="18" t="n">
        <f aca="false">SUM(B142:C142)</f>
        <v>45532.61</v>
      </c>
      <c r="E142" s="18" t="n">
        <f aca="false">ROUND(D142/Assumptions!$F$7,Assumptions!$B$10)</f>
        <v>44859.71</v>
      </c>
      <c r="F142" s="18" t="n">
        <f aca="false">ROUND(E142*Assumptions!$C$7,Assumptions!$B$10)</f>
        <v>2467.28</v>
      </c>
      <c r="G142" s="18" t="n">
        <f aca="false">SUM(E142:F142)</f>
        <v>47326.99</v>
      </c>
      <c r="H142" s="18" t="n">
        <f aca="false">ROUND(G142-'Cohort Data'!H142,Assumptions!$B$10)</f>
        <v>15764.55</v>
      </c>
      <c r="I142" s="18" t="n">
        <f aca="false">CEILING(G142,Assumptions!$B$12)</f>
        <v>47400</v>
      </c>
      <c r="J142" s="18" t="n">
        <f aca="false">FLOOR(G142,Assumptions!$B$12)</f>
        <v>47300</v>
      </c>
      <c r="K142" s="18" t="n">
        <f aca="false">ROUNDUP(G142,Assumptions!$B$10)</f>
        <v>47326.99</v>
      </c>
      <c r="L142" s="18" t="n">
        <f aca="false">ROUNDDOWN(G142,Assumptions!$B$10)</f>
        <v>47326.99</v>
      </c>
      <c r="M142" s="19" t="n">
        <f aca="false">INT('Cohort Data'!E142/Assumptions!$B$11)</f>
        <v>1</v>
      </c>
    </row>
    <row r="143" customFormat="false" ht="15" hidden="false" customHeight="false" outlineLevel="0" collapsed="false">
      <c r="A143" s="2" t="s">
        <v>243</v>
      </c>
      <c r="B143" s="18" t="n">
        <f aca="false">IF('Cohort Data'!D143=Assumptions!$B$16,ROUND('Cohort Data'!L143*'Cohort Data'!K143*Assumptions!$F$5,Assumptions!$B$10),Assumptions!$B$13)</f>
        <v>45842.65</v>
      </c>
      <c r="C143" s="18" t="n">
        <f aca="false">IF('Cohort Data'!D143=Assumptions!$B$16,ROUND('Cohort Data'!E143*Assumptions!$C$6,Assumptions!$B$10),Assumptions!$B$13)</f>
        <v>8015</v>
      </c>
      <c r="D143" s="18" t="n">
        <f aca="false">SUM(B143:C143)</f>
        <v>53857.65</v>
      </c>
      <c r="E143" s="18" t="n">
        <f aca="false">ROUND(D143/Assumptions!$F$7,Assumptions!$B$10)</f>
        <v>53061.72</v>
      </c>
      <c r="F143" s="18" t="n">
        <f aca="false">ROUND(E143*Assumptions!$C$7,Assumptions!$B$10)</f>
        <v>2918.39</v>
      </c>
      <c r="G143" s="18" t="n">
        <f aca="false">SUM(E143:F143)</f>
        <v>55980.11</v>
      </c>
      <c r="H143" s="18" t="n">
        <f aca="false">ROUND(G143-'Cohort Data'!H143,Assumptions!$B$10)</f>
        <v>21217.91</v>
      </c>
      <c r="I143" s="18" t="n">
        <f aca="false">CEILING(G143,Assumptions!$B$12)</f>
        <v>56000</v>
      </c>
      <c r="J143" s="18" t="n">
        <f aca="false">FLOOR(G143,Assumptions!$B$12)</f>
        <v>55900</v>
      </c>
      <c r="K143" s="18" t="n">
        <f aca="false">ROUNDUP(G143,Assumptions!$B$10)</f>
        <v>55980.11</v>
      </c>
      <c r="L143" s="18" t="n">
        <f aca="false">ROUNDDOWN(G143,Assumptions!$B$10)</f>
        <v>55980.11</v>
      </c>
      <c r="M143" s="19" t="n">
        <f aca="false">INT('Cohort Data'!E143/Assumptions!$B$11)</f>
        <v>2</v>
      </c>
    </row>
    <row r="144" customFormat="false" ht="15" hidden="false" customHeight="false" outlineLevel="0" collapsed="false">
      <c r="A144" s="2" t="s">
        <v>244</v>
      </c>
      <c r="B144" s="18" t="n">
        <f aca="false">IF('Cohort Data'!D144=Assumptions!$B$16,ROUND('Cohort Data'!L144*'Cohort Data'!K144*Assumptions!$F$5,Assumptions!$B$10),Assumptions!$B$13)</f>
        <v>49298.04</v>
      </c>
      <c r="C144" s="18" t="n">
        <f aca="false">IF('Cohort Data'!D144=Assumptions!$B$16,ROUND('Cohort Data'!E144*Assumptions!$C$6,Assumptions!$B$10),Assumptions!$B$13)</f>
        <v>8750</v>
      </c>
      <c r="D144" s="18" t="n">
        <f aca="false">SUM(B144:C144)</f>
        <v>58048.04</v>
      </c>
      <c r="E144" s="18" t="n">
        <f aca="false">ROUND(D144/Assumptions!$F$7,Assumptions!$B$10)</f>
        <v>57190.19</v>
      </c>
      <c r="F144" s="18" t="n">
        <f aca="false">ROUND(E144*Assumptions!$C$7,Assumptions!$B$10)</f>
        <v>3145.46</v>
      </c>
      <c r="G144" s="18" t="n">
        <f aca="false">SUM(E144:F144)</f>
        <v>60335.65</v>
      </c>
      <c r="H144" s="18" t="n">
        <f aca="false">ROUND(G144-'Cohort Data'!H144,Assumptions!$B$10)</f>
        <v>23111.65</v>
      </c>
      <c r="I144" s="18" t="n">
        <f aca="false">CEILING(G144,Assumptions!$B$12)</f>
        <v>60400</v>
      </c>
      <c r="J144" s="18" t="n">
        <f aca="false">FLOOR(G144,Assumptions!$B$12)</f>
        <v>60300</v>
      </c>
      <c r="K144" s="18" t="n">
        <f aca="false">ROUNDUP(G144,Assumptions!$B$10)</f>
        <v>60335.65</v>
      </c>
      <c r="L144" s="18" t="n">
        <f aca="false">ROUNDDOWN(G144,Assumptions!$B$10)</f>
        <v>60335.65</v>
      </c>
      <c r="M144" s="19" t="n">
        <f aca="false">INT('Cohort Data'!E144/Assumptions!$B$11)</f>
        <v>2</v>
      </c>
    </row>
    <row r="145" customFormat="false" ht="15" hidden="false" customHeight="false" outlineLevel="0" collapsed="false">
      <c r="A145" s="2" t="s">
        <v>245</v>
      </c>
      <c r="B145" s="18" t="n">
        <f aca="false">IF('Cohort Data'!D145=Assumptions!$B$16,ROUND('Cohort Data'!L145*'Cohort Data'!K145*Assumptions!$F$5,Assumptions!$B$10),Assumptions!$B$13)</f>
        <v>34684.45</v>
      </c>
      <c r="C145" s="18" t="n">
        <f aca="false">IF('Cohort Data'!D145=Assumptions!$B$16,ROUND('Cohort Data'!E145*Assumptions!$C$6,Assumptions!$B$10),Assumptions!$B$13)</f>
        <v>8435</v>
      </c>
      <c r="D145" s="18" t="n">
        <f aca="false">SUM(B145:C145)</f>
        <v>43119.45</v>
      </c>
      <c r="E145" s="18" t="n">
        <f aca="false">ROUND(D145/Assumptions!$F$7,Assumptions!$B$10)</f>
        <v>42482.22</v>
      </c>
      <c r="F145" s="18" t="n">
        <f aca="false">ROUND(E145*Assumptions!$C$7,Assumptions!$B$10)</f>
        <v>2336.52</v>
      </c>
      <c r="G145" s="18" t="n">
        <f aca="false">SUM(E145:F145)</f>
        <v>44818.74</v>
      </c>
      <c r="H145" s="18" t="n">
        <f aca="false">ROUND(G145-'Cohort Data'!H145,Assumptions!$B$10)</f>
        <v>15464.94</v>
      </c>
      <c r="I145" s="18" t="n">
        <f aca="false">CEILING(G145,Assumptions!$B$12)</f>
        <v>44900</v>
      </c>
      <c r="J145" s="18" t="n">
        <f aca="false">FLOOR(G145,Assumptions!$B$12)</f>
        <v>44800</v>
      </c>
      <c r="K145" s="18" t="n">
        <f aca="false">ROUNDUP(G145,Assumptions!$B$10)</f>
        <v>44818.74</v>
      </c>
      <c r="L145" s="18" t="n">
        <f aca="false">ROUNDDOWN(G145,Assumptions!$B$10)</f>
        <v>44818.74</v>
      </c>
      <c r="M145" s="19" t="n">
        <f aca="false">INT('Cohort Data'!E145/Assumptions!$B$11)</f>
        <v>2</v>
      </c>
    </row>
    <row r="146" customFormat="false" ht="15" hidden="false" customHeight="false" outlineLevel="0" collapsed="false">
      <c r="A146" s="2" t="s">
        <v>246</v>
      </c>
      <c r="B146" s="18" t="n">
        <f aca="false">IF('Cohort Data'!D146=Assumptions!$B$16,ROUND('Cohort Data'!L146*'Cohort Data'!K146*Assumptions!$F$5,Assumptions!$B$10),Assumptions!$B$13)</f>
        <v>37570.96</v>
      </c>
      <c r="C146" s="18" t="n">
        <f aca="false">IF('Cohort Data'!D146=Assumptions!$B$16,ROUND('Cohort Data'!E146*Assumptions!$C$6,Assumptions!$B$10),Assumptions!$B$13)</f>
        <v>3570</v>
      </c>
      <c r="D146" s="18" t="n">
        <f aca="false">SUM(B146:C146)</f>
        <v>41140.96</v>
      </c>
      <c r="E146" s="18" t="n">
        <f aca="false">ROUND(D146/Assumptions!$F$7,Assumptions!$B$10)</f>
        <v>40532.97</v>
      </c>
      <c r="F146" s="18" t="n">
        <f aca="false">ROUND(E146*Assumptions!$C$7,Assumptions!$B$10)</f>
        <v>2229.31</v>
      </c>
      <c r="G146" s="18" t="n">
        <f aca="false">SUM(E146:F146)</f>
        <v>42762.28</v>
      </c>
      <c r="H146" s="18" t="n">
        <f aca="false">ROUND(G146-'Cohort Data'!H146,Assumptions!$B$10)</f>
        <v>12724.1</v>
      </c>
      <c r="I146" s="18" t="n">
        <f aca="false">CEILING(G146,Assumptions!$B$12)</f>
        <v>42800</v>
      </c>
      <c r="J146" s="18" t="n">
        <f aca="false">FLOOR(G146,Assumptions!$B$12)</f>
        <v>42700</v>
      </c>
      <c r="K146" s="18" t="n">
        <f aca="false">ROUNDUP(G146,Assumptions!$B$10)</f>
        <v>42762.28</v>
      </c>
      <c r="L146" s="18" t="n">
        <f aca="false">ROUNDDOWN(G146,Assumptions!$B$10)</f>
        <v>42762.28</v>
      </c>
      <c r="M146" s="19" t="n">
        <f aca="false">INT('Cohort Data'!E146/Assumptions!$B$11)</f>
        <v>1</v>
      </c>
    </row>
    <row r="147" customFormat="false" ht="15" hidden="false" customHeight="false" outlineLevel="0" collapsed="false">
      <c r="A147" s="2" t="s">
        <v>247</v>
      </c>
      <c r="B147" s="18" t="n">
        <f aca="false">IF('Cohort Data'!D147=Assumptions!$B$16,ROUND('Cohort Data'!L147*'Cohort Data'!K147*Assumptions!$F$5,Assumptions!$B$10),Assumptions!$B$13)</f>
        <v>33639.19</v>
      </c>
      <c r="C147" s="18" t="n">
        <f aca="false">IF('Cohort Data'!D147=Assumptions!$B$16,ROUND('Cohort Data'!E147*Assumptions!$C$6,Assumptions!$B$10),Assumptions!$B$13)</f>
        <v>4865</v>
      </c>
      <c r="D147" s="18" t="n">
        <f aca="false">SUM(B147:C147)</f>
        <v>38504.19</v>
      </c>
      <c r="E147" s="18" t="n">
        <f aca="false">ROUND(D147/Assumptions!$F$7,Assumptions!$B$10)</f>
        <v>37935.16</v>
      </c>
      <c r="F147" s="18" t="n">
        <f aca="false">ROUND(E147*Assumptions!$C$7,Assumptions!$B$10)</f>
        <v>2086.43</v>
      </c>
      <c r="G147" s="18" t="n">
        <f aca="false">SUM(E147:F147)</f>
        <v>40021.59</v>
      </c>
      <c r="H147" s="18" t="n">
        <f aca="false">ROUND(G147-'Cohort Data'!H147,Assumptions!$B$10)</f>
        <v>13270.21</v>
      </c>
      <c r="I147" s="18" t="n">
        <f aca="false">CEILING(G147,Assumptions!$B$12)</f>
        <v>40100</v>
      </c>
      <c r="J147" s="18" t="n">
        <f aca="false">FLOOR(G147,Assumptions!$B$12)</f>
        <v>40000</v>
      </c>
      <c r="K147" s="18" t="n">
        <f aca="false">ROUNDUP(G147,Assumptions!$B$10)</f>
        <v>40021.6</v>
      </c>
      <c r="L147" s="18" t="n">
        <f aca="false">ROUNDDOWN(G147,Assumptions!$B$10)</f>
        <v>40021.59</v>
      </c>
      <c r="M147" s="19" t="n">
        <f aca="false">INT('Cohort Data'!E147/Assumptions!$B$11)</f>
        <v>1</v>
      </c>
    </row>
    <row r="148" customFormat="false" ht="15" hidden="false" customHeight="false" outlineLevel="0" collapsed="false">
      <c r="A148" s="2" t="s">
        <v>248</v>
      </c>
      <c r="B148" s="18" t="n">
        <f aca="false">IF('Cohort Data'!D148=Assumptions!$B$16,ROUND('Cohort Data'!L148*'Cohort Data'!K148*Assumptions!$F$5,Assumptions!$B$10),Assumptions!$B$13)</f>
        <v>34869.49</v>
      </c>
      <c r="C148" s="18" t="n">
        <f aca="false">IF('Cohort Data'!D148=Assumptions!$B$16,ROUND('Cohort Data'!E148*Assumptions!$C$6,Assumptions!$B$10),Assumptions!$B$13)</f>
        <v>3710</v>
      </c>
      <c r="D148" s="18" t="n">
        <f aca="false">SUM(B148:C148)</f>
        <v>38579.49</v>
      </c>
      <c r="E148" s="18" t="n">
        <f aca="false">ROUND(D148/Assumptions!$F$7,Assumptions!$B$10)</f>
        <v>38009.35</v>
      </c>
      <c r="F148" s="18" t="n">
        <f aca="false">ROUND(E148*Assumptions!$C$7,Assumptions!$B$10)</f>
        <v>2090.51</v>
      </c>
      <c r="G148" s="18" t="n">
        <f aca="false">SUM(E148:F148)</f>
        <v>40099.86</v>
      </c>
      <c r="H148" s="18" t="n">
        <f aca="false">ROUND(G148-'Cohort Data'!H148,Assumptions!$B$10)</f>
        <v>10884.56</v>
      </c>
      <c r="I148" s="18" t="n">
        <f aca="false">CEILING(G148,Assumptions!$B$12)</f>
        <v>40100</v>
      </c>
      <c r="J148" s="18" t="n">
        <f aca="false">FLOOR(G148,Assumptions!$B$12)</f>
        <v>40000</v>
      </c>
      <c r="K148" s="18" t="n">
        <f aca="false">ROUNDUP(G148,Assumptions!$B$10)</f>
        <v>40099.86</v>
      </c>
      <c r="L148" s="18" t="n">
        <f aca="false">ROUNDDOWN(G148,Assumptions!$B$10)</f>
        <v>40099.86</v>
      </c>
      <c r="M148" s="19" t="n">
        <f aca="false">INT('Cohort Data'!E148/Assumptions!$B$11)</f>
        <v>1</v>
      </c>
    </row>
    <row r="149" customFormat="false" ht="15" hidden="false" customHeight="false" outlineLevel="0" collapsed="false">
      <c r="A149" s="2" t="s">
        <v>249</v>
      </c>
      <c r="B149" s="18" t="n">
        <f aca="false">IF('Cohort Data'!D149=Assumptions!$B$16,ROUND('Cohort Data'!L149*'Cohort Data'!K149*Assumptions!$F$5,Assumptions!$B$10),Assumptions!$B$13)</f>
        <v>27257.36</v>
      </c>
      <c r="C149" s="18" t="n">
        <f aca="false">IF('Cohort Data'!D149=Assumptions!$B$16,ROUND('Cohort Data'!E149*Assumptions!$C$6,Assumptions!$B$10),Assumptions!$B$13)</f>
        <v>5180</v>
      </c>
      <c r="D149" s="18" t="n">
        <f aca="false">SUM(B149:C149)</f>
        <v>32437.36</v>
      </c>
      <c r="E149" s="18" t="n">
        <f aca="false">ROUND(D149/Assumptions!$F$7,Assumptions!$B$10)</f>
        <v>31957.99</v>
      </c>
      <c r="F149" s="18" t="n">
        <f aca="false">ROUND(E149*Assumptions!$C$7,Assumptions!$B$10)</f>
        <v>1757.69</v>
      </c>
      <c r="G149" s="18" t="n">
        <f aca="false">SUM(E149:F149)</f>
        <v>33715.68</v>
      </c>
      <c r="H149" s="18" t="n">
        <f aca="false">ROUND(G149-'Cohort Data'!H149,Assumptions!$B$10)</f>
        <v>13495.92</v>
      </c>
      <c r="I149" s="18" t="n">
        <f aca="false">CEILING(G149,Assumptions!$B$12)</f>
        <v>33800</v>
      </c>
      <c r="J149" s="18" t="n">
        <f aca="false">FLOOR(G149,Assumptions!$B$12)</f>
        <v>33700</v>
      </c>
      <c r="K149" s="18" t="n">
        <f aca="false">ROUNDUP(G149,Assumptions!$B$10)</f>
        <v>33715.68</v>
      </c>
      <c r="L149" s="18" t="n">
        <f aca="false">ROUNDDOWN(G149,Assumptions!$B$10)</f>
        <v>33715.68</v>
      </c>
      <c r="M149" s="19" t="n">
        <f aca="false">INT('Cohort Data'!E149/Assumptions!$B$11)</f>
        <v>1</v>
      </c>
    </row>
    <row r="150" customFormat="false" ht="15" hidden="false" customHeight="false" outlineLevel="0" collapsed="false">
      <c r="A150" s="2" t="s">
        <v>250</v>
      </c>
      <c r="B150" s="18" t="n">
        <f aca="false">IF('Cohort Data'!D150=Assumptions!$B$16,ROUND('Cohort Data'!L150*'Cohort Data'!K150*Assumptions!$F$5,Assumptions!$B$10),Assumptions!$B$13)</f>
        <v>24003.66</v>
      </c>
      <c r="C150" s="18" t="n">
        <f aca="false">IF('Cohort Data'!D150=Assumptions!$B$16,ROUND('Cohort Data'!E150*Assumptions!$C$6,Assumptions!$B$10),Assumptions!$B$13)</f>
        <v>3605</v>
      </c>
      <c r="D150" s="18" t="n">
        <f aca="false">SUM(B150:C150)</f>
        <v>27608.66</v>
      </c>
      <c r="E150" s="18" t="n">
        <f aca="false">ROUND(D150/Assumptions!$F$7,Assumptions!$B$10)</f>
        <v>27200.65</v>
      </c>
      <c r="F150" s="18" t="n">
        <f aca="false">ROUND(E150*Assumptions!$C$7,Assumptions!$B$10)</f>
        <v>1496.04</v>
      </c>
      <c r="G150" s="18" t="n">
        <f aca="false">SUM(E150:F150)</f>
        <v>28696.69</v>
      </c>
      <c r="H150" s="18" t="n">
        <f aca="false">ROUND(G150-'Cohort Data'!H150,Assumptions!$B$10)</f>
        <v>10764.8</v>
      </c>
      <c r="I150" s="18" t="n">
        <f aca="false">CEILING(G150,Assumptions!$B$12)</f>
        <v>28700</v>
      </c>
      <c r="J150" s="18" t="n">
        <f aca="false">FLOOR(G150,Assumptions!$B$12)</f>
        <v>28600</v>
      </c>
      <c r="K150" s="18" t="n">
        <f aca="false">ROUNDUP(G150,Assumptions!$B$10)</f>
        <v>28696.69</v>
      </c>
      <c r="L150" s="18" t="n">
        <f aca="false">ROUNDDOWN(G150,Assumptions!$B$10)</f>
        <v>28696.69</v>
      </c>
      <c r="M150" s="19" t="n">
        <f aca="false">INT('Cohort Data'!E150/Assumptions!$B$11)</f>
        <v>1</v>
      </c>
    </row>
    <row r="151" customFormat="false" ht="15" hidden="false" customHeight="false" outlineLevel="0" collapsed="false">
      <c r="A151" s="2" t="s">
        <v>251</v>
      </c>
      <c r="B151" s="18" t="n">
        <f aca="false">IF('Cohort Data'!D151=Assumptions!$B$16,ROUND('Cohort Data'!L151*'Cohort Data'!K151*Assumptions!$F$5,Assumptions!$B$10),Assumptions!$B$13)</f>
        <v>37021.42</v>
      </c>
      <c r="C151" s="18" t="n">
        <f aca="false">IF('Cohort Data'!D151=Assumptions!$B$16,ROUND('Cohort Data'!E151*Assumptions!$C$6,Assumptions!$B$10),Assumptions!$B$13)</f>
        <v>5110</v>
      </c>
      <c r="D151" s="18" t="n">
        <f aca="false">SUM(B151:C151)</f>
        <v>42131.42</v>
      </c>
      <c r="E151" s="18" t="n">
        <f aca="false">ROUND(D151/Assumptions!$F$7,Assumptions!$B$10)</f>
        <v>41508.79</v>
      </c>
      <c r="F151" s="18" t="n">
        <f aca="false">ROUND(E151*Assumptions!$C$7,Assumptions!$B$10)</f>
        <v>2282.98</v>
      </c>
      <c r="G151" s="18" t="n">
        <f aca="false">SUM(E151:F151)</f>
        <v>43791.77</v>
      </c>
      <c r="H151" s="18" t="n">
        <f aca="false">ROUND(G151-'Cohort Data'!H151,Assumptions!$B$10)</f>
        <v>14026.75</v>
      </c>
      <c r="I151" s="18" t="n">
        <f aca="false">CEILING(G151,Assumptions!$B$12)</f>
        <v>43800</v>
      </c>
      <c r="J151" s="18" t="n">
        <f aca="false">FLOOR(G151,Assumptions!$B$12)</f>
        <v>43700</v>
      </c>
      <c r="K151" s="18" t="n">
        <f aca="false">ROUNDUP(G151,Assumptions!$B$10)</f>
        <v>43791.77</v>
      </c>
      <c r="L151" s="18" t="n">
        <f aca="false">ROUNDDOWN(G151,Assumptions!$B$10)</f>
        <v>43791.77</v>
      </c>
      <c r="M151" s="19" t="n">
        <f aca="false">INT('Cohort Data'!E151/Assumptions!$B$11)</f>
        <v>1</v>
      </c>
    </row>
    <row r="152" customFormat="false" ht="15" hidden="false" customHeight="false" outlineLevel="0" collapsed="false">
      <c r="A152" s="2" t="s">
        <v>252</v>
      </c>
      <c r="B152" s="18" t="n">
        <f aca="false">IF('Cohort Data'!D152=Assumptions!$B$16,ROUND('Cohort Data'!L152*'Cohort Data'!K152*Assumptions!$F$5,Assumptions!$B$10),Assumptions!$B$13)</f>
        <v>51023.47</v>
      </c>
      <c r="C152" s="18" t="n">
        <f aca="false">IF('Cohort Data'!D152=Assumptions!$B$16,ROUND('Cohort Data'!E152*Assumptions!$C$6,Assumptions!$B$10),Assumptions!$B$13)</f>
        <v>8260</v>
      </c>
      <c r="D152" s="18" t="n">
        <f aca="false">SUM(B152:C152)</f>
        <v>59283.47</v>
      </c>
      <c r="E152" s="18" t="n">
        <f aca="false">ROUND(D152/Assumptions!$F$7,Assumptions!$B$10)</f>
        <v>58407.36</v>
      </c>
      <c r="F152" s="18" t="n">
        <f aca="false">ROUND(E152*Assumptions!$C$7,Assumptions!$B$10)</f>
        <v>3212.4</v>
      </c>
      <c r="G152" s="18" t="n">
        <f aca="false">SUM(E152:F152)</f>
        <v>61619.76</v>
      </c>
      <c r="H152" s="18" t="n">
        <f aca="false">ROUND(G152-'Cohort Data'!H152,Assumptions!$B$10)</f>
        <v>21246.77</v>
      </c>
      <c r="I152" s="18" t="n">
        <f aca="false">CEILING(G152,Assumptions!$B$12)</f>
        <v>61700</v>
      </c>
      <c r="J152" s="18" t="n">
        <f aca="false">FLOOR(G152,Assumptions!$B$12)</f>
        <v>61600</v>
      </c>
      <c r="K152" s="18" t="n">
        <f aca="false">ROUNDUP(G152,Assumptions!$B$10)</f>
        <v>61619.76</v>
      </c>
      <c r="L152" s="18" t="n">
        <f aca="false">ROUNDDOWN(G152,Assumptions!$B$10)</f>
        <v>61619.76</v>
      </c>
      <c r="M152" s="19" t="n">
        <f aca="false">INT('Cohort Data'!E152/Assumptions!$B$11)</f>
        <v>2</v>
      </c>
    </row>
    <row r="153" customFormat="false" ht="15" hidden="false" customHeight="false" outlineLevel="0" collapsed="false">
      <c r="A153" s="2" t="s">
        <v>253</v>
      </c>
      <c r="B153" s="18" t="n">
        <f aca="false">IF('Cohort Data'!D153=Assumptions!$B$16,ROUND('Cohort Data'!L153*'Cohort Data'!K153*Assumptions!$F$5,Assumptions!$B$10),Assumptions!$B$13)</f>
        <v>37860.89</v>
      </c>
      <c r="C153" s="18" t="n">
        <f aca="false">IF('Cohort Data'!D153=Assumptions!$B$16,ROUND('Cohort Data'!E153*Assumptions!$C$6,Assumptions!$B$10),Assumptions!$B$13)</f>
        <v>4480</v>
      </c>
      <c r="D153" s="18" t="n">
        <f aca="false">SUM(B153:C153)</f>
        <v>42340.89</v>
      </c>
      <c r="E153" s="18" t="n">
        <f aca="false">ROUND(D153/Assumptions!$F$7,Assumptions!$B$10)</f>
        <v>41715.16</v>
      </c>
      <c r="F153" s="18" t="n">
        <f aca="false">ROUND(E153*Assumptions!$C$7,Assumptions!$B$10)</f>
        <v>2294.33</v>
      </c>
      <c r="G153" s="18" t="n">
        <f aca="false">SUM(E153:F153)</f>
        <v>44009.49</v>
      </c>
      <c r="H153" s="18" t="n">
        <f aca="false">ROUND(G153-'Cohort Data'!H153,Assumptions!$B$10)</f>
        <v>15421.46</v>
      </c>
      <c r="I153" s="18" t="n">
        <f aca="false">CEILING(G153,Assumptions!$B$12)</f>
        <v>44100</v>
      </c>
      <c r="J153" s="18" t="n">
        <f aca="false">FLOOR(G153,Assumptions!$B$12)</f>
        <v>44000</v>
      </c>
      <c r="K153" s="18" t="n">
        <f aca="false">ROUNDUP(G153,Assumptions!$B$10)</f>
        <v>44009.5</v>
      </c>
      <c r="L153" s="18" t="n">
        <f aca="false">ROUNDDOWN(G153,Assumptions!$B$10)</f>
        <v>44009.49</v>
      </c>
      <c r="M153" s="19" t="n">
        <f aca="false">INT('Cohort Data'!E153/Assumptions!$B$11)</f>
        <v>1</v>
      </c>
    </row>
    <row r="154" customFormat="false" ht="15" hidden="false" customHeight="false" outlineLevel="0" collapsed="false">
      <c r="A154" s="2" t="s">
        <v>254</v>
      </c>
      <c r="B154" s="18" t="n">
        <f aca="false">IF('Cohort Data'!D154=Assumptions!$B$16,ROUND('Cohort Data'!L154*'Cohort Data'!K154*Assumptions!$F$5,Assumptions!$B$10),Assumptions!$B$13)</f>
        <v>64845.74</v>
      </c>
      <c r="C154" s="18" t="n">
        <f aca="false">IF('Cohort Data'!D154=Assumptions!$B$16,ROUND('Cohort Data'!E154*Assumptions!$C$6,Assumptions!$B$10),Assumptions!$B$13)</f>
        <v>8715</v>
      </c>
      <c r="D154" s="18" t="n">
        <f aca="false">SUM(B154:C154)</f>
        <v>73560.74</v>
      </c>
      <c r="E154" s="18" t="n">
        <f aca="false">ROUND(D154/Assumptions!$F$7,Assumptions!$B$10)</f>
        <v>72473.64</v>
      </c>
      <c r="F154" s="18" t="n">
        <f aca="false">ROUND(E154*Assumptions!$C$7,Assumptions!$B$10)</f>
        <v>3986.05</v>
      </c>
      <c r="G154" s="18" t="n">
        <f aca="false">SUM(E154:F154)</f>
        <v>76459.69</v>
      </c>
      <c r="H154" s="18" t="n">
        <f aca="false">ROUND(G154-'Cohort Data'!H154,Assumptions!$B$10)</f>
        <v>23226.48</v>
      </c>
      <c r="I154" s="18" t="n">
        <f aca="false">CEILING(G154,Assumptions!$B$12)</f>
        <v>76500</v>
      </c>
      <c r="J154" s="18" t="n">
        <f aca="false">FLOOR(G154,Assumptions!$B$12)</f>
        <v>76400</v>
      </c>
      <c r="K154" s="18" t="n">
        <f aca="false">ROUNDUP(G154,Assumptions!$B$10)</f>
        <v>76459.69</v>
      </c>
      <c r="L154" s="18" t="n">
        <f aca="false">ROUNDDOWN(G154,Assumptions!$B$10)</f>
        <v>76459.69</v>
      </c>
      <c r="M154" s="19" t="n">
        <f aca="false">INT('Cohort Data'!E154/Assumptions!$B$11)</f>
        <v>2</v>
      </c>
    </row>
    <row r="155" customFormat="false" ht="15" hidden="false" customHeight="false" outlineLevel="0" collapsed="false">
      <c r="A155" s="2" t="s">
        <v>255</v>
      </c>
      <c r="B155" s="18" t="n">
        <f aca="false">IF('Cohort Data'!D155=Assumptions!$B$16,ROUND('Cohort Data'!L155*'Cohort Data'!K155*Assumptions!$F$5,Assumptions!$B$10),Assumptions!$B$13)</f>
        <v>0</v>
      </c>
      <c r="C155" s="18" t="n">
        <f aca="false">IF('Cohort Data'!D155=Assumptions!$B$16,ROUND('Cohort Data'!E155*Assumptions!$C$6,Assumptions!$B$10),Assumptions!$B$13)</f>
        <v>0</v>
      </c>
      <c r="D155" s="18" t="n">
        <f aca="false">SUM(B155:C155)</f>
        <v>0</v>
      </c>
      <c r="E155" s="18" t="n">
        <f aca="false">ROUND(D155/Assumptions!$F$7,Assumptions!$B$10)</f>
        <v>0</v>
      </c>
      <c r="F155" s="18" t="n">
        <f aca="false">ROUND(E155*Assumptions!$C$7,Assumptions!$B$10)</f>
        <v>0</v>
      </c>
      <c r="G155" s="18" t="n">
        <f aca="false">SUM(E155:F155)</f>
        <v>0</v>
      </c>
      <c r="H155" s="18" t="n">
        <f aca="false">ROUND(G155-'Cohort Data'!H155,Assumptions!$B$10)</f>
        <v>-22833.36</v>
      </c>
      <c r="I155" s="18" t="n">
        <f aca="false">CEILING(G155,Assumptions!$B$12)</f>
        <v>0</v>
      </c>
      <c r="J155" s="18" t="n">
        <f aca="false">FLOOR(G155,Assumptions!$B$12)</f>
        <v>0</v>
      </c>
      <c r="K155" s="18" t="n">
        <f aca="false">ROUNDUP(G155,Assumptions!$B$10)</f>
        <v>0</v>
      </c>
      <c r="L155" s="18" t="n">
        <f aca="false">ROUNDDOWN(G155,Assumptions!$B$10)</f>
        <v>0</v>
      </c>
      <c r="M155" s="19" t="n">
        <f aca="false">INT('Cohort Data'!E155/Assumptions!$B$11)</f>
        <v>1</v>
      </c>
    </row>
    <row r="156" customFormat="false" ht="15" hidden="false" customHeight="false" outlineLevel="0" collapsed="false">
      <c r="A156" s="2" t="s">
        <v>256</v>
      </c>
      <c r="B156" s="18" t="n">
        <f aca="false">IF('Cohort Data'!D156=Assumptions!$B$16,ROUND('Cohort Data'!L156*'Cohort Data'!K156*Assumptions!$F$5,Assumptions!$B$10),Assumptions!$B$13)</f>
        <v>65136.16</v>
      </c>
      <c r="C156" s="18" t="n">
        <f aca="false">IF('Cohort Data'!D156=Assumptions!$B$16,ROUND('Cohort Data'!E156*Assumptions!$C$6,Assumptions!$B$10),Assumptions!$B$13)</f>
        <v>5915</v>
      </c>
      <c r="D156" s="18" t="n">
        <f aca="false">SUM(B156:C156)</f>
        <v>71051.16</v>
      </c>
      <c r="E156" s="18" t="n">
        <f aca="false">ROUND(D156/Assumptions!$F$7,Assumptions!$B$10)</f>
        <v>70001.14</v>
      </c>
      <c r="F156" s="18" t="n">
        <f aca="false">ROUND(E156*Assumptions!$C$7,Assumptions!$B$10)</f>
        <v>3850.06</v>
      </c>
      <c r="G156" s="18" t="n">
        <f aca="false">SUM(E156:F156)</f>
        <v>73851.2</v>
      </c>
      <c r="H156" s="18" t="n">
        <f aca="false">ROUND(G156-'Cohort Data'!H156,Assumptions!$B$10)</f>
        <v>23621.7</v>
      </c>
      <c r="I156" s="18" t="n">
        <f aca="false">CEILING(G156,Assumptions!$B$12)</f>
        <v>73900</v>
      </c>
      <c r="J156" s="18" t="n">
        <f aca="false">FLOOR(G156,Assumptions!$B$12)</f>
        <v>73800</v>
      </c>
      <c r="K156" s="18" t="n">
        <f aca="false">ROUNDUP(G156,Assumptions!$B$10)</f>
        <v>73851.2</v>
      </c>
      <c r="L156" s="18" t="n">
        <f aca="false">ROUNDDOWN(G156,Assumptions!$B$10)</f>
        <v>73851.2</v>
      </c>
      <c r="M156" s="19" t="n">
        <f aca="false">INT('Cohort Data'!E156/Assumptions!$B$11)</f>
        <v>1</v>
      </c>
    </row>
    <row r="157" customFormat="false" ht="15" hidden="false" customHeight="false" outlineLevel="0" collapsed="false">
      <c r="A157" s="2" t="s">
        <v>257</v>
      </c>
      <c r="B157" s="18" t="n">
        <f aca="false">IF('Cohort Data'!D157=Assumptions!$B$16,ROUND('Cohort Data'!L157*'Cohort Data'!K157*Assumptions!$F$5,Assumptions!$B$10),Assumptions!$B$13)</f>
        <v>21382.23</v>
      </c>
      <c r="C157" s="18" t="n">
        <f aca="false">IF('Cohort Data'!D157=Assumptions!$B$16,ROUND('Cohort Data'!E157*Assumptions!$C$6,Assumptions!$B$10),Assumptions!$B$13)</f>
        <v>4200</v>
      </c>
      <c r="D157" s="18" t="n">
        <f aca="false">SUM(B157:C157)</f>
        <v>25582.23</v>
      </c>
      <c r="E157" s="18" t="n">
        <f aca="false">ROUND(D157/Assumptions!$F$7,Assumptions!$B$10)</f>
        <v>25204.17</v>
      </c>
      <c r="F157" s="18" t="n">
        <f aca="false">ROUND(E157*Assumptions!$C$7,Assumptions!$B$10)</f>
        <v>1386.23</v>
      </c>
      <c r="G157" s="18" t="n">
        <f aca="false">SUM(E157:F157)</f>
        <v>26590.4</v>
      </c>
      <c r="H157" s="18" t="n">
        <f aca="false">ROUND(G157-'Cohort Data'!H157,Assumptions!$B$10)</f>
        <v>10123.04</v>
      </c>
      <c r="I157" s="18" t="n">
        <f aca="false">CEILING(G157,Assumptions!$B$12)</f>
        <v>26600</v>
      </c>
      <c r="J157" s="18" t="n">
        <f aca="false">FLOOR(G157,Assumptions!$B$12)</f>
        <v>26500</v>
      </c>
      <c r="K157" s="18" t="n">
        <f aca="false">ROUNDUP(G157,Assumptions!$B$10)</f>
        <v>26590.4</v>
      </c>
      <c r="L157" s="18" t="n">
        <f aca="false">ROUNDDOWN(G157,Assumptions!$B$10)</f>
        <v>26590.4</v>
      </c>
      <c r="M157" s="19" t="n">
        <f aca="false">INT('Cohort Data'!E157/Assumptions!$B$11)</f>
        <v>1</v>
      </c>
    </row>
    <row r="158" customFormat="false" ht="15" hidden="false" customHeight="false" outlineLevel="0" collapsed="false">
      <c r="A158" s="2" t="s">
        <v>258</v>
      </c>
      <c r="B158" s="18" t="n">
        <f aca="false">IF('Cohort Data'!D158=Assumptions!$B$16,ROUND('Cohort Data'!L158*'Cohort Data'!K158*Assumptions!$F$5,Assumptions!$B$10),Assumptions!$B$13)</f>
        <v>23782.13</v>
      </c>
      <c r="C158" s="18" t="n">
        <f aca="false">IF('Cohort Data'!D158=Assumptions!$B$16,ROUND('Cohort Data'!E158*Assumptions!$C$6,Assumptions!$B$10),Assumptions!$B$13)</f>
        <v>4725</v>
      </c>
      <c r="D158" s="18" t="n">
        <f aca="false">SUM(B158:C158)</f>
        <v>28507.13</v>
      </c>
      <c r="E158" s="18" t="n">
        <f aca="false">ROUND(D158/Assumptions!$F$7,Assumptions!$B$10)</f>
        <v>28085.84</v>
      </c>
      <c r="F158" s="18" t="n">
        <f aca="false">ROUND(E158*Assumptions!$C$7,Assumptions!$B$10)</f>
        <v>1544.72</v>
      </c>
      <c r="G158" s="18" t="n">
        <f aca="false">SUM(E158:F158)</f>
        <v>29630.56</v>
      </c>
      <c r="H158" s="18" t="n">
        <f aca="false">ROUND(G158-'Cohort Data'!H158,Assumptions!$B$10)</f>
        <v>11008.66</v>
      </c>
      <c r="I158" s="18" t="n">
        <f aca="false">CEILING(G158,Assumptions!$B$12)</f>
        <v>29700</v>
      </c>
      <c r="J158" s="18" t="n">
        <f aca="false">FLOOR(G158,Assumptions!$B$12)</f>
        <v>29600</v>
      </c>
      <c r="K158" s="18" t="n">
        <f aca="false">ROUNDUP(G158,Assumptions!$B$10)</f>
        <v>29630.56</v>
      </c>
      <c r="L158" s="18" t="n">
        <f aca="false">ROUNDDOWN(G158,Assumptions!$B$10)</f>
        <v>29630.56</v>
      </c>
      <c r="M158" s="19" t="n">
        <f aca="false">INT('Cohort Data'!E158/Assumptions!$B$11)</f>
        <v>1</v>
      </c>
    </row>
    <row r="159" customFormat="false" ht="15" hidden="false" customHeight="false" outlineLevel="0" collapsed="false">
      <c r="A159" s="2" t="s">
        <v>259</v>
      </c>
      <c r="B159" s="18" t="n">
        <f aca="false">IF('Cohort Data'!D159=Assumptions!$B$16,ROUND('Cohort Data'!L159*'Cohort Data'!K159*Assumptions!$F$5,Assumptions!$B$10),Assumptions!$B$13)</f>
        <v>84245.87</v>
      </c>
      <c r="C159" s="18" t="n">
        <f aca="false">IF('Cohort Data'!D159=Assumptions!$B$16,ROUND('Cohort Data'!E159*Assumptions!$C$6,Assumptions!$B$10),Assumptions!$B$13)</f>
        <v>8435</v>
      </c>
      <c r="D159" s="18" t="n">
        <f aca="false">SUM(B159:C159)</f>
        <v>92680.87</v>
      </c>
      <c r="E159" s="18" t="n">
        <f aca="false">ROUND(D159/Assumptions!$F$7,Assumptions!$B$10)</f>
        <v>91311.2</v>
      </c>
      <c r="F159" s="18" t="n">
        <f aca="false">ROUND(E159*Assumptions!$C$7,Assumptions!$B$10)</f>
        <v>5022.12</v>
      </c>
      <c r="G159" s="18" t="n">
        <f aca="false">SUM(E159:F159)</f>
        <v>96333.32</v>
      </c>
      <c r="H159" s="18" t="n">
        <f aca="false">ROUND(G159-'Cohort Data'!H159,Assumptions!$B$10)</f>
        <v>35427.8</v>
      </c>
      <c r="I159" s="18" t="n">
        <f aca="false">CEILING(G159,Assumptions!$B$12)</f>
        <v>96400</v>
      </c>
      <c r="J159" s="18" t="n">
        <f aca="false">FLOOR(G159,Assumptions!$B$12)</f>
        <v>96300</v>
      </c>
      <c r="K159" s="18" t="n">
        <f aca="false">ROUNDUP(G159,Assumptions!$B$10)</f>
        <v>96333.32</v>
      </c>
      <c r="L159" s="18" t="n">
        <f aca="false">ROUNDDOWN(G159,Assumptions!$B$10)</f>
        <v>96333.31</v>
      </c>
      <c r="M159" s="19" t="n">
        <f aca="false">INT('Cohort Data'!E159/Assumptions!$B$11)</f>
        <v>2</v>
      </c>
    </row>
    <row r="160" customFormat="false" ht="15" hidden="false" customHeight="false" outlineLevel="0" collapsed="false">
      <c r="A160" s="2" t="s">
        <v>260</v>
      </c>
      <c r="B160" s="18" t="n">
        <f aca="false">IF('Cohort Data'!D160=Assumptions!$B$16,ROUND('Cohort Data'!L160*'Cohort Data'!K160*Assumptions!$F$5,Assumptions!$B$10),Assumptions!$B$13)</f>
        <v>28023.06</v>
      </c>
      <c r="C160" s="18" t="n">
        <f aca="false">IF('Cohort Data'!D160=Assumptions!$B$16,ROUND('Cohort Data'!E160*Assumptions!$C$6,Assumptions!$B$10),Assumptions!$B$13)</f>
        <v>3045</v>
      </c>
      <c r="D160" s="18" t="n">
        <f aca="false">SUM(B160:C160)</f>
        <v>31068.06</v>
      </c>
      <c r="E160" s="18" t="n">
        <f aca="false">ROUND(D160/Assumptions!$F$7,Assumptions!$B$10)</f>
        <v>30608.93</v>
      </c>
      <c r="F160" s="18" t="n">
        <f aca="false">ROUND(E160*Assumptions!$C$7,Assumptions!$B$10)</f>
        <v>1683.49</v>
      </c>
      <c r="G160" s="18" t="n">
        <f aca="false">SUM(E160:F160)</f>
        <v>32292.42</v>
      </c>
      <c r="H160" s="18" t="n">
        <f aca="false">ROUND(G160-'Cohort Data'!H160,Assumptions!$B$10)</f>
        <v>10710.68</v>
      </c>
      <c r="I160" s="18" t="n">
        <f aca="false">CEILING(G160,Assumptions!$B$12)</f>
        <v>32300</v>
      </c>
      <c r="J160" s="18" t="n">
        <f aca="false">FLOOR(G160,Assumptions!$B$12)</f>
        <v>32200</v>
      </c>
      <c r="K160" s="18" t="n">
        <f aca="false">ROUNDUP(G160,Assumptions!$B$10)</f>
        <v>32292.42</v>
      </c>
      <c r="L160" s="18" t="n">
        <f aca="false">ROUNDDOWN(G160,Assumptions!$B$10)</f>
        <v>32292.42</v>
      </c>
      <c r="M160" s="19" t="n">
        <f aca="false">INT('Cohort Data'!E160/Assumptions!$B$11)</f>
        <v>0</v>
      </c>
    </row>
    <row r="161" customFormat="false" ht="15" hidden="false" customHeight="false" outlineLevel="0" collapsed="false">
      <c r="A161" s="2" t="s">
        <v>261</v>
      </c>
      <c r="B161" s="18" t="n">
        <f aca="false">IF('Cohort Data'!D161=Assumptions!$B$16,ROUND('Cohort Data'!L161*'Cohort Data'!K161*Assumptions!$F$5,Assumptions!$B$10),Assumptions!$B$13)</f>
        <v>26232.41</v>
      </c>
      <c r="C161" s="18" t="n">
        <f aca="false">IF('Cohort Data'!D161=Assumptions!$B$16,ROUND('Cohort Data'!E161*Assumptions!$C$6,Assumptions!$B$10),Assumptions!$B$13)</f>
        <v>2940</v>
      </c>
      <c r="D161" s="18" t="n">
        <f aca="false">SUM(B161:C161)</f>
        <v>29172.41</v>
      </c>
      <c r="E161" s="18" t="n">
        <f aca="false">ROUND(D161/Assumptions!$F$7,Assumptions!$B$10)</f>
        <v>28741.29</v>
      </c>
      <c r="F161" s="18" t="n">
        <f aca="false">ROUND(E161*Assumptions!$C$7,Assumptions!$B$10)</f>
        <v>1580.77</v>
      </c>
      <c r="G161" s="18" t="n">
        <f aca="false">SUM(E161:F161)</f>
        <v>30322.06</v>
      </c>
      <c r="H161" s="18" t="n">
        <f aca="false">ROUND(G161-'Cohort Data'!H161,Assumptions!$B$10)</f>
        <v>9565.32</v>
      </c>
      <c r="I161" s="18" t="n">
        <f aca="false">CEILING(G161,Assumptions!$B$12)</f>
        <v>30400</v>
      </c>
      <c r="J161" s="18" t="n">
        <f aca="false">FLOOR(G161,Assumptions!$B$12)</f>
        <v>30300</v>
      </c>
      <c r="K161" s="18" t="n">
        <f aca="false">ROUNDUP(G161,Assumptions!$B$10)</f>
        <v>30322.06</v>
      </c>
      <c r="L161" s="18" t="n">
        <f aca="false">ROUNDDOWN(G161,Assumptions!$B$10)</f>
        <v>30322.06</v>
      </c>
      <c r="M161" s="19" t="n">
        <f aca="false">INT('Cohort Data'!E161/Assumptions!$B$11)</f>
        <v>0</v>
      </c>
    </row>
    <row r="162" customFormat="false" ht="15" hidden="false" customHeight="false" outlineLevel="0" collapsed="false">
      <c r="A162" s="2" t="s">
        <v>262</v>
      </c>
      <c r="B162" s="18" t="n">
        <f aca="false">IF('Cohort Data'!D162=Assumptions!$B$16,ROUND('Cohort Data'!L162*'Cohort Data'!K162*Assumptions!$F$5,Assumptions!$B$10),Assumptions!$B$13)</f>
        <v>35136.06</v>
      </c>
      <c r="C162" s="18" t="n">
        <f aca="false">IF('Cohort Data'!D162=Assumptions!$B$16,ROUND('Cohort Data'!E162*Assumptions!$C$6,Assumptions!$B$10),Assumptions!$B$13)</f>
        <v>3430</v>
      </c>
      <c r="D162" s="18" t="n">
        <f aca="false">SUM(B162:C162)</f>
        <v>38566.06</v>
      </c>
      <c r="E162" s="18" t="n">
        <f aca="false">ROUND(D162/Assumptions!$F$7,Assumptions!$B$10)</f>
        <v>37996.12</v>
      </c>
      <c r="F162" s="18" t="n">
        <f aca="false">ROUND(E162*Assumptions!$C$7,Assumptions!$B$10)</f>
        <v>2089.79</v>
      </c>
      <c r="G162" s="18" t="n">
        <f aca="false">SUM(E162:F162)</f>
        <v>40085.91</v>
      </c>
      <c r="H162" s="18" t="n">
        <f aca="false">ROUND(G162-'Cohort Data'!H162,Assumptions!$B$10)</f>
        <v>14402.07</v>
      </c>
      <c r="I162" s="18" t="n">
        <f aca="false">CEILING(G162,Assumptions!$B$12)</f>
        <v>40100</v>
      </c>
      <c r="J162" s="18" t="n">
        <f aca="false">FLOOR(G162,Assumptions!$B$12)</f>
        <v>40000</v>
      </c>
      <c r="K162" s="18" t="n">
        <f aca="false">ROUNDUP(G162,Assumptions!$B$10)</f>
        <v>40085.91</v>
      </c>
      <c r="L162" s="18" t="n">
        <f aca="false">ROUNDDOWN(G162,Assumptions!$B$10)</f>
        <v>40085.91</v>
      </c>
      <c r="M162" s="19" t="n">
        <f aca="false">INT('Cohort Data'!E162/Assumptions!$B$11)</f>
        <v>0</v>
      </c>
    </row>
    <row r="163" customFormat="false" ht="15" hidden="false" customHeight="false" outlineLevel="0" collapsed="false">
      <c r="A163" s="2" t="s">
        <v>263</v>
      </c>
      <c r="B163" s="18" t="n">
        <f aca="false">IF('Cohort Data'!D163=Assumptions!$B$16,ROUND('Cohort Data'!L163*'Cohort Data'!K163*Assumptions!$F$5,Assumptions!$B$10),Assumptions!$B$13)</f>
        <v>35499.99</v>
      </c>
      <c r="C163" s="18" t="n">
        <f aca="false">IF('Cohort Data'!D163=Assumptions!$B$16,ROUND('Cohort Data'!E163*Assumptions!$C$6,Assumptions!$B$10),Assumptions!$B$13)</f>
        <v>5180</v>
      </c>
      <c r="D163" s="18" t="n">
        <f aca="false">SUM(B163:C163)</f>
        <v>40679.99</v>
      </c>
      <c r="E163" s="18" t="n">
        <f aca="false">ROUND(D163/Assumptions!$F$7,Assumptions!$B$10)</f>
        <v>40078.81</v>
      </c>
      <c r="F163" s="18" t="n">
        <f aca="false">ROUND(E163*Assumptions!$C$7,Assumptions!$B$10)</f>
        <v>2204.33</v>
      </c>
      <c r="G163" s="18" t="n">
        <f aca="false">SUM(E163:F163)</f>
        <v>42283.14</v>
      </c>
      <c r="H163" s="18" t="n">
        <f aca="false">ROUND(G163-'Cohort Data'!H163,Assumptions!$B$10)</f>
        <v>13741.34</v>
      </c>
      <c r="I163" s="18" t="n">
        <f aca="false">CEILING(G163,Assumptions!$B$12)</f>
        <v>42300</v>
      </c>
      <c r="J163" s="18" t="n">
        <f aca="false">FLOOR(G163,Assumptions!$B$12)</f>
        <v>42200</v>
      </c>
      <c r="K163" s="18" t="n">
        <f aca="false">ROUNDUP(G163,Assumptions!$B$10)</f>
        <v>42283.14</v>
      </c>
      <c r="L163" s="18" t="n">
        <f aca="false">ROUNDDOWN(G163,Assumptions!$B$10)</f>
        <v>42283.14</v>
      </c>
      <c r="M163" s="19" t="n">
        <f aca="false">INT('Cohort Data'!E163/Assumptions!$B$11)</f>
        <v>1</v>
      </c>
    </row>
    <row r="164" customFormat="false" ht="15" hidden="false" customHeight="false" outlineLevel="0" collapsed="false">
      <c r="A164" s="2" t="s">
        <v>264</v>
      </c>
      <c r="B164" s="18" t="n">
        <f aca="false">IF('Cohort Data'!D164=Assumptions!$B$16,ROUND('Cohort Data'!L164*'Cohort Data'!K164*Assumptions!$F$5,Assumptions!$B$10),Assumptions!$B$13)</f>
        <v>43424.4</v>
      </c>
      <c r="C164" s="18" t="n">
        <f aca="false">IF('Cohort Data'!D164=Assumptions!$B$16,ROUND('Cohort Data'!E164*Assumptions!$C$6,Assumptions!$B$10),Assumptions!$B$13)</f>
        <v>6545</v>
      </c>
      <c r="D164" s="18" t="n">
        <f aca="false">SUM(B164:C164)</f>
        <v>49969.4</v>
      </c>
      <c r="E164" s="18" t="n">
        <f aca="false">ROUND(D164/Assumptions!$F$7,Assumptions!$B$10)</f>
        <v>49230.94</v>
      </c>
      <c r="F164" s="18" t="n">
        <f aca="false">ROUND(E164*Assumptions!$C$7,Assumptions!$B$10)</f>
        <v>2707.7</v>
      </c>
      <c r="G164" s="18" t="n">
        <f aca="false">SUM(E164:F164)</f>
        <v>51938.64</v>
      </c>
      <c r="H164" s="18" t="n">
        <f aca="false">ROUND(G164-'Cohort Data'!H164,Assumptions!$B$10)</f>
        <v>17936.43</v>
      </c>
      <c r="I164" s="18" t="n">
        <f aca="false">CEILING(G164,Assumptions!$B$12)</f>
        <v>52000</v>
      </c>
      <c r="J164" s="18" t="n">
        <f aca="false">FLOOR(G164,Assumptions!$B$12)</f>
        <v>51900</v>
      </c>
      <c r="K164" s="18" t="n">
        <f aca="false">ROUNDUP(G164,Assumptions!$B$10)</f>
        <v>51938.64</v>
      </c>
      <c r="L164" s="18" t="n">
        <f aca="false">ROUNDDOWN(G164,Assumptions!$B$10)</f>
        <v>51938.64</v>
      </c>
      <c r="M164" s="19" t="n">
        <f aca="false">INT('Cohort Data'!E164/Assumptions!$B$11)</f>
        <v>1</v>
      </c>
    </row>
    <row r="165" customFormat="false" ht="15" hidden="false" customHeight="false" outlineLevel="0" collapsed="false">
      <c r="A165" s="2" t="s">
        <v>265</v>
      </c>
      <c r="B165" s="18" t="n">
        <f aca="false">IF('Cohort Data'!D165=Assumptions!$B$16,ROUND('Cohort Data'!L165*'Cohort Data'!K165*Assumptions!$F$5,Assumptions!$B$10),Assumptions!$B$13)</f>
        <v>50445.34</v>
      </c>
      <c r="C165" s="18" t="n">
        <f aca="false">IF('Cohort Data'!D165=Assumptions!$B$16,ROUND('Cohort Data'!E165*Assumptions!$C$6,Assumptions!$B$10),Assumptions!$B$13)</f>
        <v>4690</v>
      </c>
      <c r="D165" s="18" t="n">
        <f aca="false">SUM(B165:C165)</f>
        <v>55135.34</v>
      </c>
      <c r="E165" s="18" t="n">
        <f aca="false">ROUND(D165/Assumptions!$F$7,Assumptions!$B$10)</f>
        <v>54320.53</v>
      </c>
      <c r="F165" s="18" t="n">
        <f aca="false">ROUND(E165*Assumptions!$C$7,Assumptions!$B$10)</f>
        <v>2987.63</v>
      </c>
      <c r="G165" s="18" t="n">
        <f aca="false">SUM(E165:F165)</f>
        <v>57308.16</v>
      </c>
      <c r="H165" s="18" t="n">
        <f aca="false">ROUND(G165-'Cohort Data'!H165,Assumptions!$B$10)</f>
        <v>19217.86</v>
      </c>
      <c r="I165" s="18" t="n">
        <f aca="false">CEILING(G165,Assumptions!$B$12)</f>
        <v>57400</v>
      </c>
      <c r="J165" s="18" t="n">
        <f aca="false">FLOOR(G165,Assumptions!$B$12)</f>
        <v>57300</v>
      </c>
      <c r="K165" s="18" t="n">
        <f aca="false">ROUNDUP(G165,Assumptions!$B$10)</f>
        <v>57308.16</v>
      </c>
      <c r="L165" s="18" t="n">
        <f aca="false">ROUNDDOWN(G165,Assumptions!$B$10)</f>
        <v>57308.16</v>
      </c>
      <c r="M165" s="19" t="n">
        <f aca="false">INT('Cohort Data'!E165/Assumptions!$B$11)</f>
        <v>1</v>
      </c>
    </row>
    <row r="166" customFormat="false" ht="15" hidden="false" customHeight="false" outlineLevel="0" collapsed="false">
      <c r="A166" s="2" t="s">
        <v>266</v>
      </c>
      <c r="B166" s="18" t="n">
        <f aca="false">IF('Cohort Data'!D166=Assumptions!$B$16,ROUND('Cohort Data'!L166*'Cohort Data'!K166*Assumptions!$F$5,Assumptions!$B$10),Assumptions!$B$13)</f>
        <v>34848.93</v>
      </c>
      <c r="C166" s="18" t="n">
        <f aca="false">IF('Cohort Data'!D166=Assumptions!$B$16,ROUND('Cohort Data'!E166*Assumptions!$C$6,Assumptions!$B$10),Assumptions!$B$13)</f>
        <v>3955</v>
      </c>
      <c r="D166" s="18" t="n">
        <f aca="false">SUM(B166:C166)</f>
        <v>38803.93</v>
      </c>
      <c r="E166" s="18" t="n">
        <f aca="false">ROUND(D166/Assumptions!$F$7,Assumptions!$B$10)</f>
        <v>38230.47</v>
      </c>
      <c r="F166" s="18" t="n">
        <f aca="false">ROUND(E166*Assumptions!$C$7,Assumptions!$B$10)</f>
        <v>2102.68</v>
      </c>
      <c r="G166" s="18" t="n">
        <f aca="false">SUM(E166:F166)</f>
        <v>40333.15</v>
      </c>
      <c r="H166" s="18" t="n">
        <f aca="false">ROUND(G166-'Cohort Data'!H166,Assumptions!$B$10)</f>
        <v>12314.8</v>
      </c>
      <c r="I166" s="18" t="n">
        <f aca="false">CEILING(G166,Assumptions!$B$12)</f>
        <v>40400</v>
      </c>
      <c r="J166" s="18" t="n">
        <f aca="false">FLOOR(G166,Assumptions!$B$12)</f>
        <v>40300</v>
      </c>
      <c r="K166" s="18" t="n">
        <f aca="false">ROUNDUP(G166,Assumptions!$B$10)</f>
        <v>40333.15</v>
      </c>
      <c r="L166" s="18" t="n">
        <f aca="false">ROUNDDOWN(G166,Assumptions!$B$10)</f>
        <v>40333.15</v>
      </c>
      <c r="M166" s="19" t="n">
        <f aca="false">INT('Cohort Data'!E166/Assumptions!$B$11)</f>
        <v>1</v>
      </c>
    </row>
    <row r="167" customFormat="false" ht="15" hidden="false" customHeight="false" outlineLevel="0" collapsed="false">
      <c r="A167" s="2" t="s">
        <v>267</v>
      </c>
      <c r="B167" s="18" t="n">
        <f aca="false">IF('Cohort Data'!D167=Assumptions!$B$16,ROUND('Cohort Data'!L167*'Cohort Data'!K167*Assumptions!$F$5,Assumptions!$B$10),Assumptions!$B$13)</f>
        <v>31997.77</v>
      </c>
      <c r="C167" s="18" t="n">
        <f aca="false">IF('Cohort Data'!D167=Assumptions!$B$16,ROUND('Cohort Data'!E167*Assumptions!$C$6,Assumptions!$B$10),Assumptions!$B$13)</f>
        <v>3780</v>
      </c>
      <c r="D167" s="18" t="n">
        <f aca="false">SUM(B167:C167)</f>
        <v>35777.77</v>
      </c>
      <c r="E167" s="18" t="n">
        <f aca="false">ROUND(D167/Assumptions!$F$7,Assumptions!$B$10)</f>
        <v>35249.03</v>
      </c>
      <c r="F167" s="18" t="n">
        <f aca="false">ROUND(E167*Assumptions!$C$7,Assumptions!$B$10)</f>
        <v>1938.7</v>
      </c>
      <c r="G167" s="18" t="n">
        <f aca="false">SUM(E167:F167)</f>
        <v>37187.73</v>
      </c>
      <c r="H167" s="18" t="n">
        <f aca="false">ROUND(G167-'Cohort Data'!H167,Assumptions!$B$10)</f>
        <v>10814.13</v>
      </c>
      <c r="I167" s="18" t="n">
        <f aca="false">CEILING(G167,Assumptions!$B$12)</f>
        <v>37200</v>
      </c>
      <c r="J167" s="18" t="n">
        <f aca="false">FLOOR(G167,Assumptions!$B$12)</f>
        <v>37100</v>
      </c>
      <c r="K167" s="18" t="n">
        <f aca="false">ROUNDUP(G167,Assumptions!$B$10)</f>
        <v>37187.73</v>
      </c>
      <c r="L167" s="18" t="n">
        <f aca="false">ROUNDDOWN(G167,Assumptions!$B$10)</f>
        <v>37187.72</v>
      </c>
      <c r="M167" s="19" t="n">
        <f aca="false">INT('Cohort Data'!E167/Assumptions!$B$11)</f>
        <v>1</v>
      </c>
    </row>
    <row r="168" customFormat="false" ht="15" hidden="false" customHeight="false" outlineLevel="0" collapsed="false">
      <c r="A168" s="2" t="s">
        <v>268</v>
      </c>
      <c r="B168" s="18" t="n">
        <f aca="false">IF('Cohort Data'!D168=Assumptions!$B$16,ROUND('Cohort Data'!L168*'Cohort Data'!K168*Assumptions!$F$5,Assumptions!$B$10),Assumptions!$B$13)</f>
        <v>75605.27</v>
      </c>
      <c r="C168" s="18" t="n">
        <f aca="false">IF('Cohort Data'!D168=Assumptions!$B$16,ROUND('Cohort Data'!E168*Assumptions!$C$6,Assumptions!$B$10),Assumptions!$B$13)</f>
        <v>8435</v>
      </c>
      <c r="D168" s="18" t="n">
        <f aca="false">SUM(B168:C168)</f>
        <v>84040.27</v>
      </c>
      <c r="E168" s="18" t="n">
        <f aca="false">ROUND(D168/Assumptions!$F$7,Assumptions!$B$10)</f>
        <v>82798.3</v>
      </c>
      <c r="F168" s="18" t="n">
        <f aca="false">ROUND(E168*Assumptions!$C$7,Assumptions!$B$10)</f>
        <v>4553.91</v>
      </c>
      <c r="G168" s="18" t="n">
        <f aca="false">SUM(E168:F168)</f>
        <v>87352.21</v>
      </c>
      <c r="H168" s="18" t="n">
        <f aca="false">ROUND(G168-'Cohort Data'!H168,Assumptions!$B$10)</f>
        <v>32086.09</v>
      </c>
      <c r="I168" s="18" t="n">
        <f aca="false">CEILING(G168,Assumptions!$B$12)</f>
        <v>87400</v>
      </c>
      <c r="J168" s="18" t="n">
        <f aca="false">FLOOR(G168,Assumptions!$B$12)</f>
        <v>87300</v>
      </c>
      <c r="K168" s="18" t="n">
        <f aca="false">ROUNDUP(G168,Assumptions!$B$10)</f>
        <v>87352.21</v>
      </c>
      <c r="L168" s="18" t="n">
        <f aca="false">ROUNDDOWN(G168,Assumptions!$B$10)</f>
        <v>87352.21</v>
      </c>
      <c r="M168" s="19" t="n">
        <f aca="false">INT('Cohort Data'!E168/Assumptions!$B$11)</f>
        <v>2</v>
      </c>
    </row>
    <row r="169" customFormat="false" ht="15" hidden="false" customHeight="false" outlineLevel="0" collapsed="false">
      <c r="A169" s="2" t="s">
        <v>269</v>
      </c>
      <c r="B169" s="18" t="n">
        <f aca="false">IF('Cohort Data'!D169=Assumptions!$B$16,ROUND('Cohort Data'!L169*'Cohort Data'!K169*Assumptions!$F$5,Assumptions!$B$10),Assumptions!$B$13)</f>
        <v>12061.77</v>
      </c>
      <c r="C169" s="18" t="n">
        <f aca="false">IF('Cohort Data'!D169=Assumptions!$B$16,ROUND('Cohort Data'!E169*Assumptions!$C$6,Assumptions!$B$10),Assumptions!$B$13)</f>
        <v>3080</v>
      </c>
      <c r="D169" s="18" t="n">
        <f aca="false">SUM(B169:C169)</f>
        <v>15141.77</v>
      </c>
      <c r="E169" s="18" t="n">
        <f aca="false">ROUND(D169/Assumptions!$F$7,Assumptions!$B$10)</f>
        <v>14918</v>
      </c>
      <c r="F169" s="18" t="n">
        <f aca="false">ROUND(E169*Assumptions!$C$7,Assumptions!$B$10)</f>
        <v>820.49</v>
      </c>
      <c r="G169" s="18" t="n">
        <f aca="false">SUM(E169:F169)</f>
        <v>15738.49</v>
      </c>
      <c r="H169" s="18" t="n">
        <f aca="false">ROUND(G169-'Cohort Data'!H169,Assumptions!$B$10)</f>
        <v>6040.89</v>
      </c>
      <c r="I169" s="18" t="n">
        <f aca="false">CEILING(G169,Assumptions!$B$12)</f>
        <v>15800</v>
      </c>
      <c r="J169" s="18" t="n">
        <f aca="false">FLOOR(G169,Assumptions!$B$12)</f>
        <v>15700</v>
      </c>
      <c r="K169" s="18" t="n">
        <f aca="false">ROUNDUP(G169,Assumptions!$B$10)</f>
        <v>15738.49</v>
      </c>
      <c r="L169" s="18" t="n">
        <f aca="false">ROUNDDOWN(G169,Assumptions!$B$10)</f>
        <v>15738.49</v>
      </c>
      <c r="M169" s="19" t="n">
        <f aca="false">INT('Cohort Data'!E169/Assumptions!$B$11)</f>
        <v>0</v>
      </c>
    </row>
    <row r="170" customFormat="false" ht="15" hidden="false" customHeight="false" outlineLevel="0" collapsed="false">
      <c r="A170" s="2" t="s">
        <v>270</v>
      </c>
      <c r="B170" s="18" t="n">
        <f aca="false">IF('Cohort Data'!D170=Assumptions!$B$16,ROUND('Cohort Data'!L170*'Cohort Data'!K170*Assumptions!$F$5,Assumptions!$B$10),Assumptions!$B$13)</f>
        <v>46411.18</v>
      </c>
      <c r="C170" s="18" t="n">
        <f aca="false">IF('Cohort Data'!D170=Assumptions!$B$16,ROUND('Cohort Data'!E170*Assumptions!$C$6,Assumptions!$B$10),Assumptions!$B$13)</f>
        <v>7245</v>
      </c>
      <c r="D170" s="18" t="n">
        <f aca="false">SUM(B170:C170)</f>
        <v>53656.18</v>
      </c>
      <c r="E170" s="18" t="n">
        <f aca="false">ROUND(D170/Assumptions!$F$7,Assumptions!$B$10)</f>
        <v>52863.23</v>
      </c>
      <c r="F170" s="18" t="n">
        <f aca="false">ROUND(E170*Assumptions!$C$7,Assumptions!$B$10)</f>
        <v>2907.48</v>
      </c>
      <c r="G170" s="18" t="n">
        <f aca="false">SUM(E170:F170)</f>
        <v>55770.71</v>
      </c>
      <c r="H170" s="18" t="n">
        <f aca="false">ROUND(G170-'Cohort Data'!H170,Assumptions!$B$10)</f>
        <v>21342.47</v>
      </c>
      <c r="I170" s="18" t="n">
        <f aca="false">CEILING(G170,Assumptions!$B$12)</f>
        <v>55800</v>
      </c>
      <c r="J170" s="18" t="n">
        <f aca="false">FLOOR(G170,Assumptions!$B$12)</f>
        <v>55700</v>
      </c>
      <c r="K170" s="18" t="n">
        <f aca="false">ROUNDUP(G170,Assumptions!$B$10)</f>
        <v>55770.72</v>
      </c>
      <c r="L170" s="18" t="n">
        <f aca="false">ROUNDDOWN(G170,Assumptions!$B$10)</f>
        <v>55770.71</v>
      </c>
      <c r="M170" s="19" t="n">
        <f aca="false">INT('Cohort Data'!E170/Assumptions!$B$11)</f>
        <v>2</v>
      </c>
    </row>
    <row r="171" customFormat="false" ht="15" hidden="false" customHeight="false" outlineLevel="0" collapsed="false">
      <c r="A171" s="2" t="s">
        <v>271</v>
      </c>
      <c r="B171" s="18" t="n">
        <f aca="false">IF('Cohort Data'!D171=Assumptions!$B$16,ROUND('Cohort Data'!L171*'Cohort Data'!K171*Assumptions!$F$5,Assumptions!$B$10),Assumptions!$B$13)</f>
        <v>50418.45</v>
      </c>
      <c r="C171" s="18" t="n">
        <f aca="false">IF('Cohort Data'!D171=Assumptions!$B$16,ROUND('Cohort Data'!E171*Assumptions!$C$6,Assumptions!$B$10),Assumptions!$B$13)</f>
        <v>4375</v>
      </c>
      <c r="D171" s="18" t="n">
        <f aca="false">SUM(B171:C171)</f>
        <v>54793.45</v>
      </c>
      <c r="E171" s="18" t="n">
        <f aca="false">ROUND(D171/Assumptions!$F$7,Assumptions!$B$10)</f>
        <v>53983.69</v>
      </c>
      <c r="F171" s="18" t="n">
        <f aca="false">ROUND(E171*Assumptions!$C$7,Assumptions!$B$10)</f>
        <v>2969.1</v>
      </c>
      <c r="G171" s="18" t="n">
        <f aca="false">SUM(E171:F171)</f>
        <v>56952.79</v>
      </c>
      <c r="H171" s="18" t="n">
        <f aca="false">ROUND(G171-'Cohort Data'!H171,Assumptions!$B$10)</f>
        <v>17262.79</v>
      </c>
      <c r="I171" s="18" t="n">
        <f aca="false">CEILING(G171,Assumptions!$B$12)</f>
        <v>57000</v>
      </c>
      <c r="J171" s="18" t="n">
        <f aca="false">FLOOR(G171,Assumptions!$B$12)</f>
        <v>56900</v>
      </c>
      <c r="K171" s="18" t="n">
        <f aca="false">ROUNDUP(G171,Assumptions!$B$10)</f>
        <v>56952.79</v>
      </c>
      <c r="L171" s="18" t="n">
        <f aca="false">ROUNDDOWN(G171,Assumptions!$B$10)</f>
        <v>56952.79</v>
      </c>
      <c r="M171" s="19" t="n">
        <f aca="false">INT('Cohort Data'!E171/Assumptions!$B$11)</f>
        <v>1</v>
      </c>
    </row>
    <row r="172" customFormat="false" ht="15" hidden="false" customHeight="false" outlineLevel="0" collapsed="false">
      <c r="A172" s="2" t="s">
        <v>272</v>
      </c>
      <c r="B172" s="18" t="n">
        <f aca="false">IF('Cohort Data'!D172=Assumptions!$B$16,ROUND('Cohort Data'!L172*'Cohort Data'!K172*Assumptions!$F$5,Assumptions!$B$10),Assumptions!$B$13)</f>
        <v>19901.93</v>
      </c>
      <c r="C172" s="18" t="n">
        <f aca="false">IF('Cohort Data'!D172=Assumptions!$B$16,ROUND('Cohort Data'!E172*Assumptions!$C$6,Assumptions!$B$10),Assumptions!$B$13)</f>
        <v>4235</v>
      </c>
      <c r="D172" s="18" t="n">
        <f aca="false">SUM(B172:C172)</f>
        <v>24136.93</v>
      </c>
      <c r="E172" s="18" t="n">
        <f aca="false">ROUND(D172/Assumptions!$F$7,Assumptions!$B$10)</f>
        <v>23780.23</v>
      </c>
      <c r="F172" s="18" t="n">
        <f aca="false">ROUND(E172*Assumptions!$C$7,Assumptions!$B$10)</f>
        <v>1307.91</v>
      </c>
      <c r="G172" s="18" t="n">
        <f aca="false">SUM(E172:F172)</f>
        <v>25088.14</v>
      </c>
      <c r="H172" s="18" t="n">
        <f aca="false">ROUND(G172-'Cohort Data'!H172,Assumptions!$B$10)</f>
        <v>9929.26</v>
      </c>
      <c r="I172" s="18" t="n">
        <f aca="false">CEILING(G172,Assumptions!$B$12)</f>
        <v>25100</v>
      </c>
      <c r="J172" s="18" t="n">
        <f aca="false">FLOOR(G172,Assumptions!$B$12)</f>
        <v>25000</v>
      </c>
      <c r="K172" s="18" t="n">
        <f aca="false">ROUNDUP(G172,Assumptions!$B$10)</f>
        <v>25088.14</v>
      </c>
      <c r="L172" s="18" t="n">
        <f aca="false">ROUNDDOWN(G172,Assumptions!$B$10)</f>
        <v>25088.14</v>
      </c>
      <c r="M172" s="19" t="n">
        <f aca="false">INT('Cohort Data'!E172/Assumptions!$B$11)</f>
        <v>1</v>
      </c>
    </row>
    <row r="173" customFormat="false" ht="15" hidden="false" customHeight="false" outlineLevel="0" collapsed="false">
      <c r="A173" s="2" t="s">
        <v>273</v>
      </c>
      <c r="B173" s="18" t="n">
        <f aca="false">IF('Cohort Data'!D173=Assumptions!$B$16,ROUND('Cohort Data'!L173*'Cohort Data'!K173*Assumptions!$F$5,Assumptions!$B$10),Assumptions!$B$13)</f>
        <v>81796.1</v>
      </c>
      <c r="C173" s="18" t="n">
        <f aca="false">IF('Cohort Data'!D173=Assumptions!$B$16,ROUND('Cohort Data'!E173*Assumptions!$C$6,Assumptions!$B$10),Assumptions!$B$13)</f>
        <v>7945</v>
      </c>
      <c r="D173" s="18" t="n">
        <f aca="false">SUM(B173:C173)</f>
        <v>89741.1</v>
      </c>
      <c r="E173" s="18" t="n">
        <f aca="false">ROUND(D173/Assumptions!$F$7,Assumptions!$B$10)</f>
        <v>88414.88</v>
      </c>
      <c r="F173" s="18" t="n">
        <f aca="false">ROUND(E173*Assumptions!$C$7,Assumptions!$B$10)</f>
        <v>4862.82</v>
      </c>
      <c r="G173" s="18" t="n">
        <f aca="false">SUM(E173:F173)</f>
        <v>93277.7</v>
      </c>
      <c r="H173" s="18" t="n">
        <f aca="false">ROUND(G173-'Cohort Data'!H173,Assumptions!$B$10)</f>
        <v>29903.84</v>
      </c>
      <c r="I173" s="18" t="n">
        <f aca="false">CEILING(G173,Assumptions!$B$12)</f>
        <v>93300</v>
      </c>
      <c r="J173" s="18" t="n">
        <f aca="false">FLOOR(G173,Assumptions!$B$12)</f>
        <v>93200</v>
      </c>
      <c r="K173" s="18" t="n">
        <f aca="false">ROUNDUP(G173,Assumptions!$B$10)</f>
        <v>93277.71</v>
      </c>
      <c r="L173" s="18" t="n">
        <f aca="false">ROUNDDOWN(G173,Assumptions!$B$10)</f>
        <v>93277.7</v>
      </c>
      <c r="M173" s="19" t="n">
        <f aca="false">INT('Cohort Data'!E173/Assumptions!$B$11)</f>
        <v>2</v>
      </c>
    </row>
    <row r="174" customFormat="false" ht="15" hidden="false" customHeight="false" outlineLevel="0" collapsed="false">
      <c r="A174" s="2" t="s">
        <v>274</v>
      </c>
      <c r="B174" s="18" t="n">
        <f aca="false">IF('Cohort Data'!D174=Assumptions!$B$16,ROUND('Cohort Data'!L174*'Cohort Data'!K174*Assumptions!$F$5,Assumptions!$B$10),Assumptions!$B$13)</f>
        <v>0</v>
      </c>
      <c r="C174" s="18" t="n">
        <f aca="false">IF('Cohort Data'!D174=Assumptions!$B$16,ROUND('Cohort Data'!E174*Assumptions!$C$6,Assumptions!$B$10),Assumptions!$B$13)</f>
        <v>0</v>
      </c>
      <c r="D174" s="18" t="n">
        <f aca="false">SUM(B174:C174)</f>
        <v>0</v>
      </c>
      <c r="E174" s="18" t="n">
        <f aca="false">ROUND(D174/Assumptions!$F$7,Assumptions!$B$10)</f>
        <v>0</v>
      </c>
      <c r="F174" s="18" t="n">
        <f aca="false">ROUND(E174*Assumptions!$C$7,Assumptions!$B$10)</f>
        <v>0</v>
      </c>
      <c r="G174" s="18" t="n">
        <f aca="false">SUM(E174:F174)</f>
        <v>0</v>
      </c>
      <c r="H174" s="18" t="n">
        <f aca="false">ROUND(G174-'Cohort Data'!H174,Assumptions!$B$10)</f>
        <v>-33330.53</v>
      </c>
      <c r="I174" s="18" t="n">
        <f aca="false">CEILING(G174,Assumptions!$B$12)</f>
        <v>0</v>
      </c>
      <c r="J174" s="18" t="n">
        <f aca="false">FLOOR(G174,Assumptions!$B$12)</f>
        <v>0</v>
      </c>
      <c r="K174" s="18" t="n">
        <f aca="false">ROUNDUP(G174,Assumptions!$B$10)</f>
        <v>0</v>
      </c>
      <c r="L174" s="18" t="n">
        <f aca="false">ROUNDDOWN(G174,Assumptions!$B$10)</f>
        <v>0</v>
      </c>
      <c r="M174" s="19" t="n">
        <f aca="false">INT('Cohort Data'!E174/Assumptions!$B$11)</f>
        <v>1</v>
      </c>
    </row>
    <row r="175" customFormat="false" ht="15" hidden="false" customHeight="false" outlineLevel="0" collapsed="false">
      <c r="A175" s="2" t="s">
        <v>275</v>
      </c>
      <c r="B175" s="18" t="n">
        <f aca="false">IF('Cohort Data'!D175=Assumptions!$B$16,ROUND('Cohort Data'!L175*'Cohort Data'!K175*Assumptions!$F$5,Assumptions!$B$10),Assumptions!$B$13)</f>
        <v>37761.57</v>
      </c>
      <c r="C175" s="18" t="n">
        <f aca="false">IF('Cohort Data'!D175=Assumptions!$B$16,ROUND('Cohort Data'!E175*Assumptions!$C$6,Assumptions!$B$10),Assumptions!$B$13)</f>
        <v>5075</v>
      </c>
      <c r="D175" s="18" t="n">
        <f aca="false">SUM(B175:C175)</f>
        <v>42836.57</v>
      </c>
      <c r="E175" s="18" t="n">
        <f aca="false">ROUND(D175/Assumptions!$F$7,Assumptions!$B$10)</f>
        <v>42203.52</v>
      </c>
      <c r="F175" s="18" t="n">
        <f aca="false">ROUND(E175*Assumptions!$C$7,Assumptions!$B$10)</f>
        <v>2321.19</v>
      </c>
      <c r="G175" s="18" t="n">
        <f aca="false">SUM(E175:F175)</f>
        <v>44524.71</v>
      </c>
      <c r="H175" s="18" t="n">
        <f aca="false">ROUND(G175-'Cohort Data'!H175,Assumptions!$B$10)</f>
        <v>15123.35</v>
      </c>
      <c r="I175" s="18" t="n">
        <f aca="false">CEILING(G175,Assumptions!$B$12)</f>
        <v>44600</v>
      </c>
      <c r="J175" s="18" t="n">
        <f aca="false">FLOOR(G175,Assumptions!$B$12)</f>
        <v>44500</v>
      </c>
      <c r="K175" s="18" t="n">
        <f aca="false">ROUNDUP(G175,Assumptions!$B$10)</f>
        <v>44524.71</v>
      </c>
      <c r="L175" s="18" t="n">
        <f aca="false">ROUNDDOWN(G175,Assumptions!$B$10)</f>
        <v>44524.71</v>
      </c>
      <c r="M175" s="19" t="n">
        <f aca="false">INT('Cohort Data'!E175/Assumptions!$B$11)</f>
        <v>1</v>
      </c>
    </row>
    <row r="176" customFormat="false" ht="15" hidden="false" customHeight="false" outlineLevel="0" collapsed="false">
      <c r="A176" s="2" t="s">
        <v>276</v>
      </c>
      <c r="B176" s="18" t="n">
        <f aca="false">IF('Cohort Data'!D176=Assumptions!$B$16,ROUND('Cohort Data'!L176*'Cohort Data'!K176*Assumptions!$F$5,Assumptions!$B$10),Assumptions!$B$13)</f>
        <v>66638</v>
      </c>
      <c r="C176" s="18" t="n">
        <f aca="false">IF('Cohort Data'!D176=Assumptions!$B$16,ROUND('Cohort Data'!E176*Assumptions!$C$6,Assumptions!$B$10),Assumptions!$B$13)</f>
        <v>7665</v>
      </c>
      <c r="D176" s="18" t="n">
        <f aca="false">SUM(B176:C176)</f>
        <v>74303</v>
      </c>
      <c r="E176" s="18" t="n">
        <f aca="false">ROUND(D176/Assumptions!$F$7,Assumptions!$B$10)</f>
        <v>73204.93</v>
      </c>
      <c r="F176" s="18" t="n">
        <f aca="false">ROUND(E176*Assumptions!$C$7,Assumptions!$B$10)</f>
        <v>4026.27</v>
      </c>
      <c r="G176" s="18" t="n">
        <f aca="false">SUM(E176:F176)</f>
        <v>77231.2</v>
      </c>
      <c r="H176" s="18" t="n">
        <f aca="false">ROUND(G176-'Cohort Data'!H176,Assumptions!$B$10)</f>
        <v>26700.02</v>
      </c>
      <c r="I176" s="18" t="n">
        <f aca="false">CEILING(G176,Assumptions!$B$12)</f>
        <v>77300</v>
      </c>
      <c r="J176" s="18" t="n">
        <f aca="false">FLOOR(G176,Assumptions!$B$12)</f>
        <v>77200</v>
      </c>
      <c r="K176" s="18" t="n">
        <f aca="false">ROUNDUP(G176,Assumptions!$B$10)</f>
        <v>77231.2</v>
      </c>
      <c r="L176" s="18" t="n">
        <f aca="false">ROUNDDOWN(G176,Assumptions!$B$10)</f>
        <v>77231.2</v>
      </c>
      <c r="M176" s="19" t="n">
        <f aca="false">INT('Cohort Data'!E176/Assumptions!$B$11)</f>
        <v>2</v>
      </c>
    </row>
    <row r="177" customFormat="false" ht="15" hidden="false" customHeight="false" outlineLevel="0" collapsed="false">
      <c r="A177" s="2" t="s">
        <v>277</v>
      </c>
      <c r="B177" s="18" t="n">
        <f aca="false">IF('Cohort Data'!D177=Assumptions!$B$16,ROUND('Cohort Data'!L177*'Cohort Data'!K177*Assumptions!$F$5,Assumptions!$B$10),Assumptions!$B$13)</f>
        <v>29758.09</v>
      </c>
      <c r="C177" s="18" t="n">
        <f aca="false">IF('Cohort Data'!D177=Assumptions!$B$16,ROUND('Cohort Data'!E177*Assumptions!$C$6,Assumptions!$B$10),Assumptions!$B$13)</f>
        <v>5810</v>
      </c>
      <c r="D177" s="18" t="n">
        <f aca="false">SUM(B177:C177)</f>
        <v>35568.09</v>
      </c>
      <c r="E177" s="18" t="n">
        <f aca="false">ROUND(D177/Assumptions!$F$7,Assumptions!$B$10)</f>
        <v>35042.45</v>
      </c>
      <c r="F177" s="18" t="n">
        <f aca="false">ROUND(E177*Assumptions!$C$7,Assumptions!$B$10)</f>
        <v>1927.33</v>
      </c>
      <c r="G177" s="18" t="n">
        <f aca="false">SUM(E177:F177)</f>
        <v>36969.78</v>
      </c>
      <c r="H177" s="18" t="n">
        <f aca="false">ROUND(G177-'Cohort Data'!H177,Assumptions!$B$10)</f>
        <v>15217.14</v>
      </c>
      <c r="I177" s="18" t="n">
        <f aca="false">CEILING(G177,Assumptions!$B$12)</f>
        <v>37000</v>
      </c>
      <c r="J177" s="18" t="n">
        <f aca="false">FLOOR(G177,Assumptions!$B$12)</f>
        <v>36900</v>
      </c>
      <c r="K177" s="18" t="n">
        <f aca="false">ROUNDUP(G177,Assumptions!$B$10)</f>
        <v>36969.78</v>
      </c>
      <c r="L177" s="18" t="n">
        <f aca="false">ROUNDDOWN(G177,Assumptions!$B$10)</f>
        <v>36969.78</v>
      </c>
      <c r="M177" s="19" t="n">
        <f aca="false">INT('Cohort Data'!E177/Assumptions!$B$11)</f>
        <v>1</v>
      </c>
    </row>
    <row r="178" customFormat="false" ht="15" hidden="false" customHeight="false" outlineLevel="0" collapsed="false">
      <c r="A178" s="2" t="s">
        <v>278</v>
      </c>
      <c r="B178" s="18" t="n">
        <f aca="false">IF('Cohort Data'!D178=Assumptions!$B$16,ROUND('Cohort Data'!L178*'Cohort Data'!K178*Assumptions!$F$5,Assumptions!$B$10),Assumptions!$B$13)</f>
        <v>12767.66</v>
      </c>
      <c r="C178" s="18" t="n">
        <f aca="false">IF('Cohort Data'!D178=Assumptions!$B$16,ROUND('Cohort Data'!E178*Assumptions!$C$6,Assumptions!$B$10),Assumptions!$B$13)</f>
        <v>2415</v>
      </c>
      <c r="D178" s="18" t="n">
        <f aca="false">SUM(B178:C178)</f>
        <v>15182.66</v>
      </c>
      <c r="E178" s="18" t="n">
        <f aca="false">ROUND(D178/Assumptions!$F$7,Assumptions!$B$10)</f>
        <v>14958.29</v>
      </c>
      <c r="F178" s="18" t="n">
        <f aca="false">ROUND(E178*Assumptions!$C$7,Assumptions!$B$10)</f>
        <v>822.71</v>
      </c>
      <c r="G178" s="18" t="n">
        <f aca="false">SUM(E178:F178)</f>
        <v>15781</v>
      </c>
      <c r="H178" s="18" t="n">
        <f aca="false">ROUND(G178-'Cohort Data'!H178,Assumptions!$B$10)</f>
        <v>5948.09</v>
      </c>
      <c r="I178" s="18" t="n">
        <f aca="false">CEILING(G178,Assumptions!$B$12)</f>
        <v>15800</v>
      </c>
      <c r="J178" s="18" t="n">
        <f aca="false">FLOOR(G178,Assumptions!$B$12)</f>
        <v>15700</v>
      </c>
      <c r="K178" s="18" t="n">
        <f aca="false">ROUNDUP(G178,Assumptions!$B$10)</f>
        <v>15781</v>
      </c>
      <c r="L178" s="18" t="n">
        <f aca="false">ROUNDDOWN(G178,Assumptions!$B$10)</f>
        <v>15781</v>
      </c>
      <c r="M178" s="19" t="n">
        <f aca="false">INT('Cohort Data'!E178/Assumptions!$B$11)</f>
        <v>0</v>
      </c>
    </row>
    <row r="179" customFormat="false" ht="15" hidden="false" customHeight="false" outlineLevel="0" collapsed="false">
      <c r="A179" s="2" t="s">
        <v>279</v>
      </c>
      <c r="B179" s="18" t="n">
        <f aca="false">IF('Cohort Data'!D179=Assumptions!$B$16,ROUND('Cohort Data'!L179*'Cohort Data'!K179*Assumptions!$F$5,Assumptions!$B$10),Assumptions!$B$13)</f>
        <v>20178.77</v>
      </c>
      <c r="C179" s="18" t="n">
        <f aca="false">IF('Cohort Data'!D179=Assumptions!$B$16,ROUND('Cohort Data'!E179*Assumptions!$C$6,Assumptions!$B$10),Assumptions!$B$13)</f>
        <v>2520</v>
      </c>
      <c r="D179" s="18" t="n">
        <f aca="false">SUM(B179:C179)</f>
        <v>22698.77</v>
      </c>
      <c r="E179" s="18" t="n">
        <f aca="false">ROUND(D179/Assumptions!$F$7,Assumptions!$B$10)</f>
        <v>22363.32</v>
      </c>
      <c r="F179" s="18" t="n">
        <f aca="false">ROUND(E179*Assumptions!$C$7,Assumptions!$B$10)</f>
        <v>1229.98</v>
      </c>
      <c r="G179" s="18" t="n">
        <f aca="false">SUM(E179:F179)</f>
        <v>23593.3</v>
      </c>
      <c r="H179" s="18" t="n">
        <f aca="false">ROUND(G179-'Cohort Data'!H179,Assumptions!$B$10)</f>
        <v>8624.5</v>
      </c>
      <c r="I179" s="18" t="n">
        <f aca="false">CEILING(G179,Assumptions!$B$12)</f>
        <v>23600</v>
      </c>
      <c r="J179" s="18" t="n">
        <f aca="false">FLOOR(G179,Assumptions!$B$12)</f>
        <v>23500</v>
      </c>
      <c r="K179" s="18" t="n">
        <f aca="false">ROUNDUP(G179,Assumptions!$B$10)</f>
        <v>23593.3</v>
      </c>
      <c r="L179" s="18" t="n">
        <f aca="false">ROUNDDOWN(G179,Assumptions!$B$10)</f>
        <v>23593.3</v>
      </c>
      <c r="M179" s="19" t="n">
        <f aca="false">INT('Cohort Data'!E179/Assumptions!$B$11)</f>
        <v>0</v>
      </c>
    </row>
    <row r="180" customFormat="false" ht="15" hidden="false" customHeight="false" outlineLevel="0" collapsed="false">
      <c r="A180" s="2" t="s">
        <v>280</v>
      </c>
      <c r="B180" s="18" t="n">
        <f aca="false">IF('Cohort Data'!D180=Assumptions!$B$16,ROUND('Cohort Data'!L180*'Cohort Data'!K180*Assumptions!$F$5,Assumptions!$B$10),Assumptions!$B$13)</f>
        <v>38900.64</v>
      </c>
      <c r="C180" s="18" t="n">
        <f aca="false">IF('Cohort Data'!D180=Assumptions!$B$16,ROUND('Cohort Data'!E180*Assumptions!$C$6,Assumptions!$B$10),Assumptions!$B$13)</f>
        <v>5425</v>
      </c>
      <c r="D180" s="18" t="n">
        <f aca="false">SUM(B180:C180)</f>
        <v>44325.64</v>
      </c>
      <c r="E180" s="18" t="n">
        <f aca="false">ROUND(D180/Assumptions!$F$7,Assumptions!$B$10)</f>
        <v>43670.58</v>
      </c>
      <c r="F180" s="18" t="n">
        <f aca="false">ROUND(E180*Assumptions!$C$7,Assumptions!$B$10)</f>
        <v>2401.88</v>
      </c>
      <c r="G180" s="18" t="n">
        <f aca="false">SUM(E180:F180)</f>
        <v>46072.46</v>
      </c>
      <c r="H180" s="18" t="n">
        <f aca="false">ROUND(G180-'Cohort Data'!H180,Assumptions!$B$10)</f>
        <v>17636.78</v>
      </c>
      <c r="I180" s="18" t="n">
        <f aca="false">CEILING(G180,Assumptions!$B$12)</f>
        <v>46100</v>
      </c>
      <c r="J180" s="18" t="n">
        <f aca="false">FLOOR(G180,Assumptions!$B$12)</f>
        <v>46000</v>
      </c>
      <c r="K180" s="18" t="n">
        <f aca="false">ROUNDUP(G180,Assumptions!$B$10)</f>
        <v>46072.46</v>
      </c>
      <c r="L180" s="18" t="n">
        <f aca="false">ROUNDDOWN(G180,Assumptions!$B$10)</f>
        <v>46072.46</v>
      </c>
      <c r="M180" s="19" t="n">
        <f aca="false">INT('Cohort Data'!E180/Assumptions!$B$11)</f>
        <v>1</v>
      </c>
    </row>
    <row r="181" customFormat="false" ht="15" hidden="false" customHeight="false" outlineLevel="0" collapsed="false">
      <c r="A181" s="2" t="s">
        <v>281</v>
      </c>
      <c r="B181" s="18" t="n">
        <f aca="false">IF('Cohort Data'!D181=Assumptions!$B$16,ROUND('Cohort Data'!L181*'Cohort Data'!K181*Assumptions!$F$5,Assumptions!$B$10),Assumptions!$B$13)</f>
        <v>46972.38</v>
      </c>
      <c r="C181" s="18" t="n">
        <f aca="false">IF('Cohort Data'!D181=Assumptions!$B$16,ROUND('Cohort Data'!E181*Assumptions!$C$6,Assumptions!$B$10),Assumptions!$B$13)</f>
        <v>5215</v>
      </c>
      <c r="D181" s="18" t="n">
        <f aca="false">SUM(B181:C181)</f>
        <v>52187.38</v>
      </c>
      <c r="E181" s="18" t="n">
        <f aca="false">ROUND(D181/Assumptions!$F$7,Assumptions!$B$10)</f>
        <v>51416.14</v>
      </c>
      <c r="F181" s="18" t="n">
        <f aca="false">ROUND(E181*Assumptions!$C$7,Assumptions!$B$10)</f>
        <v>2827.89</v>
      </c>
      <c r="G181" s="18" t="n">
        <f aca="false">SUM(E181:F181)</f>
        <v>54244.03</v>
      </c>
      <c r="H181" s="18" t="n">
        <f aca="false">ROUND(G181-'Cohort Data'!H181,Assumptions!$B$10)</f>
        <v>18068.62</v>
      </c>
      <c r="I181" s="18" t="n">
        <f aca="false">CEILING(G181,Assumptions!$B$12)</f>
        <v>54300</v>
      </c>
      <c r="J181" s="18" t="n">
        <f aca="false">FLOOR(G181,Assumptions!$B$12)</f>
        <v>54200</v>
      </c>
      <c r="K181" s="18" t="n">
        <f aca="false">ROUNDUP(G181,Assumptions!$B$10)</f>
        <v>54244.03</v>
      </c>
      <c r="L181" s="18" t="n">
        <f aca="false">ROUNDDOWN(G181,Assumptions!$B$10)</f>
        <v>54244.03</v>
      </c>
      <c r="M181" s="19" t="n">
        <f aca="false">INT('Cohort Data'!E181/Assumptions!$B$11)</f>
        <v>1</v>
      </c>
    </row>
    <row r="182" customFormat="false" ht="15" hidden="false" customHeight="false" outlineLevel="0" collapsed="false">
      <c r="A182" s="2" t="s">
        <v>282</v>
      </c>
      <c r="B182" s="18" t="n">
        <f aca="false">IF('Cohort Data'!D182=Assumptions!$B$16,ROUND('Cohort Data'!L182*'Cohort Data'!K182*Assumptions!$F$5,Assumptions!$B$10),Assumptions!$B$13)</f>
        <v>35465</v>
      </c>
      <c r="C182" s="18" t="n">
        <f aca="false">IF('Cohort Data'!D182=Assumptions!$B$16,ROUND('Cohort Data'!E182*Assumptions!$C$6,Assumptions!$B$10),Assumptions!$B$13)</f>
        <v>3605</v>
      </c>
      <c r="D182" s="18" t="n">
        <f aca="false">SUM(B182:C182)</f>
        <v>39070</v>
      </c>
      <c r="E182" s="18" t="n">
        <f aca="false">ROUND(D182/Assumptions!$F$7,Assumptions!$B$10)</f>
        <v>38492.61</v>
      </c>
      <c r="F182" s="18" t="n">
        <f aca="false">ROUND(E182*Assumptions!$C$7,Assumptions!$B$10)</f>
        <v>2117.09</v>
      </c>
      <c r="G182" s="18" t="n">
        <f aca="false">SUM(E182:F182)</f>
        <v>40609.7</v>
      </c>
      <c r="H182" s="18" t="n">
        <f aca="false">ROUND(G182-'Cohort Data'!H182,Assumptions!$B$10)</f>
        <v>11962.93</v>
      </c>
      <c r="I182" s="18" t="n">
        <f aca="false">CEILING(G182,Assumptions!$B$12)</f>
        <v>40700</v>
      </c>
      <c r="J182" s="18" t="n">
        <f aca="false">FLOOR(G182,Assumptions!$B$12)</f>
        <v>40600</v>
      </c>
      <c r="K182" s="18" t="n">
        <f aca="false">ROUNDUP(G182,Assumptions!$B$10)</f>
        <v>40609.7</v>
      </c>
      <c r="L182" s="18" t="n">
        <f aca="false">ROUNDDOWN(G182,Assumptions!$B$10)</f>
        <v>40609.7</v>
      </c>
      <c r="M182" s="19" t="n">
        <f aca="false">INT('Cohort Data'!E182/Assumptions!$B$11)</f>
        <v>1</v>
      </c>
    </row>
    <row r="183" customFormat="false" ht="15" hidden="false" customHeight="false" outlineLevel="0" collapsed="false">
      <c r="A183" s="2" t="s">
        <v>283</v>
      </c>
      <c r="B183" s="18" t="n">
        <f aca="false">IF('Cohort Data'!D183=Assumptions!$B$16,ROUND('Cohort Data'!L183*'Cohort Data'!K183*Assumptions!$F$5,Assumptions!$B$10),Assumptions!$B$13)</f>
        <v>75954.83</v>
      </c>
      <c r="C183" s="18" t="n">
        <f aca="false">IF('Cohort Data'!D183=Assumptions!$B$16,ROUND('Cohort Data'!E183*Assumptions!$C$6,Assumptions!$B$10),Assumptions!$B$13)</f>
        <v>7805</v>
      </c>
      <c r="D183" s="18" t="n">
        <f aca="false">SUM(B183:C183)</f>
        <v>83759.83</v>
      </c>
      <c r="E183" s="18" t="n">
        <f aca="false">ROUND(D183/Assumptions!$F$7,Assumptions!$B$10)</f>
        <v>82522</v>
      </c>
      <c r="F183" s="18" t="n">
        <f aca="false">ROUND(E183*Assumptions!$C$7,Assumptions!$B$10)</f>
        <v>4538.71</v>
      </c>
      <c r="G183" s="18" t="n">
        <f aca="false">SUM(E183:F183)</f>
        <v>87060.71</v>
      </c>
      <c r="H183" s="18" t="n">
        <f aca="false">ROUND(G183-'Cohort Data'!H183,Assumptions!$B$10)</f>
        <v>30318.81</v>
      </c>
      <c r="I183" s="18" t="n">
        <f aca="false">CEILING(G183,Assumptions!$B$12)</f>
        <v>87100</v>
      </c>
      <c r="J183" s="18" t="n">
        <f aca="false">FLOOR(G183,Assumptions!$B$12)</f>
        <v>87000</v>
      </c>
      <c r="K183" s="18" t="n">
        <f aca="false">ROUNDUP(G183,Assumptions!$B$10)</f>
        <v>87060.71</v>
      </c>
      <c r="L183" s="18" t="n">
        <f aca="false">ROUNDDOWN(G183,Assumptions!$B$10)</f>
        <v>87060.71</v>
      </c>
      <c r="M183" s="19" t="n">
        <f aca="false">INT('Cohort Data'!E183/Assumptions!$B$11)</f>
        <v>2</v>
      </c>
    </row>
    <row r="184" customFormat="false" ht="15" hidden="false" customHeight="false" outlineLevel="0" collapsed="false">
      <c r="A184" s="2" t="s">
        <v>284</v>
      </c>
      <c r="B184" s="18" t="n">
        <f aca="false">IF('Cohort Data'!D184=Assumptions!$B$16,ROUND('Cohort Data'!L184*'Cohort Data'!K184*Assumptions!$F$5,Assumptions!$B$10),Assumptions!$B$13)</f>
        <v>53112.92</v>
      </c>
      <c r="C184" s="18" t="n">
        <f aca="false">IF('Cohort Data'!D184=Assumptions!$B$16,ROUND('Cohort Data'!E184*Assumptions!$C$6,Assumptions!$B$10),Assumptions!$B$13)</f>
        <v>8750</v>
      </c>
      <c r="D184" s="18" t="n">
        <f aca="false">SUM(B184:C184)</f>
        <v>61862.92</v>
      </c>
      <c r="E184" s="18" t="n">
        <f aca="false">ROUND(D184/Assumptions!$F$7,Assumptions!$B$10)</f>
        <v>60948.69</v>
      </c>
      <c r="F184" s="18" t="n">
        <f aca="false">ROUND(E184*Assumptions!$C$7,Assumptions!$B$10)</f>
        <v>3352.18</v>
      </c>
      <c r="G184" s="18" t="n">
        <f aca="false">SUM(E184:F184)</f>
        <v>64300.87</v>
      </c>
      <c r="H184" s="18" t="n">
        <f aca="false">ROUND(G184-'Cohort Data'!H184,Assumptions!$B$10)</f>
        <v>21148.87</v>
      </c>
      <c r="I184" s="18" t="n">
        <f aca="false">CEILING(G184,Assumptions!$B$12)</f>
        <v>64400</v>
      </c>
      <c r="J184" s="18" t="n">
        <f aca="false">FLOOR(G184,Assumptions!$B$12)</f>
        <v>64300</v>
      </c>
      <c r="K184" s="18" t="n">
        <f aca="false">ROUNDUP(G184,Assumptions!$B$10)</f>
        <v>64300.87</v>
      </c>
      <c r="L184" s="18" t="n">
        <f aca="false">ROUNDDOWN(G184,Assumptions!$B$10)</f>
        <v>64300.87</v>
      </c>
      <c r="M184" s="19" t="n">
        <f aca="false">INT('Cohort Data'!E184/Assumptions!$B$11)</f>
        <v>2</v>
      </c>
    </row>
    <row r="185" customFormat="false" ht="15" hidden="false" customHeight="false" outlineLevel="0" collapsed="false">
      <c r="A185" s="2" t="s">
        <v>285</v>
      </c>
      <c r="B185" s="18" t="n">
        <f aca="false">IF('Cohort Data'!D185=Assumptions!$B$16,ROUND('Cohort Data'!L185*'Cohort Data'!K185*Assumptions!$F$5,Assumptions!$B$10),Assumptions!$B$13)</f>
        <v>37835.2</v>
      </c>
      <c r="C185" s="18" t="n">
        <f aca="false">IF('Cohort Data'!D185=Assumptions!$B$16,ROUND('Cohort Data'!E185*Assumptions!$C$6,Assumptions!$B$10),Assumptions!$B$13)</f>
        <v>7875</v>
      </c>
      <c r="D185" s="18" t="n">
        <f aca="false">SUM(B185:C185)</f>
        <v>45710.2</v>
      </c>
      <c r="E185" s="18" t="n">
        <f aca="false">ROUND(D185/Assumptions!$F$7,Assumptions!$B$10)</f>
        <v>45034.68</v>
      </c>
      <c r="F185" s="18" t="n">
        <f aca="false">ROUND(E185*Assumptions!$C$7,Assumptions!$B$10)</f>
        <v>2476.91</v>
      </c>
      <c r="G185" s="18" t="n">
        <f aca="false">SUM(E185:F185)</f>
        <v>47511.59</v>
      </c>
      <c r="H185" s="18" t="n">
        <f aca="false">ROUND(G185-'Cohort Data'!H185,Assumptions!$B$10)</f>
        <v>16638.44</v>
      </c>
      <c r="I185" s="18" t="n">
        <f aca="false">CEILING(G185,Assumptions!$B$12)</f>
        <v>47600</v>
      </c>
      <c r="J185" s="18" t="n">
        <f aca="false">FLOOR(G185,Assumptions!$B$12)</f>
        <v>47500</v>
      </c>
      <c r="K185" s="18" t="n">
        <f aca="false">ROUNDUP(G185,Assumptions!$B$10)</f>
        <v>47511.59</v>
      </c>
      <c r="L185" s="18" t="n">
        <f aca="false">ROUNDDOWN(G185,Assumptions!$B$10)</f>
        <v>47511.59</v>
      </c>
      <c r="M185" s="19" t="n">
        <f aca="false">INT('Cohort Data'!E185/Assumptions!$B$11)</f>
        <v>2</v>
      </c>
    </row>
    <row r="186" customFormat="false" ht="15" hidden="false" customHeight="false" outlineLevel="0" collapsed="false">
      <c r="A186" s="2" t="s">
        <v>286</v>
      </c>
      <c r="B186" s="18" t="n">
        <f aca="false">IF('Cohort Data'!D186=Assumptions!$B$16,ROUND('Cohort Data'!L186*'Cohort Data'!K186*Assumptions!$F$5,Assumptions!$B$10),Assumptions!$B$13)</f>
        <v>63630.32</v>
      </c>
      <c r="C186" s="18" t="n">
        <f aca="false">IF('Cohort Data'!D186=Assumptions!$B$16,ROUND('Cohort Data'!E186*Assumptions!$C$6,Assumptions!$B$10),Assumptions!$B$13)</f>
        <v>8015</v>
      </c>
      <c r="D186" s="18" t="n">
        <f aca="false">SUM(B186:C186)</f>
        <v>71645.32</v>
      </c>
      <c r="E186" s="18" t="n">
        <f aca="false">ROUND(D186/Assumptions!$F$7,Assumptions!$B$10)</f>
        <v>70586.52</v>
      </c>
      <c r="F186" s="18" t="n">
        <f aca="false">ROUND(E186*Assumptions!$C$7,Assumptions!$B$10)</f>
        <v>3882.26</v>
      </c>
      <c r="G186" s="18" t="n">
        <f aca="false">SUM(E186:F186)</f>
        <v>74468.78</v>
      </c>
      <c r="H186" s="18" t="n">
        <f aca="false">ROUND(G186-'Cohort Data'!H186,Assumptions!$B$10)</f>
        <v>25911.62</v>
      </c>
      <c r="I186" s="18" t="n">
        <f aca="false">CEILING(G186,Assumptions!$B$12)</f>
        <v>74500</v>
      </c>
      <c r="J186" s="18" t="n">
        <f aca="false">FLOOR(G186,Assumptions!$B$12)</f>
        <v>74400</v>
      </c>
      <c r="K186" s="18" t="n">
        <f aca="false">ROUNDUP(G186,Assumptions!$B$10)</f>
        <v>74468.78</v>
      </c>
      <c r="L186" s="18" t="n">
        <f aca="false">ROUNDDOWN(G186,Assumptions!$B$10)</f>
        <v>74468.78</v>
      </c>
      <c r="M186" s="19" t="n">
        <f aca="false">INT('Cohort Data'!E186/Assumptions!$B$11)</f>
        <v>2</v>
      </c>
    </row>
    <row r="187" customFormat="false" ht="15" hidden="false" customHeight="false" outlineLevel="0" collapsed="false">
      <c r="A187" s="2" t="s">
        <v>287</v>
      </c>
      <c r="B187" s="18" t="n">
        <f aca="false">IF('Cohort Data'!D187=Assumptions!$B$16,ROUND('Cohort Data'!L187*'Cohort Data'!K187*Assumptions!$F$5,Assumptions!$B$10),Assumptions!$B$13)</f>
        <v>41448.64</v>
      </c>
      <c r="C187" s="18" t="n">
        <f aca="false">IF('Cohort Data'!D187=Assumptions!$B$16,ROUND('Cohort Data'!E187*Assumptions!$C$6,Assumptions!$B$10),Assumptions!$B$13)</f>
        <v>7840</v>
      </c>
      <c r="D187" s="18" t="n">
        <f aca="false">SUM(B187:C187)</f>
        <v>49288.64</v>
      </c>
      <c r="E187" s="18" t="n">
        <f aca="false">ROUND(D187/Assumptions!$F$7,Assumptions!$B$10)</f>
        <v>48560.24</v>
      </c>
      <c r="F187" s="18" t="n">
        <f aca="false">ROUND(E187*Assumptions!$C$7,Assumptions!$B$10)</f>
        <v>2670.81</v>
      </c>
      <c r="G187" s="18" t="n">
        <f aca="false">SUM(E187:F187)</f>
        <v>51231.05</v>
      </c>
      <c r="H187" s="18" t="n">
        <f aca="false">ROUND(G187-'Cohort Data'!H187,Assumptions!$B$10)</f>
        <v>16503.43</v>
      </c>
      <c r="I187" s="18" t="n">
        <f aca="false">CEILING(G187,Assumptions!$B$12)</f>
        <v>51300</v>
      </c>
      <c r="J187" s="18" t="n">
        <f aca="false">FLOOR(G187,Assumptions!$B$12)</f>
        <v>51200</v>
      </c>
      <c r="K187" s="18" t="n">
        <f aca="false">ROUNDUP(G187,Assumptions!$B$10)</f>
        <v>51231.05</v>
      </c>
      <c r="L187" s="18" t="n">
        <f aca="false">ROUNDDOWN(G187,Assumptions!$B$10)</f>
        <v>51231.05</v>
      </c>
      <c r="M187" s="19" t="n">
        <f aca="false">INT('Cohort Data'!E187/Assumptions!$B$11)</f>
        <v>2</v>
      </c>
    </row>
    <row r="188" customFormat="false" ht="15" hidden="false" customHeight="false" outlineLevel="0" collapsed="false">
      <c r="A188" s="2" t="s">
        <v>288</v>
      </c>
      <c r="B188" s="18" t="n">
        <f aca="false">IF('Cohort Data'!D188=Assumptions!$B$16,ROUND('Cohort Data'!L188*'Cohort Data'!K188*Assumptions!$F$5,Assumptions!$B$10),Assumptions!$B$13)</f>
        <v>39636.88</v>
      </c>
      <c r="C188" s="18" t="n">
        <f aca="false">IF('Cohort Data'!D188=Assumptions!$B$16,ROUND('Cohort Data'!E188*Assumptions!$C$6,Assumptions!$B$10),Assumptions!$B$13)</f>
        <v>6930</v>
      </c>
      <c r="D188" s="18" t="n">
        <f aca="false">SUM(B188:C188)</f>
        <v>46566.88</v>
      </c>
      <c r="E188" s="18" t="n">
        <f aca="false">ROUND(D188/Assumptions!$F$7,Assumptions!$B$10)</f>
        <v>45878.7</v>
      </c>
      <c r="F188" s="18" t="n">
        <f aca="false">ROUND(E188*Assumptions!$C$7,Assumptions!$B$10)</f>
        <v>2523.33</v>
      </c>
      <c r="G188" s="18" t="n">
        <f aca="false">SUM(E188:F188)</f>
        <v>48402.03</v>
      </c>
      <c r="H188" s="18" t="n">
        <f aca="false">ROUND(G188-'Cohort Data'!H188,Assumptions!$B$10)</f>
        <v>17692.23</v>
      </c>
      <c r="I188" s="18" t="n">
        <f aca="false">CEILING(G188,Assumptions!$B$12)</f>
        <v>48500</v>
      </c>
      <c r="J188" s="18" t="n">
        <f aca="false">FLOOR(G188,Assumptions!$B$12)</f>
        <v>48400</v>
      </c>
      <c r="K188" s="18" t="n">
        <f aca="false">ROUNDUP(G188,Assumptions!$B$10)</f>
        <v>48402.03</v>
      </c>
      <c r="L188" s="18" t="n">
        <f aca="false">ROUNDDOWN(G188,Assumptions!$B$10)</f>
        <v>48402.03</v>
      </c>
      <c r="M188" s="19" t="n">
        <f aca="false">INT('Cohort Data'!E188/Assumptions!$B$11)</f>
        <v>1</v>
      </c>
    </row>
    <row r="189" customFormat="false" ht="15" hidden="false" customHeight="false" outlineLevel="0" collapsed="false">
      <c r="A189" s="2" t="s">
        <v>289</v>
      </c>
      <c r="B189" s="18" t="n">
        <f aca="false">IF('Cohort Data'!D189=Assumptions!$B$16,ROUND('Cohort Data'!L189*'Cohort Data'!K189*Assumptions!$F$5,Assumptions!$B$10),Assumptions!$B$13)</f>
        <v>32357.44</v>
      </c>
      <c r="C189" s="18" t="n">
        <f aca="false">IF('Cohort Data'!D189=Assumptions!$B$16,ROUND('Cohort Data'!E189*Assumptions!$C$6,Assumptions!$B$10),Assumptions!$B$13)</f>
        <v>3325</v>
      </c>
      <c r="D189" s="18" t="n">
        <f aca="false">SUM(B189:C189)</f>
        <v>35682.44</v>
      </c>
      <c r="E189" s="18" t="n">
        <f aca="false">ROUND(D189/Assumptions!$F$7,Assumptions!$B$10)</f>
        <v>35155.11</v>
      </c>
      <c r="F189" s="18" t="n">
        <f aca="false">ROUND(E189*Assumptions!$C$7,Assumptions!$B$10)</f>
        <v>1933.53</v>
      </c>
      <c r="G189" s="18" t="n">
        <f aca="false">SUM(E189:F189)</f>
        <v>37088.64</v>
      </c>
      <c r="H189" s="18" t="n">
        <f aca="false">ROUND(G189-'Cohort Data'!H189,Assumptions!$B$10)</f>
        <v>13176</v>
      </c>
      <c r="I189" s="18" t="n">
        <f aca="false">CEILING(G189,Assumptions!$B$12)</f>
        <v>37100</v>
      </c>
      <c r="J189" s="18" t="n">
        <f aca="false">FLOOR(G189,Assumptions!$B$12)</f>
        <v>37000</v>
      </c>
      <c r="K189" s="18" t="n">
        <f aca="false">ROUNDUP(G189,Assumptions!$B$10)</f>
        <v>37088.64</v>
      </c>
      <c r="L189" s="18" t="n">
        <f aca="false">ROUNDDOWN(G189,Assumptions!$B$10)</f>
        <v>37088.64</v>
      </c>
      <c r="M189" s="19" t="n">
        <f aca="false">INT('Cohort Data'!E189/Assumptions!$B$11)</f>
        <v>0</v>
      </c>
    </row>
    <row r="190" customFormat="false" ht="15" hidden="false" customHeight="false" outlineLevel="0" collapsed="false">
      <c r="A190" s="2" t="s">
        <v>290</v>
      </c>
      <c r="B190" s="18" t="n">
        <f aca="false">IF('Cohort Data'!D190=Assumptions!$B$16,ROUND('Cohort Data'!L190*'Cohort Data'!K190*Assumptions!$F$5,Assumptions!$B$10),Assumptions!$B$13)</f>
        <v>17969.3</v>
      </c>
      <c r="C190" s="18" t="n">
        <f aca="false">IF('Cohort Data'!D190=Assumptions!$B$16,ROUND('Cohort Data'!E190*Assumptions!$C$6,Assumptions!$B$10),Assumptions!$B$13)</f>
        <v>3990</v>
      </c>
      <c r="D190" s="18" t="n">
        <f aca="false">SUM(B190:C190)</f>
        <v>21959.3</v>
      </c>
      <c r="E190" s="18" t="n">
        <f aca="false">ROUND(D190/Assumptions!$F$7,Assumptions!$B$10)</f>
        <v>21634.78</v>
      </c>
      <c r="F190" s="18" t="n">
        <f aca="false">ROUND(E190*Assumptions!$C$7,Assumptions!$B$10)</f>
        <v>1189.91</v>
      </c>
      <c r="G190" s="18" t="n">
        <f aca="false">SUM(E190:F190)</f>
        <v>22824.69</v>
      </c>
      <c r="H190" s="18" t="n">
        <f aca="false">ROUND(G190-'Cohort Data'!H190,Assumptions!$B$10)</f>
        <v>8985.77</v>
      </c>
      <c r="I190" s="18" t="n">
        <f aca="false">CEILING(G190,Assumptions!$B$12)</f>
        <v>22900</v>
      </c>
      <c r="J190" s="18" t="n">
        <f aca="false">FLOOR(G190,Assumptions!$B$12)</f>
        <v>22800</v>
      </c>
      <c r="K190" s="18" t="n">
        <f aca="false">ROUNDUP(G190,Assumptions!$B$10)</f>
        <v>22824.69</v>
      </c>
      <c r="L190" s="18" t="n">
        <f aca="false">ROUNDDOWN(G190,Assumptions!$B$10)</f>
        <v>22824.69</v>
      </c>
      <c r="M190" s="19" t="n">
        <f aca="false">INT('Cohort Data'!E190/Assumptions!$B$11)</f>
        <v>1</v>
      </c>
    </row>
    <row r="191" customFormat="false" ht="15" hidden="false" customHeight="false" outlineLevel="0" collapsed="false">
      <c r="A191" s="2" t="s">
        <v>291</v>
      </c>
      <c r="B191" s="18" t="n">
        <f aca="false">IF('Cohort Data'!D191=Assumptions!$B$16,ROUND('Cohort Data'!L191*'Cohort Data'!K191*Assumptions!$F$5,Assumptions!$B$10),Assumptions!$B$13)</f>
        <v>64187.72</v>
      </c>
      <c r="C191" s="18" t="n">
        <f aca="false">IF('Cohort Data'!D191=Assumptions!$B$16,ROUND('Cohort Data'!E191*Assumptions!$C$6,Assumptions!$B$10),Assumptions!$B$13)</f>
        <v>5845</v>
      </c>
      <c r="D191" s="18" t="n">
        <f aca="false">SUM(B191:C191)</f>
        <v>70032.72</v>
      </c>
      <c r="E191" s="18" t="n">
        <f aca="false">ROUND(D191/Assumptions!$F$7,Assumptions!$B$10)</f>
        <v>68997.75</v>
      </c>
      <c r="F191" s="18" t="n">
        <f aca="false">ROUND(E191*Assumptions!$C$7,Assumptions!$B$10)</f>
        <v>3794.88</v>
      </c>
      <c r="G191" s="18" t="n">
        <f aca="false">SUM(E191:F191)</f>
        <v>72792.63</v>
      </c>
      <c r="H191" s="18" t="n">
        <f aca="false">ROUND(G191-'Cohort Data'!H191,Assumptions!$B$10)</f>
        <v>24648.53</v>
      </c>
      <c r="I191" s="18" t="n">
        <f aca="false">CEILING(G191,Assumptions!$B$12)</f>
        <v>72800</v>
      </c>
      <c r="J191" s="18" t="n">
        <f aca="false">FLOOR(G191,Assumptions!$B$12)</f>
        <v>72700</v>
      </c>
      <c r="K191" s="18" t="n">
        <f aca="false">ROUNDUP(G191,Assumptions!$B$10)</f>
        <v>72792.63</v>
      </c>
      <c r="L191" s="18" t="n">
        <f aca="false">ROUNDDOWN(G191,Assumptions!$B$10)</f>
        <v>72792.63</v>
      </c>
      <c r="M191" s="19" t="n">
        <f aca="false">INT('Cohort Data'!E191/Assumptions!$B$11)</f>
        <v>1</v>
      </c>
    </row>
    <row r="192" customFormat="false" ht="15" hidden="false" customHeight="false" outlineLevel="0" collapsed="false">
      <c r="A192" s="2" t="s">
        <v>292</v>
      </c>
      <c r="B192" s="18" t="n">
        <f aca="false">IF('Cohort Data'!D192=Assumptions!$B$16,ROUND('Cohort Data'!L192*'Cohort Data'!K192*Assumptions!$F$5,Assumptions!$B$10),Assumptions!$B$13)</f>
        <v>38138.76</v>
      </c>
      <c r="C192" s="18" t="n">
        <f aca="false">IF('Cohort Data'!D192=Assumptions!$B$16,ROUND('Cohort Data'!E192*Assumptions!$C$6,Assumptions!$B$10),Assumptions!$B$13)</f>
        <v>6475</v>
      </c>
      <c r="D192" s="18" t="n">
        <f aca="false">SUM(B192:C192)</f>
        <v>44613.76</v>
      </c>
      <c r="E192" s="18" t="n">
        <f aca="false">ROUND(D192/Assumptions!$F$7,Assumptions!$B$10)</f>
        <v>43954.44</v>
      </c>
      <c r="F192" s="18" t="n">
        <f aca="false">ROUND(E192*Assumptions!$C$7,Assumptions!$B$10)</f>
        <v>2417.49</v>
      </c>
      <c r="G192" s="18" t="n">
        <f aca="false">SUM(E192:F192)</f>
        <v>46371.93</v>
      </c>
      <c r="H192" s="18" t="n">
        <f aca="false">ROUND(G192-'Cohort Data'!H192,Assumptions!$B$10)</f>
        <v>17880.45</v>
      </c>
      <c r="I192" s="18" t="n">
        <f aca="false">CEILING(G192,Assumptions!$B$12)</f>
        <v>46400</v>
      </c>
      <c r="J192" s="18" t="n">
        <f aca="false">FLOOR(G192,Assumptions!$B$12)</f>
        <v>46300</v>
      </c>
      <c r="K192" s="18" t="n">
        <f aca="false">ROUNDUP(G192,Assumptions!$B$10)</f>
        <v>46371.93</v>
      </c>
      <c r="L192" s="18" t="n">
        <f aca="false">ROUNDDOWN(G192,Assumptions!$B$10)</f>
        <v>46371.93</v>
      </c>
      <c r="M192" s="19" t="n">
        <f aca="false">INT('Cohort Data'!E192/Assumptions!$B$11)</f>
        <v>1</v>
      </c>
    </row>
    <row r="193" customFormat="false" ht="15" hidden="false" customHeight="false" outlineLevel="0" collapsed="false">
      <c r="A193" s="2" t="s">
        <v>293</v>
      </c>
      <c r="B193" s="18" t="n">
        <f aca="false">IF('Cohort Data'!D193=Assumptions!$B$16,ROUND('Cohort Data'!L193*'Cohort Data'!K193*Assumptions!$F$5,Assumptions!$B$10),Assumptions!$B$13)</f>
        <v>0</v>
      </c>
      <c r="C193" s="18" t="n">
        <f aca="false">IF('Cohort Data'!D193=Assumptions!$B$16,ROUND('Cohort Data'!E193*Assumptions!$C$6,Assumptions!$B$10),Assumptions!$B$13)</f>
        <v>0</v>
      </c>
      <c r="D193" s="18" t="n">
        <f aca="false">SUM(B193:C193)</f>
        <v>0</v>
      </c>
      <c r="E193" s="18" t="n">
        <f aca="false">ROUND(D193/Assumptions!$F$7,Assumptions!$B$10)</f>
        <v>0</v>
      </c>
      <c r="F193" s="18" t="n">
        <f aca="false">ROUND(E193*Assumptions!$C$7,Assumptions!$B$10)</f>
        <v>0</v>
      </c>
      <c r="G193" s="18" t="n">
        <f aca="false">SUM(E193:F193)</f>
        <v>0</v>
      </c>
      <c r="H193" s="18" t="n">
        <f aca="false">ROUND(G193-'Cohort Data'!H193,Assumptions!$B$10)</f>
        <v>-22632.06</v>
      </c>
      <c r="I193" s="18" t="n">
        <f aca="false">CEILING(G193,Assumptions!$B$12)</f>
        <v>0</v>
      </c>
      <c r="J193" s="18" t="n">
        <f aca="false">FLOOR(G193,Assumptions!$B$12)</f>
        <v>0</v>
      </c>
      <c r="K193" s="18" t="n">
        <f aca="false">ROUNDUP(G193,Assumptions!$B$10)</f>
        <v>0</v>
      </c>
      <c r="L193" s="18" t="n">
        <f aca="false">ROUNDDOWN(G193,Assumptions!$B$10)</f>
        <v>0</v>
      </c>
      <c r="M193" s="19" t="n">
        <f aca="false">INT('Cohort Data'!E193/Assumptions!$B$11)</f>
        <v>1</v>
      </c>
    </row>
    <row r="194" customFormat="false" ht="15" hidden="false" customHeight="false" outlineLevel="0" collapsed="false">
      <c r="A194" s="2" t="s">
        <v>294</v>
      </c>
      <c r="B194" s="18" t="n">
        <f aca="false">IF('Cohort Data'!D194=Assumptions!$B$16,ROUND('Cohort Data'!L194*'Cohort Data'!K194*Assumptions!$F$5,Assumptions!$B$10),Assumptions!$B$13)</f>
        <v>32798.52</v>
      </c>
      <c r="C194" s="18" t="n">
        <f aca="false">IF('Cohort Data'!D194=Assumptions!$B$16,ROUND('Cohort Data'!E194*Assumptions!$C$6,Assumptions!$B$10),Assumptions!$B$13)</f>
        <v>4480</v>
      </c>
      <c r="D194" s="18" t="n">
        <f aca="false">SUM(B194:C194)</f>
        <v>37278.52</v>
      </c>
      <c r="E194" s="18" t="n">
        <f aca="false">ROUND(D194/Assumptions!$F$7,Assumptions!$B$10)</f>
        <v>36727.61</v>
      </c>
      <c r="F194" s="18" t="n">
        <f aca="false">ROUND(E194*Assumptions!$C$7,Assumptions!$B$10)</f>
        <v>2020.02</v>
      </c>
      <c r="G194" s="18" t="n">
        <f aca="false">SUM(E194:F194)</f>
        <v>38747.63</v>
      </c>
      <c r="H194" s="18" t="n">
        <f aca="false">ROUND(G194-'Cohort Data'!H194,Assumptions!$B$10)</f>
        <v>13336.05</v>
      </c>
      <c r="I194" s="18" t="n">
        <f aca="false">CEILING(G194,Assumptions!$B$12)</f>
        <v>38800</v>
      </c>
      <c r="J194" s="18" t="n">
        <f aca="false">FLOOR(G194,Assumptions!$B$12)</f>
        <v>38700</v>
      </c>
      <c r="K194" s="18" t="n">
        <f aca="false">ROUNDUP(G194,Assumptions!$B$10)</f>
        <v>38747.63</v>
      </c>
      <c r="L194" s="18" t="n">
        <f aca="false">ROUNDDOWN(G194,Assumptions!$B$10)</f>
        <v>38747.63</v>
      </c>
      <c r="M194" s="19" t="n">
        <f aca="false">INT('Cohort Data'!E194/Assumptions!$B$11)</f>
        <v>1</v>
      </c>
    </row>
    <row r="195" customFormat="false" ht="15" hidden="false" customHeight="false" outlineLevel="0" collapsed="false">
      <c r="A195" s="2" t="s">
        <v>295</v>
      </c>
      <c r="B195" s="18" t="n">
        <f aca="false">IF('Cohort Data'!D195=Assumptions!$B$16,ROUND('Cohort Data'!L195*'Cohort Data'!K195*Assumptions!$F$5,Assumptions!$B$10),Assumptions!$B$13)</f>
        <v>36139.94</v>
      </c>
      <c r="C195" s="18" t="n">
        <f aca="false">IF('Cohort Data'!D195=Assumptions!$B$16,ROUND('Cohort Data'!E195*Assumptions!$C$6,Assumptions!$B$10),Assumptions!$B$13)</f>
        <v>3360</v>
      </c>
      <c r="D195" s="18" t="n">
        <f aca="false">SUM(B195:C195)</f>
        <v>39499.94</v>
      </c>
      <c r="E195" s="18" t="n">
        <f aca="false">ROUND(D195/Assumptions!$F$7,Assumptions!$B$10)</f>
        <v>38916.2</v>
      </c>
      <c r="F195" s="18" t="n">
        <f aca="false">ROUND(E195*Assumptions!$C$7,Assumptions!$B$10)</f>
        <v>2140.39</v>
      </c>
      <c r="G195" s="18" t="n">
        <f aca="false">SUM(E195:F195)</f>
        <v>41056.59</v>
      </c>
      <c r="H195" s="18" t="n">
        <f aca="false">ROUND(G195-'Cohort Data'!H195,Assumptions!$B$10)</f>
        <v>12897.1</v>
      </c>
      <c r="I195" s="18" t="n">
        <f aca="false">CEILING(G195,Assumptions!$B$12)</f>
        <v>41100</v>
      </c>
      <c r="J195" s="18" t="n">
        <f aca="false">FLOOR(G195,Assumptions!$B$12)</f>
        <v>41000</v>
      </c>
      <c r="K195" s="18" t="n">
        <f aca="false">ROUNDUP(G195,Assumptions!$B$10)</f>
        <v>41056.59</v>
      </c>
      <c r="L195" s="18" t="n">
        <f aca="false">ROUNDDOWN(G195,Assumptions!$B$10)</f>
        <v>41056.59</v>
      </c>
      <c r="M195" s="19" t="n">
        <f aca="false">INT('Cohort Data'!E195/Assumptions!$B$11)</f>
        <v>0</v>
      </c>
    </row>
    <row r="196" customFormat="false" ht="15" hidden="false" customHeight="false" outlineLevel="0" collapsed="false">
      <c r="A196" s="2" t="s">
        <v>296</v>
      </c>
      <c r="B196" s="18" t="n">
        <f aca="false">IF('Cohort Data'!D196=Assumptions!$B$16,ROUND('Cohort Data'!L196*'Cohort Data'!K196*Assumptions!$F$5,Assumptions!$B$10),Assumptions!$B$13)</f>
        <v>21553.57</v>
      </c>
      <c r="C196" s="18" t="n">
        <f aca="false">IF('Cohort Data'!D196=Assumptions!$B$16,ROUND('Cohort Data'!E196*Assumptions!$C$6,Assumptions!$B$10),Assumptions!$B$13)</f>
        <v>2975</v>
      </c>
      <c r="D196" s="18" t="n">
        <f aca="false">SUM(B196:C196)</f>
        <v>24528.57</v>
      </c>
      <c r="E196" s="18" t="n">
        <f aca="false">ROUND(D196/Assumptions!$F$7,Assumptions!$B$10)</f>
        <v>24166.08</v>
      </c>
      <c r="F196" s="18" t="n">
        <f aca="false">ROUND(E196*Assumptions!$C$7,Assumptions!$B$10)</f>
        <v>1329.13</v>
      </c>
      <c r="G196" s="18" t="n">
        <f aca="false">SUM(E196:F196)</f>
        <v>25495.21</v>
      </c>
      <c r="H196" s="18" t="n">
        <f aca="false">ROUND(G196-'Cohort Data'!H196,Assumptions!$B$10)</f>
        <v>8166.26</v>
      </c>
      <c r="I196" s="18" t="n">
        <f aca="false">CEILING(G196,Assumptions!$B$12)</f>
        <v>25500</v>
      </c>
      <c r="J196" s="18" t="n">
        <f aca="false">FLOOR(G196,Assumptions!$B$12)</f>
        <v>25400</v>
      </c>
      <c r="K196" s="18" t="n">
        <f aca="false">ROUNDUP(G196,Assumptions!$B$10)</f>
        <v>25495.22</v>
      </c>
      <c r="L196" s="18" t="n">
        <f aca="false">ROUNDDOWN(G196,Assumptions!$B$10)</f>
        <v>25495.21</v>
      </c>
      <c r="M196" s="19" t="n">
        <f aca="false">INT('Cohort Data'!E196/Assumptions!$B$11)</f>
        <v>0</v>
      </c>
    </row>
    <row r="197" customFormat="false" ht="15" hidden="false" customHeight="false" outlineLevel="0" collapsed="false">
      <c r="A197" s="2" t="s">
        <v>297</v>
      </c>
      <c r="B197" s="18" t="n">
        <f aca="false">IF('Cohort Data'!D197=Assumptions!$B$16,ROUND('Cohort Data'!L197*'Cohort Data'!K197*Assumptions!$F$5,Assumptions!$B$10),Assumptions!$B$13)</f>
        <v>68511.74</v>
      </c>
      <c r="C197" s="18" t="n">
        <f aca="false">IF('Cohort Data'!D197=Assumptions!$B$16,ROUND('Cohort Data'!E197*Assumptions!$C$6,Assumptions!$B$10),Assumptions!$B$13)</f>
        <v>6510</v>
      </c>
      <c r="D197" s="18" t="n">
        <f aca="false">SUM(B197:C197)</f>
        <v>75021.74</v>
      </c>
      <c r="E197" s="18" t="n">
        <f aca="false">ROUND(D197/Assumptions!$F$7,Assumptions!$B$10)</f>
        <v>73913.04</v>
      </c>
      <c r="F197" s="18" t="n">
        <f aca="false">ROUND(E197*Assumptions!$C$7,Assumptions!$B$10)</f>
        <v>4065.22</v>
      </c>
      <c r="G197" s="18" t="n">
        <f aca="false">SUM(E197:F197)</f>
        <v>77978.26</v>
      </c>
      <c r="H197" s="18" t="n">
        <f aca="false">ROUND(G197-'Cohort Data'!H197,Assumptions!$B$10)</f>
        <v>23767.44</v>
      </c>
      <c r="I197" s="18" t="n">
        <f aca="false">CEILING(G197,Assumptions!$B$12)</f>
        <v>78000</v>
      </c>
      <c r="J197" s="18" t="n">
        <f aca="false">FLOOR(G197,Assumptions!$B$12)</f>
        <v>77900</v>
      </c>
      <c r="K197" s="18" t="n">
        <f aca="false">ROUNDUP(G197,Assumptions!$B$10)</f>
        <v>77978.26</v>
      </c>
      <c r="L197" s="18" t="n">
        <f aca="false">ROUNDDOWN(G197,Assumptions!$B$10)</f>
        <v>77978.26</v>
      </c>
      <c r="M197" s="19" t="n">
        <f aca="false">INT('Cohort Data'!E197/Assumptions!$B$11)</f>
        <v>1</v>
      </c>
    </row>
    <row r="198" customFormat="false" ht="15" hidden="false" customHeight="false" outlineLevel="0" collapsed="false">
      <c r="A198" s="2" t="s">
        <v>298</v>
      </c>
      <c r="B198" s="18" t="n">
        <f aca="false">IF('Cohort Data'!D198=Assumptions!$B$16,ROUND('Cohort Data'!L198*'Cohort Data'!K198*Assumptions!$F$5,Assumptions!$B$10),Assumptions!$B$13)</f>
        <v>14699.78</v>
      </c>
      <c r="C198" s="18" t="n">
        <f aca="false">IF('Cohort Data'!D198=Assumptions!$B$16,ROUND('Cohort Data'!E198*Assumptions!$C$6,Assumptions!$B$10),Assumptions!$B$13)</f>
        <v>2870</v>
      </c>
      <c r="D198" s="18" t="n">
        <f aca="false">SUM(B198:C198)</f>
        <v>17569.78</v>
      </c>
      <c r="E198" s="18" t="n">
        <f aca="false">ROUND(D198/Assumptions!$F$7,Assumptions!$B$10)</f>
        <v>17310.13</v>
      </c>
      <c r="F198" s="18" t="n">
        <f aca="false">ROUND(E198*Assumptions!$C$7,Assumptions!$B$10)</f>
        <v>952.06</v>
      </c>
      <c r="G198" s="18" t="n">
        <f aca="false">SUM(E198:F198)</f>
        <v>18262.19</v>
      </c>
      <c r="H198" s="18" t="n">
        <f aca="false">ROUND(G198-'Cohort Data'!H198,Assumptions!$B$10)</f>
        <v>6572.27</v>
      </c>
      <c r="I198" s="18" t="n">
        <f aca="false">CEILING(G198,Assumptions!$B$12)</f>
        <v>18300</v>
      </c>
      <c r="J198" s="18" t="n">
        <f aca="false">FLOOR(G198,Assumptions!$B$12)</f>
        <v>18200</v>
      </c>
      <c r="K198" s="18" t="n">
        <f aca="false">ROUNDUP(G198,Assumptions!$B$10)</f>
        <v>18262.2</v>
      </c>
      <c r="L198" s="18" t="n">
        <f aca="false">ROUNDDOWN(G198,Assumptions!$B$10)</f>
        <v>18262.19</v>
      </c>
      <c r="M198" s="19" t="n">
        <f aca="false">INT('Cohort Data'!E198/Assumptions!$B$11)</f>
        <v>0</v>
      </c>
    </row>
    <row r="199" customFormat="false" ht="15" hidden="false" customHeight="false" outlineLevel="0" collapsed="false">
      <c r="A199" s="2" t="s">
        <v>299</v>
      </c>
      <c r="B199" s="18" t="n">
        <f aca="false">IF('Cohort Data'!D199=Assumptions!$B$16,ROUND('Cohort Data'!L199*'Cohort Data'!K199*Assumptions!$F$5,Assumptions!$B$10),Assumptions!$B$13)</f>
        <v>21245.17</v>
      </c>
      <c r="C199" s="18" t="n">
        <f aca="false">IF('Cohort Data'!D199=Assumptions!$B$16,ROUND('Cohort Data'!E199*Assumptions!$C$6,Assumptions!$B$10),Assumptions!$B$13)</f>
        <v>4340</v>
      </c>
      <c r="D199" s="18" t="n">
        <f aca="false">SUM(B199:C199)</f>
        <v>25585.17</v>
      </c>
      <c r="E199" s="18" t="n">
        <f aca="false">ROUND(D199/Assumptions!$F$7,Assumptions!$B$10)</f>
        <v>25207.06</v>
      </c>
      <c r="F199" s="18" t="n">
        <f aca="false">ROUND(E199*Assumptions!$C$7,Assumptions!$B$10)</f>
        <v>1386.39</v>
      </c>
      <c r="G199" s="18" t="n">
        <f aca="false">SUM(E199:F199)</f>
        <v>26593.45</v>
      </c>
      <c r="H199" s="18" t="n">
        <f aca="false">ROUND(G199-'Cohort Data'!H199,Assumptions!$B$10)</f>
        <v>10411.45</v>
      </c>
      <c r="I199" s="18" t="n">
        <f aca="false">CEILING(G199,Assumptions!$B$12)</f>
        <v>26600</v>
      </c>
      <c r="J199" s="18" t="n">
        <f aca="false">FLOOR(G199,Assumptions!$B$12)</f>
        <v>26500</v>
      </c>
      <c r="K199" s="18" t="n">
        <f aca="false">ROUNDUP(G199,Assumptions!$B$10)</f>
        <v>26593.45</v>
      </c>
      <c r="L199" s="18" t="n">
        <f aca="false">ROUNDDOWN(G199,Assumptions!$B$10)</f>
        <v>26593.45</v>
      </c>
      <c r="M199" s="19" t="n">
        <f aca="false">INT('Cohort Data'!E199/Assumptions!$B$11)</f>
        <v>1</v>
      </c>
    </row>
    <row r="200" customFormat="false" ht="15" hidden="false" customHeight="false" outlineLevel="0" collapsed="false">
      <c r="A200" s="2" t="s">
        <v>300</v>
      </c>
      <c r="B200" s="18" t="n">
        <f aca="false">IF('Cohort Data'!D200=Assumptions!$B$16,ROUND('Cohort Data'!L200*'Cohort Data'!K200*Assumptions!$F$5,Assumptions!$B$10),Assumptions!$B$13)</f>
        <v>27065.18</v>
      </c>
      <c r="C200" s="18" t="n">
        <f aca="false">IF('Cohort Data'!D200=Assumptions!$B$16,ROUND('Cohort Data'!E200*Assumptions!$C$6,Assumptions!$B$10),Assumptions!$B$13)</f>
        <v>5915</v>
      </c>
      <c r="D200" s="18" t="n">
        <f aca="false">SUM(B200:C200)</f>
        <v>32980.18</v>
      </c>
      <c r="E200" s="18" t="n">
        <f aca="false">ROUND(D200/Assumptions!$F$7,Assumptions!$B$10)</f>
        <v>32492.79</v>
      </c>
      <c r="F200" s="18" t="n">
        <f aca="false">ROUND(E200*Assumptions!$C$7,Assumptions!$B$10)</f>
        <v>1787.1</v>
      </c>
      <c r="G200" s="18" t="n">
        <f aca="false">SUM(E200:F200)</f>
        <v>34279.89</v>
      </c>
      <c r="H200" s="18" t="n">
        <f aca="false">ROUND(G200-'Cohort Data'!H200,Assumptions!$B$10)</f>
        <v>13310.37</v>
      </c>
      <c r="I200" s="18" t="n">
        <f aca="false">CEILING(G200,Assumptions!$B$12)</f>
        <v>34300</v>
      </c>
      <c r="J200" s="18" t="n">
        <f aca="false">FLOOR(G200,Assumptions!$B$12)</f>
        <v>34200</v>
      </c>
      <c r="K200" s="18" t="n">
        <f aca="false">ROUNDUP(G200,Assumptions!$B$10)</f>
        <v>34279.89</v>
      </c>
      <c r="L200" s="18" t="n">
        <f aca="false">ROUNDDOWN(G200,Assumptions!$B$10)</f>
        <v>34279.89</v>
      </c>
      <c r="M200" s="19" t="n">
        <f aca="false">INT('Cohort Data'!E200/Assumptions!$B$11)</f>
        <v>1</v>
      </c>
    </row>
    <row r="201" customFormat="false" ht="15" hidden="false" customHeight="false" outlineLevel="0" collapsed="false">
      <c r="A201" s="2" t="s">
        <v>301</v>
      </c>
      <c r="B201" s="18" t="n">
        <f aca="false">IF('Cohort Data'!D201=Assumptions!$B$16,ROUND('Cohort Data'!L201*'Cohort Data'!K201*Assumptions!$F$5,Assumptions!$B$10),Assumptions!$B$13)</f>
        <v>49638.64</v>
      </c>
      <c r="C201" s="18" t="n">
        <f aca="false">IF('Cohort Data'!D201=Assumptions!$B$16,ROUND('Cohort Data'!E201*Assumptions!$C$6,Assumptions!$B$10),Assumptions!$B$13)</f>
        <v>7455</v>
      </c>
      <c r="D201" s="18" t="n">
        <f aca="false">SUM(B201:C201)</f>
        <v>57093.64</v>
      </c>
      <c r="E201" s="18" t="n">
        <f aca="false">ROUND(D201/Assumptions!$F$7,Assumptions!$B$10)</f>
        <v>56249.89</v>
      </c>
      <c r="F201" s="18" t="n">
        <f aca="false">ROUND(E201*Assumptions!$C$7,Assumptions!$B$10)</f>
        <v>3093.74</v>
      </c>
      <c r="G201" s="18" t="n">
        <f aca="false">SUM(E201:F201)</f>
        <v>59343.63</v>
      </c>
      <c r="H201" s="18" t="n">
        <f aca="false">ROUND(G201-'Cohort Data'!H201,Assumptions!$B$10)</f>
        <v>21064.97</v>
      </c>
      <c r="I201" s="18" t="n">
        <f aca="false">CEILING(G201,Assumptions!$B$12)</f>
        <v>59400</v>
      </c>
      <c r="J201" s="18" t="n">
        <f aca="false">FLOOR(G201,Assumptions!$B$12)</f>
        <v>59300</v>
      </c>
      <c r="K201" s="18" t="n">
        <f aca="false">ROUNDUP(G201,Assumptions!$B$10)</f>
        <v>59343.63</v>
      </c>
      <c r="L201" s="18" t="n">
        <f aca="false">ROUNDDOWN(G201,Assumptions!$B$10)</f>
        <v>59343.63</v>
      </c>
      <c r="M201" s="19" t="n">
        <f aca="false">INT('Cohort Data'!E201/Assumptions!$B$11)</f>
        <v>2</v>
      </c>
    </row>
    <row r="202" customFormat="false" ht="15" hidden="false" customHeight="false" outlineLevel="0" collapsed="false">
      <c r="A202" s="2" t="s">
        <v>302</v>
      </c>
      <c r="B202" s="18" t="n">
        <f aca="false">IF('Cohort Data'!D202=Assumptions!$B$16,ROUND('Cohort Data'!L202*'Cohort Data'!K202*Assumptions!$F$5,Assumptions!$B$10),Assumptions!$B$13)</f>
        <v>34108.77</v>
      </c>
      <c r="C202" s="18" t="n">
        <f aca="false">IF('Cohort Data'!D202=Assumptions!$B$16,ROUND('Cohort Data'!E202*Assumptions!$C$6,Assumptions!$B$10),Assumptions!$B$13)</f>
        <v>8295</v>
      </c>
      <c r="D202" s="18" t="n">
        <f aca="false">SUM(B202:C202)</f>
        <v>42403.77</v>
      </c>
      <c r="E202" s="18" t="n">
        <f aca="false">ROUND(D202/Assumptions!$F$7,Assumptions!$B$10)</f>
        <v>41777.11</v>
      </c>
      <c r="F202" s="18" t="n">
        <f aca="false">ROUND(E202*Assumptions!$C$7,Assumptions!$B$10)</f>
        <v>2297.74</v>
      </c>
      <c r="G202" s="18" t="n">
        <f aca="false">SUM(E202:F202)</f>
        <v>44074.85</v>
      </c>
      <c r="H202" s="18" t="n">
        <f aca="false">ROUND(G202-'Cohort Data'!H202,Assumptions!$B$10)</f>
        <v>17806.24</v>
      </c>
      <c r="I202" s="18" t="n">
        <f aca="false">CEILING(G202,Assumptions!$B$12)</f>
        <v>44100</v>
      </c>
      <c r="J202" s="18" t="n">
        <f aca="false">FLOOR(G202,Assumptions!$B$12)</f>
        <v>44000</v>
      </c>
      <c r="K202" s="18" t="n">
        <f aca="false">ROUNDUP(G202,Assumptions!$B$10)</f>
        <v>44074.85</v>
      </c>
      <c r="L202" s="18" t="n">
        <f aca="false">ROUNDDOWN(G202,Assumptions!$B$10)</f>
        <v>44074.85</v>
      </c>
      <c r="M202" s="19" t="n">
        <f aca="false">INT('Cohort Data'!E202/Assumptions!$B$11)</f>
        <v>2</v>
      </c>
    </row>
    <row r="203" customFormat="false" ht="15" hidden="false" customHeight="false" outlineLevel="0" collapsed="false">
      <c r="A203" s="2" t="s">
        <v>303</v>
      </c>
      <c r="B203" s="18" t="n">
        <f aca="false">IF('Cohort Data'!D203=Assumptions!$B$16,ROUND('Cohort Data'!L203*'Cohort Data'!K203*Assumptions!$F$5,Assumptions!$B$10),Assumptions!$B$13)</f>
        <v>53297.59</v>
      </c>
      <c r="C203" s="18" t="n">
        <f aca="false">IF('Cohort Data'!D203=Assumptions!$B$16,ROUND('Cohort Data'!E203*Assumptions!$C$6,Assumptions!$B$10),Assumptions!$B$13)</f>
        <v>7280</v>
      </c>
      <c r="D203" s="18" t="n">
        <f aca="false">SUM(B203:C203)</f>
        <v>60577.59</v>
      </c>
      <c r="E203" s="18" t="n">
        <f aca="false">ROUND(D203/Assumptions!$F$7,Assumptions!$B$10)</f>
        <v>59682.35</v>
      </c>
      <c r="F203" s="18" t="n">
        <f aca="false">ROUND(E203*Assumptions!$C$7,Assumptions!$B$10)</f>
        <v>3282.53</v>
      </c>
      <c r="G203" s="18" t="n">
        <f aca="false">SUM(E203:F203)</f>
        <v>62964.88</v>
      </c>
      <c r="H203" s="18" t="n">
        <f aca="false">ROUND(G203-'Cohort Data'!H203,Assumptions!$B$10)</f>
        <v>21671.06</v>
      </c>
      <c r="I203" s="18" t="n">
        <f aca="false">CEILING(G203,Assumptions!$B$12)</f>
        <v>63000</v>
      </c>
      <c r="J203" s="18" t="n">
        <f aca="false">FLOOR(G203,Assumptions!$B$12)</f>
        <v>62900</v>
      </c>
      <c r="K203" s="18" t="n">
        <f aca="false">ROUNDUP(G203,Assumptions!$B$10)</f>
        <v>62964.88</v>
      </c>
      <c r="L203" s="18" t="n">
        <f aca="false">ROUNDDOWN(G203,Assumptions!$B$10)</f>
        <v>62964.88</v>
      </c>
      <c r="M203" s="19" t="n">
        <f aca="false">INT('Cohort Data'!E203/Assumptions!$B$11)</f>
        <v>2</v>
      </c>
    </row>
    <row r="204" customFormat="false" ht="15" hidden="false" customHeight="false" outlineLevel="0" collapsed="false">
      <c r="A204" s="2" t="s">
        <v>304</v>
      </c>
      <c r="B204" s="18" t="n">
        <f aca="false">IF('Cohort Data'!D204=Assumptions!$B$16,ROUND('Cohort Data'!L204*'Cohort Data'!K204*Assumptions!$F$5,Assumptions!$B$10),Assumptions!$B$13)</f>
        <v>97206.77</v>
      </c>
      <c r="C204" s="18" t="n">
        <f aca="false">IF('Cohort Data'!D204=Assumptions!$B$16,ROUND('Cohort Data'!E204*Assumptions!$C$6,Assumptions!$B$10),Assumptions!$B$13)</f>
        <v>8435</v>
      </c>
      <c r="D204" s="18" t="n">
        <f aca="false">SUM(B204:C204)</f>
        <v>105641.77</v>
      </c>
      <c r="E204" s="18" t="n">
        <f aca="false">ROUND(D204/Assumptions!$F$7,Assumptions!$B$10)</f>
        <v>104080.56</v>
      </c>
      <c r="F204" s="18" t="n">
        <f aca="false">ROUND(E204*Assumptions!$C$7,Assumptions!$B$10)</f>
        <v>5724.43</v>
      </c>
      <c r="G204" s="18" t="n">
        <f aca="false">SUM(E204:F204)</f>
        <v>109804.99</v>
      </c>
      <c r="H204" s="18" t="n">
        <f aca="false">ROUND(G204-'Cohort Data'!H204,Assumptions!$B$10)</f>
        <v>32501.83</v>
      </c>
      <c r="I204" s="18" t="n">
        <f aca="false">CEILING(G204,Assumptions!$B$12)</f>
        <v>109900</v>
      </c>
      <c r="J204" s="18" t="n">
        <f aca="false">FLOOR(G204,Assumptions!$B$12)</f>
        <v>109800</v>
      </c>
      <c r="K204" s="18" t="n">
        <f aca="false">ROUNDUP(G204,Assumptions!$B$10)</f>
        <v>109804.99</v>
      </c>
      <c r="L204" s="18" t="n">
        <f aca="false">ROUNDDOWN(G204,Assumptions!$B$10)</f>
        <v>109804.98</v>
      </c>
      <c r="M204" s="19" t="n">
        <f aca="false">INT('Cohort Data'!E204/Assumptions!$B$11)</f>
        <v>2</v>
      </c>
    </row>
    <row r="205" customFormat="false" ht="15" hidden="false" customHeight="false" outlineLevel="0" collapsed="false">
      <c r="A205" s="2" t="s">
        <v>305</v>
      </c>
      <c r="B205" s="18" t="n">
        <f aca="false">IF('Cohort Data'!D205=Assumptions!$B$16,ROUND('Cohort Data'!L205*'Cohort Data'!K205*Assumptions!$F$5,Assumptions!$B$10),Assumptions!$B$13)</f>
        <v>23602.7</v>
      </c>
      <c r="C205" s="18" t="n">
        <f aca="false">IF('Cohort Data'!D205=Assumptions!$B$16,ROUND('Cohort Data'!E205*Assumptions!$C$6,Assumptions!$B$10),Assumptions!$B$13)</f>
        <v>4305</v>
      </c>
      <c r="D205" s="18" t="n">
        <f aca="false">SUM(B205:C205)</f>
        <v>27907.7</v>
      </c>
      <c r="E205" s="18" t="n">
        <f aca="false">ROUND(D205/Assumptions!$F$7,Assumptions!$B$10)</f>
        <v>27495.27</v>
      </c>
      <c r="F205" s="18" t="n">
        <f aca="false">ROUND(E205*Assumptions!$C$7,Assumptions!$B$10)</f>
        <v>1512.24</v>
      </c>
      <c r="G205" s="18" t="n">
        <f aca="false">SUM(E205:F205)</f>
        <v>29007.51</v>
      </c>
      <c r="H205" s="18" t="n">
        <f aca="false">ROUND(G205-'Cohort Data'!H205,Assumptions!$B$10)</f>
        <v>9431.81</v>
      </c>
      <c r="I205" s="18" t="n">
        <f aca="false">CEILING(G205,Assumptions!$B$12)</f>
        <v>29100</v>
      </c>
      <c r="J205" s="18" t="n">
        <f aca="false">FLOOR(G205,Assumptions!$B$12)</f>
        <v>29000</v>
      </c>
      <c r="K205" s="18" t="n">
        <f aca="false">ROUNDUP(G205,Assumptions!$B$10)</f>
        <v>29007.51</v>
      </c>
      <c r="L205" s="18" t="n">
        <f aca="false">ROUNDDOWN(G205,Assumptions!$B$10)</f>
        <v>29007.51</v>
      </c>
      <c r="M205" s="19" t="n">
        <f aca="false">INT('Cohort Data'!E205/Assumptions!$B$11)</f>
        <v>1</v>
      </c>
    </row>
    <row r="206" customFormat="false" ht="15" hidden="false" customHeight="false" outlineLevel="0" collapsed="false">
      <c r="A206" s="2" t="s">
        <v>306</v>
      </c>
      <c r="B206" s="18" t="n">
        <f aca="false">IF('Cohort Data'!D206=Assumptions!$B$16,ROUND('Cohort Data'!L206*'Cohort Data'!K206*Assumptions!$F$5,Assumptions!$B$10),Assumptions!$B$13)</f>
        <v>39348.61</v>
      </c>
      <c r="C206" s="18" t="n">
        <f aca="false">IF('Cohort Data'!D206=Assumptions!$B$16,ROUND('Cohort Data'!E206*Assumptions!$C$6,Assumptions!$B$10),Assumptions!$B$13)</f>
        <v>6615</v>
      </c>
      <c r="D206" s="18" t="n">
        <f aca="false">SUM(B206:C206)</f>
        <v>45963.61</v>
      </c>
      <c r="E206" s="18" t="n">
        <f aca="false">ROUND(D206/Assumptions!$F$7,Assumptions!$B$10)</f>
        <v>45284.34</v>
      </c>
      <c r="F206" s="18" t="n">
        <f aca="false">ROUND(E206*Assumptions!$C$7,Assumptions!$B$10)</f>
        <v>2490.64</v>
      </c>
      <c r="G206" s="18" t="n">
        <f aca="false">SUM(E206:F206)</f>
        <v>47774.98</v>
      </c>
      <c r="H206" s="18" t="n">
        <f aca="false">ROUND(G206-'Cohort Data'!H206,Assumptions!$B$10)</f>
        <v>17612.85</v>
      </c>
      <c r="I206" s="18" t="n">
        <f aca="false">CEILING(G206,Assumptions!$B$12)</f>
        <v>47800</v>
      </c>
      <c r="J206" s="18" t="n">
        <f aca="false">FLOOR(G206,Assumptions!$B$12)</f>
        <v>47700</v>
      </c>
      <c r="K206" s="18" t="n">
        <f aca="false">ROUNDUP(G206,Assumptions!$B$10)</f>
        <v>47774.98</v>
      </c>
      <c r="L206" s="18" t="n">
        <f aca="false">ROUNDDOWN(G206,Assumptions!$B$10)</f>
        <v>47774.98</v>
      </c>
      <c r="M206" s="19" t="n">
        <f aca="false">INT('Cohort Data'!E206/Assumptions!$B$11)</f>
        <v>1</v>
      </c>
    </row>
    <row r="207" customFormat="false" ht="15" hidden="false" customHeight="false" outlineLevel="0" collapsed="false">
      <c r="A207" s="2" t="s">
        <v>307</v>
      </c>
      <c r="B207" s="18" t="n">
        <f aca="false">IF('Cohort Data'!D207=Assumptions!$B$16,ROUND('Cohort Data'!L207*'Cohort Data'!K207*Assumptions!$F$5,Assumptions!$B$10),Assumptions!$B$13)</f>
        <v>43624.28</v>
      </c>
      <c r="C207" s="18" t="n">
        <f aca="false">IF('Cohort Data'!D207=Assumptions!$B$16,ROUND('Cohort Data'!E207*Assumptions!$C$6,Assumptions!$B$10),Assumptions!$B$13)</f>
        <v>5495</v>
      </c>
      <c r="D207" s="18" t="n">
        <f aca="false">SUM(B207:C207)</f>
        <v>49119.28</v>
      </c>
      <c r="E207" s="18" t="n">
        <f aca="false">ROUND(D207/Assumptions!$F$7,Assumptions!$B$10)</f>
        <v>48393.38</v>
      </c>
      <c r="F207" s="18" t="n">
        <f aca="false">ROUND(E207*Assumptions!$C$7,Assumptions!$B$10)</f>
        <v>2661.64</v>
      </c>
      <c r="G207" s="18" t="n">
        <f aca="false">SUM(E207:F207)</f>
        <v>51055.02</v>
      </c>
      <c r="H207" s="18" t="n">
        <f aca="false">ROUND(G207-'Cohort Data'!H207,Assumptions!$B$10)</f>
        <v>17414.32</v>
      </c>
      <c r="I207" s="18" t="n">
        <f aca="false">CEILING(G207,Assumptions!$B$12)</f>
        <v>51100</v>
      </c>
      <c r="J207" s="18" t="n">
        <f aca="false">FLOOR(G207,Assumptions!$B$12)</f>
        <v>51000</v>
      </c>
      <c r="K207" s="18" t="n">
        <f aca="false">ROUNDUP(G207,Assumptions!$B$10)</f>
        <v>51055.02</v>
      </c>
      <c r="L207" s="18" t="n">
        <f aca="false">ROUNDDOWN(G207,Assumptions!$B$10)</f>
        <v>51055.02</v>
      </c>
      <c r="M207" s="19" t="n">
        <f aca="false">INT('Cohort Data'!E207/Assumptions!$B$11)</f>
        <v>1</v>
      </c>
    </row>
    <row r="208" customFormat="false" ht="15" hidden="false" customHeight="false" outlineLevel="0" collapsed="false">
      <c r="A208" s="2" t="s">
        <v>308</v>
      </c>
      <c r="B208" s="18" t="n">
        <f aca="false">IF('Cohort Data'!D208=Assumptions!$B$16,ROUND('Cohort Data'!L208*'Cohort Data'!K208*Assumptions!$F$5,Assumptions!$B$10),Assumptions!$B$13)</f>
        <v>18709.45</v>
      </c>
      <c r="C208" s="18" t="n">
        <f aca="false">IF('Cohort Data'!D208=Assumptions!$B$16,ROUND('Cohort Data'!E208*Assumptions!$C$6,Assumptions!$B$10),Assumptions!$B$13)</f>
        <v>4550</v>
      </c>
      <c r="D208" s="18" t="n">
        <f aca="false">SUM(B208:C208)</f>
        <v>23259.45</v>
      </c>
      <c r="E208" s="18" t="n">
        <f aca="false">ROUND(D208/Assumptions!$F$7,Assumptions!$B$10)</f>
        <v>22915.71</v>
      </c>
      <c r="F208" s="18" t="n">
        <f aca="false">ROUND(E208*Assumptions!$C$7,Assumptions!$B$10)</f>
        <v>1260.36</v>
      </c>
      <c r="G208" s="18" t="n">
        <f aca="false">SUM(E208:F208)</f>
        <v>24176.07</v>
      </c>
      <c r="H208" s="18" t="n">
        <f aca="false">ROUND(G208-'Cohort Data'!H208,Assumptions!$B$10)</f>
        <v>8342.07</v>
      </c>
      <c r="I208" s="18" t="n">
        <f aca="false">CEILING(G208,Assumptions!$B$12)</f>
        <v>24200</v>
      </c>
      <c r="J208" s="18" t="n">
        <f aca="false">FLOOR(G208,Assumptions!$B$12)</f>
        <v>24100</v>
      </c>
      <c r="K208" s="18" t="n">
        <f aca="false">ROUNDUP(G208,Assumptions!$B$10)</f>
        <v>24176.07</v>
      </c>
      <c r="L208" s="18" t="n">
        <f aca="false">ROUNDDOWN(G208,Assumptions!$B$10)</f>
        <v>24176.07</v>
      </c>
      <c r="M208" s="19" t="n">
        <f aca="false">INT('Cohort Data'!E208/Assumptions!$B$11)</f>
        <v>1</v>
      </c>
    </row>
    <row r="209" customFormat="false" ht="15" hidden="false" customHeight="false" outlineLevel="0" collapsed="false">
      <c r="A209" s="2" t="s">
        <v>309</v>
      </c>
      <c r="B209" s="18" t="n">
        <f aca="false">IF('Cohort Data'!D209=Assumptions!$B$16,ROUND('Cohort Data'!L209*'Cohort Data'!K209*Assumptions!$F$5,Assumptions!$B$10),Assumptions!$B$13)</f>
        <v>81259.6</v>
      </c>
      <c r="C209" s="18" t="n">
        <f aca="false">IF('Cohort Data'!D209=Assumptions!$B$16,ROUND('Cohort Data'!E209*Assumptions!$C$6,Assumptions!$B$10),Assumptions!$B$13)</f>
        <v>8260</v>
      </c>
      <c r="D209" s="18" t="n">
        <f aca="false">SUM(B209:C209)</f>
        <v>89519.6</v>
      </c>
      <c r="E209" s="18" t="n">
        <f aca="false">ROUND(D209/Assumptions!$F$7,Assumptions!$B$10)</f>
        <v>88196.65</v>
      </c>
      <c r="F209" s="18" t="n">
        <f aca="false">ROUND(E209*Assumptions!$C$7,Assumptions!$B$10)</f>
        <v>4850.82</v>
      </c>
      <c r="G209" s="18" t="n">
        <f aca="false">SUM(E209:F209)</f>
        <v>93047.47</v>
      </c>
      <c r="H209" s="18" t="n">
        <f aca="false">ROUND(G209-'Cohort Data'!H209,Assumptions!$B$10)</f>
        <v>32098.58</v>
      </c>
      <c r="I209" s="18" t="n">
        <f aca="false">CEILING(G209,Assumptions!$B$12)</f>
        <v>93100</v>
      </c>
      <c r="J209" s="18" t="n">
        <f aca="false">FLOOR(G209,Assumptions!$B$12)</f>
        <v>93000</v>
      </c>
      <c r="K209" s="18" t="n">
        <f aca="false">ROUNDUP(G209,Assumptions!$B$10)</f>
        <v>93047.47</v>
      </c>
      <c r="L209" s="18" t="n">
        <f aca="false">ROUNDDOWN(G209,Assumptions!$B$10)</f>
        <v>93047.47</v>
      </c>
      <c r="M209" s="19" t="n">
        <f aca="false">INT('Cohort Data'!E209/Assumptions!$B$11)</f>
        <v>2</v>
      </c>
    </row>
    <row r="210" customFormat="false" ht="15" hidden="false" customHeight="false" outlineLevel="0" collapsed="false">
      <c r="A210" s="2" t="s">
        <v>310</v>
      </c>
      <c r="B210" s="18" t="n">
        <f aca="false">IF('Cohort Data'!D210=Assumptions!$B$16,ROUND('Cohort Data'!L210*'Cohort Data'!K210*Assumptions!$F$5,Assumptions!$B$10),Assumptions!$B$13)</f>
        <v>68515.31</v>
      </c>
      <c r="C210" s="18" t="n">
        <f aca="false">IF('Cohort Data'!D210=Assumptions!$B$16,ROUND('Cohort Data'!E210*Assumptions!$C$6,Assumptions!$B$10),Assumptions!$B$13)</f>
        <v>6860</v>
      </c>
      <c r="D210" s="18" t="n">
        <f aca="false">SUM(B210:C210)</f>
        <v>75375.31</v>
      </c>
      <c r="E210" s="18" t="n">
        <f aca="false">ROUND(D210/Assumptions!$F$7,Assumptions!$B$10)</f>
        <v>74261.39</v>
      </c>
      <c r="F210" s="18" t="n">
        <f aca="false">ROUND(E210*Assumptions!$C$7,Assumptions!$B$10)</f>
        <v>4084.38</v>
      </c>
      <c r="G210" s="18" t="n">
        <f aca="false">SUM(E210:F210)</f>
        <v>78345.77</v>
      </c>
      <c r="H210" s="18" t="n">
        <f aca="false">ROUND(G210-'Cohort Data'!H210,Assumptions!$B$10)</f>
        <v>26611.18</v>
      </c>
      <c r="I210" s="18" t="n">
        <f aca="false">CEILING(G210,Assumptions!$B$12)</f>
        <v>78400</v>
      </c>
      <c r="J210" s="18" t="n">
        <f aca="false">FLOOR(G210,Assumptions!$B$12)</f>
        <v>78300</v>
      </c>
      <c r="K210" s="18" t="n">
        <f aca="false">ROUNDUP(G210,Assumptions!$B$10)</f>
        <v>78345.77</v>
      </c>
      <c r="L210" s="18" t="n">
        <f aca="false">ROUNDDOWN(G210,Assumptions!$B$10)</f>
        <v>78345.77</v>
      </c>
      <c r="M210" s="19" t="n">
        <f aca="false">INT('Cohort Data'!E210/Assumptions!$B$11)</f>
        <v>1</v>
      </c>
    </row>
    <row r="211" customFormat="false" ht="15" hidden="false" customHeight="false" outlineLevel="0" collapsed="false">
      <c r="A211" s="2" t="s">
        <v>311</v>
      </c>
      <c r="B211" s="18" t="n">
        <f aca="false">IF('Cohort Data'!D211=Assumptions!$B$16,ROUND('Cohort Data'!L211*'Cohort Data'!K211*Assumptions!$F$5,Assumptions!$B$10),Assumptions!$B$13)</f>
        <v>28420.55</v>
      </c>
      <c r="C211" s="18" t="n">
        <f aca="false">IF('Cohort Data'!D211=Assumptions!$B$16,ROUND('Cohort Data'!E211*Assumptions!$C$6,Assumptions!$B$10),Assumptions!$B$13)</f>
        <v>5005</v>
      </c>
      <c r="D211" s="18" t="n">
        <f aca="false">SUM(B211:C211)</f>
        <v>33425.55</v>
      </c>
      <c r="E211" s="18" t="n">
        <f aca="false">ROUND(D211/Assumptions!$F$7,Assumptions!$B$10)</f>
        <v>32931.58</v>
      </c>
      <c r="F211" s="18" t="n">
        <f aca="false">ROUND(E211*Assumptions!$C$7,Assumptions!$B$10)</f>
        <v>1811.24</v>
      </c>
      <c r="G211" s="18" t="n">
        <f aca="false">SUM(E211:F211)</f>
        <v>34742.82</v>
      </c>
      <c r="H211" s="18" t="n">
        <f aca="false">ROUND(G211-'Cohort Data'!H211,Assumptions!$B$10)</f>
        <v>12373.9</v>
      </c>
      <c r="I211" s="18" t="n">
        <f aca="false">CEILING(G211,Assumptions!$B$12)</f>
        <v>34800</v>
      </c>
      <c r="J211" s="18" t="n">
        <f aca="false">FLOOR(G211,Assumptions!$B$12)</f>
        <v>34700</v>
      </c>
      <c r="K211" s="18" t="n">
        <f aca="false">ROUNDUP(G211,Assumptions!$B$10)</f>
        <v>34742.82</v>
      </c>
      <c r="L211" s="18" t="n">
        <f aca="false">ROUNDDOWN(G211,Assumptions!$B$10)</f>
        <v>34742.82</v>
      </c>
      <c r="M211" s="19" t="n">
        <f aca="false">INT('Cohort Data'!E211/Assumptions!$B$11)</f>
        <v>1</v>
      </c>
    </row>
    <row r="212" customFormat="false" ht="15" hidden="false" customHeight="false" outlineLevel="0" collapsed="false">
      <c r="A212" s="2" t="s">
        <v>312</v>
      </c>
      <c r="B212" s="18" t="n">
        <f aca="false">IF('Cohort Data'!D212=Assumptions!$B$16,ROUND('Cohort Data'!L212*'Cohort Data'!K212*Assumptions!$F$5,Assumptions!$B$10),Assumptions!$B$13)</f>
        <v>0</v>
      </c>
      <c r="C212" s="18" t="n">
        <f aca="false">IF('Cohort Data'!D212=Assumptions!$B$16,ROUND('Cohort Data'!E212*Assumptions!$C$6,Assumptions!$B$10),Assumptions!$B$13)</f>
        <v>0</v>
      </c>
      <c r="D212" s="18" t="n">
        <f aca="false">SUM(B212:C212)</f>
        <v>0</v>
      </c>
      <c r="E212" s="18" t="n">
        <f aca="false">ROUND(D212/Assumptions!$F$7,Assumptions!$B$10)</f>
        <v>0</v>
      </c>
      <c r="F212" s="18" t="n">
        <f aca="false">ROUND(E212*Assumptions!$C$7,Assumptions!$B$10)</f>
        <v>0</v>
      </c>
      <c r="G212" s="18" t="n">
        <f aca="false">SUM(E212:F212)</f>
        <v>0</v>
      </c>
      <c r="H212" s="18" t="n">
        <f aca="false">ROUND(G212-'Cohort Data'!H212,Assumptions!$B$10)</f>
        <v>-15876.96</v>
      </c>
      <c r="I212" s="18" t="n">
        <f aca="false">CEILING(G212,Assumptions!$B$12)</f>
        <v>0</v>
      </c>
      <c r="J212" s="18" t="n">
        <f aca="false">FLOOR(G212,Assumptions!$B$12)</f>
        <v>0</v>
      </c>
      <c r="K212" s="18" t="n">
        <f aca="false">ROUNDUP(G212,Assumptions!$B$10)</f>
        <v>0</v>
      </c>
      <c r="L212" s="18" t="n">
        <f aca="false">ROUNDDOWN(G212,Assumptions!$B$10)</f>
        <v>0</v>
      </c>
      <c r="M212" s="19" t="n">
        <f aca="false">INT('Cohort Data'!E212/Assumptions!$B$11)</f>
        <v>0</v>
      </c>
    </row>
    <row r="213" customFormat="false" ht="15" hidden="false" customHeight="false" outlineLevel="0" collapsed="false">
      <c r="A213" s="2" t="s">
        <v>313</v>
      </c>
      <c r="B213" s="18" t="n">
        <f aca="false">IF('Cohort Data'!D213=Assumptions!$B$16,ROUND('Cohort Data'!L213*'Cohort Data'!K213*Assumptions!$F$5,Assumptions!$B$10),Assumptions!$B$13)</f>
        <v>28861.76</v>
      </c>
      <c r="C213" s="18" t="n">
        <f aca="false">IF('Cohort Data'!D213=Assumptions!$B$16,ROUND('Cohort Data'!E213*Assumptions!$C$6,Assumptions!$B$10),Assumptions!$B$13)</f>
        <v>5635</v>
      </c>
      <c r="D213" s="18" t="n">
        <f aca="false">SUM(B213:C213)</f>
        <v>34496.76</v>
      </c>
      <c r="E213" s="18" t="n">
        <f aca="false">ROUND(D213/Assumptions!$F$7,Assumptions!$B$10)</f>
        <v>33986.96</v>
      </c>
      <c r="F213" s="18" t="n">
        <f aca="false">ROUND(E213*Assumptions!$C$7,Assumptions!$B$10)</f>
        <v>1869.28</v>
      </c>
      <c r="G213" s="18" t="n">
        <f aca="false">SUM(E213:F213)</f>
        <v>35856.24</v>
      </c>
      <c r="H213" s="18" t="n">
        <f aca="false">ROUND(G213-'Cohort Data'!H213,Assumptions!$B$10)</f>
        <v>13367.76</v>
      </c>
      <c r="I213" s="18" t="n">
        <f aca="false">CEILING(G213,Assumptions!$B$12)</f>
        <v>35900</v>
      </c>
      <c r="J213" s="18" t="n">
        <f aca="false">FLOOR(G213,Assumptions!$B$12)</f>
        <v>35800</v>
      </c>
      <c r="K213" s="18" t="n">
        <f aca="false">ROUNDUP(G213,Assumptions!$B$10)</f>
        <v>35856.24</v>
      </c>
      <c r="L213" s="18" t="n">
        <f aca="false">ROUNDDOWN(G213,Assumptions!$B$10)</f>
        <v>35856.24</v>
      </c>
      <c r="M213" s="19" t="n">
        <f aca="false">INT('Cohort Data'!E213/Assumptions!$B$11)</f>
        <v>1</v>
      </c>
    </row>
    <row r="214" customFormat="false" ht="15" hidden="false" customHeight="false" outlineLevel="0" collapsed="false">
      <c r="A214" s="2" t="s">
        <v>314</v>
      </c>
      <c r="B214" s="18" t="n">
        <f aca="false">IF('Cohort Data'!D214=Assumptions!$B$16,ROUND('Cohort Data'!L214*'Cohort Data'!K214*Assumptions!$F$5,Assumptions!$B$10),Assumptions!$B$13)</f>
        <v>34376.05</v>
      </c>
      <c r="C214" s="18" t="n">
        <f aca="false">IF('Cohort Data'!D214=Assumptions!$B$16,ROUND('Cohort Data'!E214*Assumptions!$C$6,Assumptions!$B$10),Assumptions!$B$13)</f>
        <v>4620</v>
      </c>
      <c r="D214" s="18" t="n">
        <f aca="false">SUM(B214:C214)</f>
        <v>38996.05</v>
      </c>
      <c r="E214" s="18" t="n">
        <f aca="false">ROUND(D214/Assumptions!$F$7,Assumptions!$B$10)</f>
        <v>38419.75</v>
      </c>
      <c r="F214" s="18" t="n">
        <f aca="false">ROUND(E214*Assumptions!$C$7,Assumptions!$B$10)</f>
        <v>2113.09</v>
      </c>
      <c r="G214" s="18" t="n">
        <f aca="false">SUM(E214:F214)</f>
        <v>40532.84</v>
      </c>
      <c r="H214" s="18" t="n">
        <f aca="false">ROUND(G214-'Cohort Data'!H214,Assumptions!$B$10)</f>
        <v>13767.46</v>
      </c>
      <c r="I214" s="18" t="n">
        <f aca="false">CEILING(G214,Assumptions!$B$12)</f>
        <v>40600</v>
      </c>
      <c r="J214" s="18" t="n">
        <f aca="false">FLOOR(G214,Assumptions!$B$12)</f>
        <v>40500</v>
      </c>
      <c r="K214" s="18" t="n">
        <f aca="false">ROUNDUP(G214,Assumptions!$B$10)</f>
        <v>40532.84</v>
      </c>
      <c r="L214" s="18" t="n">
        <f aca="false">ROUNDDOWN(G214,Assumptions!$B$10)</f>
        <v>40532.84</v>
      </c>
      <c r="M214" s="19" t="n">
        <f aca="false">INT('Cohort Data'!E214/Assumptions!$B$11)</f>
        <v>1</v>
      </c>
    </row>
    <row r="215" customFormat="false" ht="15" hidden="false" customHeight="false" outlineLevel="0" collapsed="false">
      <c r="A215" s="2" t="s">
        <v>315</v>
      </c>
      <c r="B215" s="18" t="n">
        <f aca="false">IF('Cohort Data'!D215=Assumptions!$B$16,ROUND('Cohort Data'!L215*'Cohort Data'!K215*Assumptions!$F$5,Assumptions!$B$10),Assumptions!$B$13)</f>
        <v>17872.63</v>
      </c>
      <c r="C215" s="18" t="n">
        <f aca="false">IF('Cohort Data'!D215=Assumptions!$B$16,ROUND('Cohort Data'!E215*Assumptions!$C$6,Assumptions!$B$10),Assumptions!$B$13)</f>
        <v>3255</v>
      </c>
      <c r="D215" s="18" t="n">
        <f aca="false">SUM(B215:C215)</f>
        <v>21127.63</v>
      </c>
      <c r="E215" s="18" t="n">
        <f aca="false">ROUND(D215/Assumptions!$F$7,Assumptions!$B$10)</f>
        <v>20815.4</v>
      </c>
      <c r="F215" s="18" t="n">
        <f aca="false">ROUND(E215*Assumptions!$C$7,Assumptions!$B$10)</f>
        <v>1144.85</v>
      </c>
      <c r="G215" s="18" t="n">
        <f aca="false">SUM(E215:F215)</f>
        <v>21960.25</v>
      </c>
      <c r="H215" s="18" t="n">
        <f aca="false">ROUND(G215-'Cohort Data'!H215,Assumptions!$B$10)</f>
        <v>8702.17</v>
      </c>
      <c r="I215" s="18" t="n">
        <f aca="false">CEILING(G215,Assumptions!$B$12)</f>
        <v>22000</v>
      </c>
      <c r="J215" s="18" t="n">
        <f aca="false">FLOOR(G215,Assumptions!$B$12)</f>
        <v>21900</v>
      </c>
      <c r="K215" s="18" t="n">
        <f aca="false">ROUNDUP(G215,Assumptions!$B$10)</f>
        <v>21960.25</v>
      </c>
      <c r="L215" s="18" t="n">
        <f aca="false">ROUNDDOWN(G215,Assumptions!$B$10)</f>
        <v>21960.25</v>
      </c>
      <c r="M215" s="19" t="n">
        <f aca="false">INT('Cohort Data'!E215/Assumptions!$B$11)</f>
        <v>0</v>
      </c>
    </row>
    <row r="216" customFormat="false" ht="15" hidden="false" customHeight="false" outlineLevel="0" collapsed="false">
      <c r="A216" s="2" t="s">
        <v>316</v>
      </c>
      <c r="B216" s="18" t="n">
        <f aca="false">IF('Cohort Data'!D216=Assumptions!$B$16,ROUND('Cohort Data'!L216*'Cohort Data'!K216*Assumptions!$F$5,Assumptions!$B$10),Assumptions!$B$13)</f>
        <v>19719.22</v>
      </c>
      <c r="C216" s="18" t="n">
        <f aca="false">IF('Cohort Data'!D216=Assumptions!$B$16,ROUND('Cohort Data'!E216*Assumptions!$C$6,Assumptions!$B$10),Assumptions!$B$13)</f>
        <v>3500</v>
      </c>
      <c r="D216" s="18" t="n">
        <f aca="false">SUM(B216:C216)</f>
        <v>23219.22</v>
      </c>
      <c r="E216" s="18" t="n">
        <f aca="false">ROUND(D216/Assumptions!$F$7,Assumptions!$B$10)</f>
        <v>22876.08</v>
      </c>
      <c r="F216" s="18" t="n">
        <f aca="false">ROUND(E216*Assumptions!$C$7,Assumptions!$B$10)</f>
        <v>1258.18</v>
      </c>
      <c r="G216" s="18" t="n">
        <f aca="false">SUM(E216:F216)</f>
        <v>24134.26</v>
      </c>
      <c r="H216" s="18" t="n">
        <f aca="false">ROUND(G216-'Cohort Data'!H216,Assumptions!$B$10)</f>
        <v>9878.26</v>
      </c>
      <c r="I216" s="18" t="n">
        <f aca="false">CEILING(G216,Assumptions!$B$12)</f>
        <v>24200</v>
      </c>
      <c r="J216" s="18" t="n">
        <f aca="false">FLOOR(G216,Assumptions!$B$12)</f>
        <v>24100</v>
      </c>
      <c r="K216" s="18" t="n">
        <f aca="false">ROUNDUP(G216,Assumptions!$B$10)</f>
        <v>24134.26</v>
      </c>
      <c r="L216" s="18" t="n">
        <f aca="false">ROUNDDOWN(G216,Assumptions!$B$10)</f>
        <v>24134.26</v>
      </c>
      <c r="M216" s="19" t="n">
        <f aca="false">INT('Cohort Data'!E216/Assumptions!$B$11)</f>
        <v>1</v>
      </c>
    </row>
    <row r="217" customFormat="false" ht="15" hidden="false" customHeight="false" outlineLevel="0" collapsed="false">
      <c r="A217" s="2" t="s">
        <v>317</v>
      </c>
      <c r="B217" s="18" t="n">
        <f aca="false">IF('Cohort Data'!D217=Assumptions!$B$16,ROUND('Cohort Data'!L217*'Cohort Data'!K217*Assumptions!$F$5,Assumptions!$B$10),Assumptions!$B$13)</f>
        <v>28331.46</v>
      </c>
      <c r="C217" s="18" t="n">
        <f aca="false">IF('Cohort Data'!D217=Assumptions!$B$16,ROUND('Cohort Data'!E217*Assumptions!$C$6,Assumptions!$B$10),Assumptions!$B$13)</f>
        <v>3710</v>
      </c>
      <c r="D217" s="18" t="n">
        <f aca="false">SUM(B217:C217)</f>
        <v>32041.46</v>
      </c>
      <c r="E217" s="18" t="n">
        <f aca="false">ROUND(D217/Assumptions!$F$7,Assumptions!$B$10)</f>
        <v>31567.94</v>
      </c>
      <c r="F217" s="18" t="n">
        <f aca="false">ROUND(E217*Assumptions!$C$7,Assumptions!$B$10)</f>
        <v>1736.24</v>
      </c>
      <c r="G217" s="18" t="n">
        <f aca="false">SUM(E217:F217)</f>
        <v>33304.18</v>
      </c>
      <c r="H217" s="18" t="n">
        <f aca="false">ROUND(G217-'Cohort Data'!H217,Assumptions!$B$10)</f>
        <v>9806.52</v>
      </c>
      <c r="I217" s="18" t="n">
        <f aca="false">CEILING(G217,Assumptions!$B$12)</f>
        <v>33400</v>
      </c>
      <c r="J217" s="18" t="n">
        <f aca="false">FLOOR(G217,Assumptions!$B$12)</f>
        <v>33300</v>
      </c>
      <c r="K217" s="18" t="n">
        <f aca="false">ROUNDUP(G217,Assumptions!$B$10)</f>
        <v>33304.18</v>
      </c>
      <c r="L217" s="18" t="n">
        <f aca="false">ROUNDDOWN(G217,Assumptions!$B$10)</f>
        <v>33304.18</v>
      </c>
      <c r="M217" s="19" t="n">
        <f aca="false">INT('Cohort Data'!E217/Assumptions!$B$11)</f>
        <v>1</v>
      </c>
    </row>
    <row r="218" customFormat="false" ht="15" hidden="false" customHeight="false" outlineLevel="0" collapsed="false">
      <c r="A218" s="2" t="s">
        <v>318</v>
      </c>
      <c r="B218" s="18" t="n">
        <f aca="false">IF('Cohort Data'!D218=Assumptions!$B$16,ROUND('Cohort Data'!L218*'Cohort Data'!K218*Assumptions!$F$5,Assumptions!$B$10),Assumptions!$B$13)</f>
        <v>36457.92</v>
      </c>
      <c r="C218" s="18" t="n">
        <f aca="false">IF('Cohort Data'!D218=Assumptions!$B$16,ROUND('Cohort Data'!E218*Assumptions!$C$6,Assumptions!$B$10),Assumptions!$B$13)</f>
        <v>5495</v>
      </c>
      <c r="D218" s="18" t="n">
        <f aca="false">SUM(B218:C218)</f>
        <v>41952.92</v>
      </c>
      <c r="E218" s="18" t="n">
        <f aca="false">ROUND(D218/Assumptions!$F$7,Assumptions!$B$10)</f>
        <v>41332.93</v>
      </c>
      <c r="F218" s="18" t="n">
        <f aca="false">ROUND(E218*Assumptions!$C$7,Assumptions!$B$10)</f>
        <v>2273.31</v>
      </c>
      <c r="G218" s="18" t="n">
        <f aca="false">SUM(E218:F218)</f>
        <v>43606.24</v>
      </c>
      <c r="H218" s="18" t="n">
        <f aca="false">ROUND(G218-'Cohort Data'!H218,Assumptions!$B$10)</f>
        <v>13856.94</v>
      </c>
      <c r="I218" s="18" t="n">
        <f aca="false">CEILING(G218,Assumptions!$B$12)</f>
        <v>43700</v>
      </c>
      <c r="J218" s="18" t="n">
        <f aca="false">FLOOR(G218,Assumptions!$B$12)</f>
        <v>43600</v>
      </c>
      <c r="K218" s="18" t="n">
        <f aca="false">ROUNDUP(G218,Assumptions!$B$10)</f>
        <v>43606.24</v>
      </c>
      <c r="L218" s="18" t="n">
        <f aca="false">ROUNDDOWN(G218,Assumptions!$B$10)</f>
        <v>43606.24</v>
      </c>
      <c r="M218" s="19" t="n">
        <f aca="false">INT('Cohort Data'!E218/Assumptions!$B$11)</f>
        <v>1</v>
      </c>
    </row>
    <row r="219" customFormat="false" ht="15" hidden="false" customHeight="false" outlineLevel="0" collapsed="false">
      <c r="A219" s="2" t="s">
        <v>319</v>
      </c>
      <c r="B219" s="18" t="n">
        <f aca="false">IF('Cohort Data'!D219=Assumptions!$B$16,ROUND('Cohort Data'!L219*'Cohort Data'!K219*Assumptions!$F$5,Assumptions!$B$10),Assumptions!$B$13)</f>
        <v>21780.77</v>
      </c>
      <c r="C219" s="18" t="n">
        <f aca="false">IF('Cohort Data'!D219=Assumptions!$B$16,ROUND('Cohort Data'!E219*Assumptions!$C$6,Assumptions!$B$10),Assumptions!$B$13)</f>
        <v>3150</v>
      </c>
      <c r="D219" s="18" t="n">
        <f aca="false">SUM(B219:C219)</f>
        <v>24930.77</v>
      </c>
      <c r="E219" s="18" t="n">
        <f aca="false">ROUND(D219/Assumptions!$F$7,Assumptions!$B$10)</f>
        <v>24562.33</v>
      </c>
      <c r="F219" s="18" t="n">
        <f aca="false">ROUND(E219*Assumptions!$C$7,Assumptions!$B$10)</f>
        <v>1350.93</v>
      </c>
      <c r="G219" s="18" t="n">
        <f aca="false">SUM(E219:F219)</f>
        <v>25913.26</v>
      </c>
      <c r="H219" s="18" t="n">
        <f aca="false">ROUND(G219-'Cohort Data'!H219,Assumptions!$B$10)</f>
        <v>9641.98</v>
      </c>
      <c r="I219" s="18" t="n">
        <f aca="false">CEILING(G219,Assumptions!$B$12)</f>
        <v>26000</v>
      </c>
      <c r="J219" s="18" t="n">
        <f aca="false">FLOOR(G219,Assumptions!$B$12)</f>
        <v>25900</v>
      </c>
      <c r="K219" s="18" t="n">
        <f aca="false">ROUNDUP(G219,Assumptions!$B$10)</f>
        <v>25913.26</v>
      </c>
      <c r="L219" s="18" t="n">
        <f aca="false">ROUNDDOWN(G219,Assumptions!$B$10)</f>
        <v>25913.26</v>
      </c>
      <c r="M219" s="19" t="n">
        <f aca="false">INT('Cohort Data'!E219/Assumptions!$B$11)</f>
        <v>0</v>
      </c>
    </row>
    <row r="220" customFormat="false" ht="15" hidden="false" customHeight="false" outlineLevel="0" collapsed="false">
      <c r="A220" s="2" t="s">
        <v>320</v>
      </c>
      <c r="B220" s="18" t="n">
        <f aca="false">IF('Cohort Data'!D220=Assumptions!$B$16,ROUND('Cohort Data'!L220*'Cohort Data'!K220*Assumptions!$F$5,Assumptions!$B$10),Assumptions!$B$13)</f>
        <v>34540.53</v>
      </c>
      <c r="C220" s="18" t="n">
        <f aca="false">IF('Cohort Data'!D220=Assumptions!$B$16,ROUND('Cohort Data'!E220*Assumptions!$C$6,Assumptions!$B$10),Assumptions!$B$13)</f>
        <v>5880</v>
      </c>
      <c r="D220" s="18" t="n">
        <f aca="false">SUM(B220:C220)</f>
        <v>40420.53</v>
      </c>
      <c r="E220" s="18" t="n">
        <f aca="false">ROUND(D220/Assumptions!$F$7,Assumptions!$B$10)</f>
        <v>39823.18</v>
      </c>
      <c r="F220" s="18" t="n">
        <f aca="false">ROUND(E220*Assumptions!$C$7,Assumptions!$B$10)</f>
        <v>2190.27</v>
      </c>
      <c r="G220" s="18" t="n">
        <f aca="false">SUM(E220:F220)</f>
        <v>42013.45</v>
      </c>
      <c r="H220" s="18" t="n">
        <f aca="false">ROUND(G220-'Cohort Data'!H220,Assumptions!$B$10)</f>
        <v>14535.37</v>
      </c>
      <c r="I220" s="18" t="n">
        <f aca="false">CEILING(G220,Assumptions!$B$12)</f>
        <v>42100</v>
      </c>
      <c r="J220" s="18" t="n">
        <f aca="false">FLOOR(G220,Assumptions!$B$12)</f>
        <v>42000</v>
      </c>
      <c r="K220" s="18" t="n">
        <f aca="false">ROUNDUP(G220,Assumptions!$B$10)</f>
        <v>42013.45</v>
      </c>
      <c r="L220" s="18" t="n">
        <f aca="false">ROUNDDOWN(G220,Assumptions!$B$10)</f>
        <v>42013.45</v>
      </c>
      <c r="M220" s="19" t="n">
        <f aca="false">INT('Cohort Data'!E220/Assumptions!$B$11)</f>
        <v>1</v>
      </c>
    </row>
    <row r="221" customFormat="false" ht="15" hidden="false" customHeight="false" outlineLevel="0" collapsed="false">
      <c r="A221" s="2" t="s">
        <v>321</v>
      </c>
      <c r="B221" s="18" t="n">
        <f aca="false">IF('Cohort Data'!D221=Assumptions!$B$16,ROUND('Cohort Data'!L221*'Cohort Data'!K221*Assumptions!$F$5,Assumptions!$B$10),Assumptions!$B$13)</f>
        <v>24887.15</v>
      </c>
      <c r="C221" s="18" t="n">
        <f aca="false">IF('Cohort Data'!D221=Assumptions!$B$16,ROUND('Cohort Data'!E221*Assumptions!$C$6,Assumptions!$B$10),Assumptions!$B$13)</f>
        <v>3885</v>
      </c>
      <c r="D221" s="18" t="n">
        <f aca="false">SUM(B221:C221)</f>
        <v>28772.15</v>
      </c>
      <c r="E221" s="18" t="n">
        <f aca="false">ROUND(D221/Assumptions!$F$7,Assumptions!$B$10)</f>
        <v>28346.95</v>
      </c>
      <c r="F221" s="18" t="n">
        <f aca="false">ROUND(E221*Assumptions!$C$7,Assumptions!$B$10)</f>
        <v>1559.08</v>
      </c>
      <c r="G221" s="18" t="n">
        <f aca="false">SUM(E221:F221)</f>
        <v>29906.03</v>
      </c>
      <c r="H221" s="18" t="n">
        <f aca="false">ROUND(G221-'Cohort Data'!H221,Assumptions!$B$10)</f>
        <v>9598.36</v>
      </c>
      <c r="I221" s="18" t="n">
        <f aca="false">CEILING(G221,Assumptions!$B$12)</f>
        <v>30000</v>
      </c>
      <c r="J221" s="18" t="n">
        <f aca="false">FLOOR(G221,Assumptions!$B$12)</f>
        <v>29900</v>
      </c>
      <c r="K221" s="18" t="n">
        <f aca="false">ROUNDUP(G221,Assumptions!$B$10)</f>
        <v>29906.03</v>
      </c>
      <c r="L221" s="18" t="n">
        <f aca="false">ROUNDDOWN(G221,Assumptions!$B$10)</f>
        <v>29906.03</v>
      </c>
      <c r="M221" s="19" t="n">
        <f aca="false">INT('Cohort Data'!E221/Assumptions!$B$11)</f>
        <v>1</v>
      </c>
    </row>
    <row r="222" customFormat="false" ht="15" hidden="false" customHeight="false" outlineLevel="0" collapsed="false">
      <c r="A222" s="2" t="s">
        <v>322</v>
      </c>
      <c r="B222" s="18" t="n">
        <f aca="false">IF('Cohort Data'!D222=Assumptions!$B$16,ROUND('Cohort Data'!L222*'Cohort Data'!K222*Assumptions!$F$5,Assumptions!$B$10),Assumptions!$B$13)</f>
        <v>80669.52</v>
      </c>
      <c r="C222" s="18" t="n">
        <f aca="false">IF('Cohort Data'!D222=Assumptions!$B$16,ROUND('Cohort Data'!E222*Assumptions!$C$6,Assumptions!$B$10),Assumptions!$B$13)</f>
        <v>8750</v>
      </c>
      <c r="D222" s="18" t="n">
        <f aca="false">SUM(B222:C222)</f>
        <v>89419.52</v>
      </c>
      <c r="E222" s="18" t="n">
        <f aca="false">ROUND(D222/Assumptions!$F$7,Assumptions!$B$10)</f>
        <v>88098.05</v>
      </c>
      <c r="F222" s="18" t="n">
        <f aca="false">ROUND(E222*Assumptions!$C$7,Assumptions!$B$10)</f>
        <v>4845.39</v>
      </c>
      <c r="G222" s="18" t="n">
        <f aca="false">SUM(E222:F222)</f>
        <v>92943.44</v>
      </c>
      <c r="H222" s="18" t="n">
        <f aca="false">ROUND(G222-'Cohort Data'!H222,Assumptions!$B$10)</f>
        <v>34623.44</v>
      </c>
      <c r="I222" s="18" t="n">
        <f aca="false">CEILING(G222,Assumptions!$B$12)</f>
        <v>93000</v>
      </c>
      <c r="J222" s="18" t="n">
        <f aca="false">FLOOR(G222,Assumptions!$B$12)</f>
        <v>92900</v>
      </c>
      <c r="K222" s="18" t="n">
        <f aca="false">ROUNDUP(G222,Assumptions!$B$10)</f>
        <v>92943.44</v>
      </c>
      <c r="L222" s="18" t="n">
        <f aca="false">ROUNDDOWN(G222,Assumptions!$B$10)</f>
        <v>92943.44</v>
      </c>
      <c r="M222" s="19" t="n">
        <f aca="false">INT('Cohort Data'!E222/Assumptions!$B$11)</f>
        <v>2</v>
      </c>
    </row>
    <row r="223" customFormat="false" ht="15" hidden="false" customHeight="false" outlineLevel="0" collapsed="false">
      <c r="A223" s="2" t="s">
        <v>323</v>
      </c>
      <c r="B223" s="18" t="n">
        <f aca="false">IF('Cohort Data'!D223=Assumptions!$B$16,ROUND('Cohort Data'!L223*'Cohort Data'!K223*Assumptions!$F$5,Assumptions!$B$10),Assumptions!$B$13)</f>
        <v>24425.09</v>
      </c>
      <c r="C223" s="18" t="n">
        <f aca="false">IF('Cohort Data'!D223=Assumptions!$B$16,ROUND('Cohort Data'!E223*Assumptions!$C$6,Assumptions!$B$10),Assumptions!$B$13)</f>
        <v>2835</v>
      </c>
      <c r="D223" s="18" t="n">
        <f aca="false">SUM(B223:C223)</f>
        <v>27260.09</v>
      </c>
      <c r="E223" s="18" t="n">
        <f aca="false">ROUND(D223/Assumptions!$F$7,Assumptions!$B$10)</f>
        <v>26857.23</v>
      </c>
      <c r="F223" s="18" t="n">
        <f aca="false">ROUND(E223*Assumptions!$C$7,Assumptions!$B$10)</f>
        <v>1477.15</v>
      </c>
      <c r="G223" s="18" t="n">
        <f aca="false">SUM(E223:F223)</f>
        <v>28334.38</v>
      </c>
      <c r="H223" s="18" t="n">
        <f aca="false">ROUND(G223-'Cohort Data'!H223,Assumptions!$B$10)</f>
        <v>9730.3</v>
      </c>
      <c r="I223" s="18" t="n">
        <f aca="false">CEILING(G223,Assumptions!$B$12)</f>
        <v>28400</v>
      </c>
      <c r="J223" s="18" t="n">
        <f aca="false">FLOOR(G223,Assumptions!$B$12)</f>
        <v>28300</v>
      </c>
      <c r="K223" s="18" t="n">
        <f aca="false">ROUNDUP(G223,Assumptions!$B$10)</f>
        <v>28334.38</v>
      </c>
      <c r="L223" s="18" t="n">
        <f aca="false">ROUNDDOWN(G223,Assumptions!$B$10)</f>
        <v>28334.38</v>
      </c>
      <c r="M223" s="19" t="n">
        <f aca="false">INT('Cohort Data'!E223/Assumptions!$B$11)</f>
        <v>0</v>
      </c>
    </row>
    <row r="224" customFormat="false" ht="15" hidden="false" customHeight="false" outlineLevel="0" collapsed="false">
      <c r="A224" s="2" t="s">
        <v>324</v>
      </c>
      <c r="B224" s="18" t="n">
        <f aca="false">IF('Cohort Data'!D224=Assumptions!$B$16,ROUND('Cohort Data'!L224*'Cohort Data'!K224*Assumptions!$F$5,Assumptions!$B$10),Assumptions!$B$13)</f>
        <v>24662.95</v>
      </c>
      <c r="C224" s="18" t="n">
        <f aca="false">IF('Cohort Data'!D224=Assumptions!$B$16,ROUND('Cohort Data'!E224*Assumptions!$C$6,Assumptions!$B$10),Assumptions!$B$13)</f>
        <v>3080</v>
      </c>
      <c r="D224" s="18" t="n">
        <f aca="false">SUM(B224:C224)</f>
        <v>27742.95</v>
      </c>
      <c r="E224" s="18" t="n">
        <f aca="false">ROUND(D224/Assumptions!$F$7,Assumptions!$B$10)</f>
        <v>27332.96</v>
      </c>
      <c r="F224" s="18" t="n">
        <f aca="false">ROUND(E224*Assumptions!$C$7,Assumptions!$B$10)</f>
        <v>1503.31</v>
      </c>
      <c r="G224" s="18" t="n">
        <f aca="false">SUM(E224:F224)</f>
        <v>28836.27</v>
      </c>
      <c r="H224" s="18" t="n">
        <f aca="false">ROUND(G224-'Cohort Data'!H224,Assumptions!$B$10)</f>
        <v>9524.67</v>
      </c>
      <c r="I224" s="18" t="n">
        <f aca="false">CEILING(G224,Assumptions!$B$12)</f>
        <v>28900</v>
      </c>
      <c r="J224" s="18" t="n">
        <f aca="false">FLOOR(G224,Assumptions!$B$12)</f>
        <v>28800</v>
      </c>
      <c r="K224" s="18" t="n">
        <f aca="false">ROUNDUP(G224,Assumptions!$B$10)</f>
        <v>28836.27</v>
      </c>
      <c r="L224" s="18" t="n">
        <f aca="false">ROUNDDOWN(G224,Assumptions!$B$10)</f>
        <v>28836.27</v>
      </c>
      <c r="M224" s="19" t="n">
        <f aca="false">INT('Cohort Data'!E224/Assumptions!$B$11)</f>
        <v>0</v>
      </c>
    </row>
    <row r="225" customFormat="false" ht="15" hidden="false" customHeight="false" outlineLevel="0" collapsed="false">
      <c r="A225" s="2" t="s">
        <v>325</v>
      </c>
      <c r="B225" s="18" t="n">
        <f aca="false">IF('Cohort Data'!D225=Assumptions!$B$16,ROUND('Cohort Data'!L225*'Cohort Data'!K225*Assumptions!$F$5,Assumptions!$B$10),Assumptions!$B$13)</f>
        <v>53026.76</v>
      </c>
      <c r="C225" s="18" t="n">
        <f aca="false">IF('Cohort Data'!D225=Assumptions!$B$16,ROUND('Cohort Data'!E225*Assumptions!$C$6,Assumptions!$B$10),Assumptions!$B$13)</f>
        <v>6090</v>
      </c>
      <c r="D225" s="18" t="n">
        <f aca="false">SUM(B225:C225)</f>
        <v>59116.76</v>
      </c>
      <c r="E225" s="18" t="n">
        <f aca="false">ROUND(D225/Assumptions!$F$7,Assumptions!$B$10)</f>
        <v>58243.11</v>
      </c>
      <c r="F225" s="18" t="n">
        <f aca="false">ROUND(E225*Assumptions!$C$7,Assumptions!$B$10)</f>
        <v>3203.37</v>
      </c>
      <c r="G225" s="18" t="n">
        <f aca="false">SUM(E225:F225)</f>
        <v>61446.48</v>
      </c>
      <c r="H225" s="18" t="n">
        <f aca="false">ROUND(G225-'Cohort Data'!H225,Assumptions!$B$10)</f>
        <v>20555.09</v>
      </c>
      <c r="I225" s="18" t="n">
        <f aca="false">CEILING(G225,Assumptions!$B$12)</f>
        <v>61500</v>
      </c>
      <c r="J225" s="18" t="n">
        <f aca="false">FLOOR(G225,Assumptions!$B$12)</f>
        <v>61400</v>
      </c>
      <c r="K225" s="18" t="n">
        <f aca="false">ROUNDUP(G225,Assumptions!$B$10)</f>
        <v>61446.48</v>
      </c>
      <c r="L225" s="18" t="n">
        <f aca="false">ROUNDDOWN(G225,Assumptions!$B$10)</f>
        <v>61446.48</v>
      </c>
      <c r="M225" s="19" t="n">
        <f aca="false">INT('Cohort Data'!E225/Assumptions!$B$11)</f>
        <v>1</v>
      </c>
    </row>
    <row r="226" customFormat="false" ht="15" hidden="false" customHeight="false" outlineLevel="0" collapsed="false">
      <c r="A226" s="2" t="s">
        <v>326</v>
      </c>
      <c r="B226" s="18" t="n">
        <f aca="false">IF('Cohort Data'!D226=Assumptions!$B$16,ROUND('Cohort Data'!L226*'Cohort Data'!K226*Assumptions!$F$5,Assumptions!$B$10),Assumptions!$B$13)</f>
        <v>37240.72</v>
      </c>
      <c r="C226" s="18" t="n">
        <f aca="false">IF('Cohort Data'!D226=Assumptions!$B$16,ROUND('Cohort Data'!E226*Assumptions!$C$6,Assumptions!$B$10),Assumptions!$B$13)</f>
        <v>8645</v>
      </c>
      <c r="D226" s="18" t="n">
        <f aca="false">SUM(B226:C226)</f>
        <v>45885.72</v>
      </c>
      <c r="E226" s="18" t="n">
        <f aca="false">ROUND(D226/Assumptions!$F$7,Assumptions!$B$10)</f>
        <v>45207.61</v>
      </c>
      <c r="F226" s="18" t="n">
        <f aca="false">ROUND(E226*Assumptions!$C$7,Assumptions!$B$10)</f>
        <v>2486.42</v>
      </c>
      <c r="G226" s="18" t="n">
        <f aca="false">SUM(E226:F226)</f>
        <v>47694.03</v>
      </c>
      <c r="H226" s="18" t="n">
        <f aca="false">ROUND(G226-'Cohort Data'!H226,Assumptions!$B$10)</f>
        <v>16176.83</v>
      </c>
      <c r="I226" s="18" t="n">
        <f aca="false">CEILING(G226,Assumptions!$B$12)</f>
        <v>47700</v>
      </c>
      <c r="J226" s="18" t="n">
        <f aca="false">FLOOR(G226,Assumptions!$B$12)</f>
        <v>47600</v>
      </c>
      <c r="K226" s="18" t="n">
        <f aca="false">ROUNDUP(G226,Assumptions!$B$10)</f>
        <v>47694.03</v>
      </c>
      <c r="L226" s="18" t="n">
        <f aca="false">ROUNDDOWN(G226,Assumptions!$B$10)</f>
        <v>47694.03</v>
      </c>
      <c r="M226" s="19" t="n">
        <f aca="false">INT('Cohort Data'!E226/Assumptions!$B$11)</f>
        <v>2</v>
      </c>
    </row>
    <row r="227" customFormat="false" ht="15" hidden="false" customHeight="false" outlineLevel="0" collapsed="false">
      <c r="A227" s="2" t="s">
        <v>327</v>
      </c>
      <c r="B227" s="18" t="n">
        <f aca="false">IF('Cohort Data'!D227=Assumptions!$B$16,ROUND('Cohort Data'!L227*'Cohort Data'!K227*Assumptions!$F$5,Assumptions!$B$10),Assumptions!$B$13)</f>
        <v>23453.82</v>
      </c>
      <c r="C227" s="18" t="n">
        <f aca="false">IF('Cohort Data'!D227=Assumptions!$B$16,ROUND('Cohort Data'!E227*Assumptions!$C$6,Assumptions!$B$10),Assumptions!$B$13)</f>
        <v>3535</v>
      </c>
      <c r="D227" s="18" t="n">
        <f aca="false">SUM(B227:C227)</f>
        <v>26988.82</v>
      </c>
      <c r="E227" s="18" t="n">
        <f aca="false">ROUND(D227/Assumptions!$F$7,Assumptions!$B$10)</f>
        <v>26589.97</v>
      </c>
      <c r="F227" s="18" t="n">
        <f aca="false">ROUND(E227*Assumptions!$C$7,Assumptions!$B$10)</f>
        <v>1462.45</v>
      </c>
      <c r="G227" s="18" t="n">
        <f aca="false">SUM(E227:F227)</f>
        <v>28052.42</v>
      </c>
      <c r="H227" s="18" t="n">
        <f aca="false">ROUND(G227-'Cohort Data'!H227,Assumptions!$B$10)</f>
        <v>8721.02</v>
      </c>
      <c r="I227" s="18" t="n">
        <f aca="false">CEILING(G227,Assumptions!$B$12)</f>
        <v>28100</v>
      </c>
      <c r="J227" s="18" t="n">
        <f aca="false">FLOOR(G227,Assumptions!$B$12)</f>
        <v>28000</v>
      </c>
      <c r="K227" s="18" t="n">
        <f aca="false">ROUNDUP(G227,Assumptions!$B$10)</f>
        <v>28052.42</v>
      </c>
      <c r="L227" s="18" t="n">
        <f aca="false">ROUNDDOWN(G227,Assumptions!$B$10)</f>
        <v>28052.42</v>
      </c>
      <c r="M227" s="19" t="n">
        <f aca="false">INT('Cohort Data'!E227/Assumptions!$B$11)</f>
        <v>1</v>
      </c>
    </row>
    <row r="228" customFormat="false" ht="15" hidden="false" customHeight="false" outlineLevel="0" collapsed="false">
      <c r="A228" s="2" t="s">
        <v>328</v>
      </c>
      <c r="B228" s="18" t="n">
        <f aca="false">IF('Cohort Data'!D228=Assumptions!$B$16,ROUND('Cohort Data'!L228*'Cohort Data'!K228*Assumptions!$F$5,Assumptions!$B$10),Assumptions!$B$13)</f>
        <v>57974.5</v>
      </c>
      <c r="C228" s="18" t="n">
        <f aca="false">IF('Cohort Data'!D228=Assumptions!$B$16,ROUND('Cohort Data'!E228*Assumptions!$C$6,Assumptions!$B$10),Assumptions!$B$13)</f>
        <v>5390</v>
      </c>
      <c r="D228" s="18" t="n">
        <f aca="false">SUM(B228:C228)</f>
        <v>63364.5</v>
      </c>
      <c r="E228" s="18" t="n">
        <f aca="false">ROUND(D228/Assumptions!$F$7,Assumptions!$B$10)</f>
        <v>62428.08</v>
      </c>
      <c r="F228" s="18" t="n">
        <f aca="false">ROUND(E228*Assumptions!$C$7,Assumptions!$B$10)</f>
        <v>3433.54</v>
      </c>
      <c r="G228" s="18" t="n">
        <f aca="false">SUM(E228:F228)</f>
        <v>65861.62</v>
      </c>
      <c r="H228" s="18" t="n">
        <f aca="false">ROUND(G228-'Cohort Data'!H228,Assumptions!$B$10)</f>
        <v>21154.8</v>
      </c>
      <c r="I228" s="18" t="n">
        <f aca="false">CEILING(G228,Assumptions!$B$12)</f>
        <v>65900</v>
      </c>
      <c r="J228" s="18" t="n">
        <f aca="false">FLOOR(G228,Assumptions!$B$12)</f>
        <v>65800</v>
      </c>
      <c r="K228" s="18" t="n">
        <f aca="false">ROUNDUP(G228,Assumptions!$B$10)</f>
        <v>65861.62</v>
      </c>
      <c r="L228" s="18" t="n">
        <f aca="false">ROUNDDOWN(G228,Assumptions!$B$10)</f>
        <v>65861.62</v>
      </c>
      <c r="M228" s="19" t="n">
        <f aca="false">INT('Cohort Data'!E228/Assumptions!$B$11)</f>
        <v>1</v>
      </c>
    </row>
    <row r="229" customFormat="false" ht="15" hidden="false" customHeight="false" outlineLevel="0" collapsed="false">
      <c r="A229" s="2" t="s">
        <v>329</v>
      </c>
      <c r="B229" s="18" t="n">
        <f aca="false">IF('Cohort Data'!D229=Assumptions!$B$16,ROUND('Cohort Data'!L229*'Cohort Data'!K229*Assumptions!$F$5,Assumptions!$B$10),Assumptions!$B$13)</f>
        <v>47123.15</v>
      </c>
      <c r="C229" s="18" t="n">
        <f aca="false">IF('Cohort Data'!D229=Assumptions!$B$16,ROUND('Cohort Data'!E229*Assumptions!$C$6,Assumptions!$B$10),Assumptions!$B$13)</f>
        <v>6685</v>
      </c>
      <c r="D229" s="18" t="n">
        <f aca="false">SUM(B229:C229)</f>
        <v>53808.15</v>
      </c>
      <c r="E229" s="18" t="n">
        <f aca="false">ROUND(D229/Assumptions!$F$7,Assumptions!$B$10)</f>
        <v>53012.96</v>
      </c>
      <c r="F229" s="18" t="n">
        <f aca="false">ROUND(E229*Assumptions!$C$7,Assumptions!$B$10)</f>
        <v>2915.71</v>
      </c>
      <c r="G229" s="18" t="n">
        <f aca="false">SUM(E229:F229)</f>
        <v>55928.67</v>
      </c>
      <c r="H229" s="18" t="n">
        <f aca="false">ROUND(G229-'Cohort Data'!H229,Assumptions!$B$10)</f>
        <v>18440.72</v>
      </c>
      <c r="I229" s="18" t="n">
        <f aca="false">CEILING(G229,Assumptions!$B$12)</f>
        <v>56000</v>
      </c>
      <c r="J229" s="18" t="n">
        <f aca="false">FLOOR(G229,Assumptions!$B$12)</f>
        <v>55900</v>
      </c>
      <c r="K229" s="18" t="n">
        <f aca="false">ROUNDUP(G229,Assumptions!$B$10)</f>
        <v>55928.67</v>
      </c>
      <c r="L229" s="18" t="n">
        <f aca="false">ROUNDDOWN(G229,Assumptions!$B$10)</f>
        <v>55928.67</v>
      </c>
      <c r="M229" s="19" t="n">
        <f aca="false">INT('Cohort Data'!E229/Assumptions!$B$11)</f>
        <v>1</v>
      </c>
    </row>
    <row r="230" customFormat="false" ht="15" hidden="false" customHeight="false" outlineLevel="0" collapsed="false">
      <c r="A230" s="2" t="s">
        <v>330</v>
      </c>
      <c r="B230" s="18" t="n">
        <f aca="false">IF('Cohort Data'!D230=Assumptions!$B$16,ROUND('Cohort Data'!L230*'Cohort Data'!K230*Assumptions!$F$5,Assumptions!$B$10),Assumptions!$B$13)</f>
        <v>42295.35</v>
      </c>
      <c r="C230" s="18" t="n">
        <f aca="false">IF('Cohort Data'!D230=Assumptions!$B$16,ROUND('Cohort Data'!E230*Assumptions!$C$6,Assumptions!$B$10),Assumptions!$B$13)</f>
        <v>4865</v>
      </c>
      <c r="D230" s="18" t="n">
        <f aca="false">SUM(B230:C230)</f>
        <v>47160.35</v>
      </c>
      <c r="E230" s="18" t="n">
        <f aca="false">ROUND(D230/Assumptions!$F$7,Assumptions!$B$10)</f>
        <v>46463.4</v>
      </c>
      <c r="F230" s="18" t="n">
        <f aca="false">ROUND(E230*Assumptions!$C$7,Assumptions!$B$10)</f>
        <v>2555.49</v>
      </c>
      <c r="G230" s="18" t="n">
        <f aca="false">SUM(E230:F230)</f>
        <v>49018.89</v>
      </c>
      <c r="H230" s="18" t="n">
        <f aca="false">ROUND(G230-'Cohort Data'!H230,Assumptions!$B$10)</f>
        <v>15203.53</v>
      </c>
      <c r="I230" s="18" t="n">
        <f aca="false">CEILING(G230,Assumptions!$B$12)</f>
        <v>49100</v>
      </c>
      <c r="J230" s="18" t="n">
        <f aca="false">FLOOR(G230,Assumptions!$B$12)</f>
        <v>49000</v>
      </c>
      <c r="K230" s="18" t="n">
        <f aca="false">ROUNDUP(G230,Assumptions!$B$10)</f>
        <v>49018.89</v>
      </c>
      <c r="L230" s="18" t="n">
        <f aca="false">ROUNDDOWN(G230,Assumptions!$B$10)</f>
        <v>49018.89</v>
      </c>
      <c r="M230" s="19" t="n">
        <f aca="false">INT('Cohort Data'!E230/Assumptions!$B$11)</f>
        <v>1</v>
      </c>
    </row>
    <row r="231" customFormat="false" ht="15" hidden="false" customHeight="false" outlineLevel="0" collapsed="false">
      <c r="A231" s="2" t="s">
        <v>331</v>
      </c>
      <c r="B231" s="18" t="n">
        <f aca="false">IF('Cohort Data'!D231=Assumptions!$B$16,ROUND('Cohort Data'!L231*'Cohort Data'!K231*Assumptions!$F$5,Assumptions!$B$10),Assumptions!$B$13)</f>
        <v>0</v>
      </c>
      <c r="C231" s="18" t="n">
        <f aca="false">IF('Cohort Data'!D231=Assumptions!$B$16,ROUND('Cohort Data'!E231*Assumptions!$C$6,Assumptions!$B$10),Assumptions!$B$13)</f>
        <v>0</v>
      </c>
      <c r="D231" s="18" t="n">
        <f aca="false">SUM(B231:C231)</f>
        <v>0</v>
      </c>
      <c r="E231" s="18" t="n">
        <f aca="false">ROUND(D231/Assumptions!$F$7,Assumptions!$B$10)</f>
        <v>0</v>
      </c>
      <c r="F231" s="18" t="n">
        <f aca="false">ROUND(E231*Assumptions!$C$7,Assumptions!$B$10)</f>
        <v>0</v>
      </c>
      <c r="G231" s="18" t="n">
        <f aca="false">SUM(E231:F231)</f>
        <v>0</v>
      </c>
      <c r="H231" s="18" t="n">
        <f aca="false">ROUND(G231-'Cohort Data'!H231,Assumptions!$B$10)</f>
        <v>-42681.6</v>
      </c>
      <c r="I231" s="18" t="n">
        <f aca="false">CEILING(G231,Assumptions!$B$12)</f>
        <v>0</v>
      </c>
      <c r="J231" s="18" t="n">
        <f aca="false">FLOOR(G231,Assumptions!$B$12)</f>
        <v>0</v>
      </c>
      <c r="K231" s="18" t="n">
        <f aca="false">ROUNDUP(G231,Assumptions!$B$10)</f>
        <v>0</v>
      </c>
      <c r="L231" s="18" t="n">
        <f aca="false">ROUNDDOWN(G231,Assumptions!$B$10)</f>
        <v>0</v>
      </c>
      <c r="M231" s="19" t="n">
        <f aca="false">INT('Cohort Data'!E231/Assumptions!$B$11)</f>
        <v>1</v>
      </c>
    </row>
    <row r="232" customFormat="false" ht="15" hidden="false" customHeight="false" outlineLevel="0" collapsed="false">
      <c r="A232" s="2" t="s">
        <v>332</v>
      </c>
      <c r="B232" s="18" t="n">
        <f aca="false">IF('Cohort Data'!D232=Assumptions!$B$16,ROUND('Cohort Data'!L232*'Cohort Data'!K232*Assumptions!$F$5,Assumptions!$B$10),Assumptions!$B$13)</f>
        <v>48603.46</v>
      </c>
      <c r="C232" s="18" t="n">
        <f aca="false">IF('Cohort Data'!D232=Assumptions!$B$16,ROUND('Cohort Data'!E232*Assumptions!$C$6,Assumptions!$B$10),Assumptions!$B$13)</f>
        <v>6895</v>
      </c>
      <c r="D232" s="18" t="n">
        <f aca="false">SUM(B232:C232)</f>
        <v>55498.46</v>
      </c>
      <c r="E232" s="18" t="n">
        <f aca="false">ROUND(D232/Assumptions!$F$7,Assumptions!$B$10)</f>
        <v>54678.29</v>
      </c>
      <c r="F232" s="18" t="n">
        <f aca="false">ROUND(E232*Assumptions!$C$7,Assumptions!$B$10)</f>
        <v>3007.31</v>
      </c>
      <c r="G232" s="18" t="n">
        <f aca="false">SUM(E232:F232)</f>
        <v>57685.6</v>
      </c>
      <c r="H232" s="18" t="n">
        <f aca="false">ROUND(G232-'Cohort Data'!H232,Assumptions!$B$10)</f>
        <v>19431.35</v>
      </c>
      <c r="I232" s="18" t="n">
        <f aca="false">CEILING(G232,Assumptions!$B$12)</f>
        <v>57700</v>
      </c>
      <c r="J232" s="18" t="n">
        <f aca="false">FLOOR(G232,Assumptions!$B$12)</f>
        <v>57600</v>
      </c>
      <c r="K232" s="18" t="n">
        <f aca="false">ROUNDUP(G232,Assumptions!$B$10)</f>
        <v>57685.6</v>
      </c>
      <c r="L232" s="18" t="n">
        <f aca="false">ROUNDDOWN(G232,Assumptions!$B$10)</f>
        <v>57685.6</v>
      </c>
      <c r="M232" s="19" t="n">
        <f aca="false">INT('Cohort Data'!E232/Assumptions!$B$11)</f>
        <v>1</v>
      </c>
    </row>
    <row r="233" customFormat="false" ht="15" hidden="false" customHeight="false" outlineLevel="0" collapsed="false">
      <c r="A233" s="2" t="s">
        <v>333</v>
      </c>
      <c r="B233" s="18" t="n">
        <f aca="false">IF('Cohort Data'!D233=Assumptions!$B$16,ROUND('Cohort Data'!L233*'Cohort Data'!K233*Assumptions!$F$5,Assumptions!$B$10),Assumptions!$B$13)</f>
        <v>28058.1</v>
      </c>
      <c r="C233" s="18" t="n">
        <f aca="false">IF('Cohort Data'!D233=Assumptions!$B$16,ROUND('Cohort Data'!E233*Assumptions!$C$6,Assumptions!$B$10),Assumptions!$B$13)</f>
        <v>5110</v>
      </c>
      <c r="D233" s="18" t="n">
        <f aca="false">SUM(B233:C233)</f>
        <v>33168.1</v>
      </c>
      <c r="E233" s="18" t="n">
        <f aca="false">ROUND(D233/Assumptions!$F$7,Assumptions!$B$10)</f>
        <v>32677.93</v>
      </c>
      <c r="F233" s="18" t="n">
        <f aca="false">ROUND(E233*Assumptions!$C$7,Assumptions!$B$10)</f>
        <v>1797.29</v>
      </c>
      <c r="G233" s="18" t="n">
        <f aca="false">SUM(E233:F233)</f>
        <v>34475.22</v>
      </c>
      <c r="H233" s="18" t="n">
        <f aca="false">ROUND(G233-'Cohort Data'!H233,Assumptions!$B$10)</f>
        <v>12273.88</v>
      </c>
      <c r="I233" s="18" t="n">
        <f aca="false">CEILING(G233,Assumptions!$B$12)</f>
        <v>34500</v>
      </c>
      <c r="J233" s="18" t="n">
        <f aca="false">FLOOR(G233,Assumptions!$B$12)</f>
        <v>34400</v>
      </c>
      <c r="K233" s="18" t="n">
        <f aca="false">ROUNDUP(G233,Assumptions!$B$10)</f>
        <v>34475.22</v>
      </c>
      <c r="L233" s="18" t="n">
        <f aca="false">ROUNDDOWN(G233,Assumptions!$B$10)</f>
        <v>34475.22</v>
      </c>
      <c r="M233" s="19" t="n">
        <f aca="false">INT('Cohort Data'!E233/Assumptions!$B$11)</f>
        <v>1</v>
      </c>
    </row>
    <row r="234" customFormat="false" ht="15" hidden="false" customHeight="false" outlineLevel="0" collapsed="false">
      <c r="A234" s="2" t="s">
        <v>334</v>
      </c>
      <c r="B234" s="18" t="n">
        <f aca="false">IF('Cohort Data'!D234=Assumptions!$B$16,ROUND('Cohort Data'!L234*'Cohort Data'!K234*Assumptions!$F$5,Assumptions!$B$10),Assumptions!$B$13)</f>
        <v>93944.14</v>
      </c>
      <c r="C234" s="18" t="n">
        <f aca="false">IF('Cohort Data'!D234=Assumptions!$B$16,ROUND('Cohort Data'!E234*Assumptions!$C$6,Assumptions!$B$10),Assumptions!$B$13)</f>
        <v>7805</v>
      </c>
      <c r="D234" s="18" t="n">
        <f aca="false">SUM(B234:C234)</f>
        <v>101749.14</v>
      </c>
      <c r="E234" s="18" t="n">
        <f aca="false">ROUND(D234/Assumptions!$F$7,Assumptions!$B$10)</f>
        <v>100245.46</v>
      </c>
      <c r="F234" s="18" t="n">
        <f aca="false">ROUND(E234*Assumptions!$C$7,Assumptions!$B$10)</f>
        <v>5513.5</v>
      </c>
      <c r="G234" s="18" t="n">
        <f aca="false">SUM(E234:F234)</f>
        <v>105758.96</v>
      </c>
      <c r="H234" s="18" t="n">
        <f aca="false">ROUND(G234-'Cohort Data'!H234,Assumptions!$B$10)</f>
        <v>30295.76</v>
      </c>
      <c r="I234" s="18" t="n">
        <f aca="false">CEILING(G234,Assumptions!$B$12)</f>
        <v>105800</v>
      </c>
      <c r="J234" s="18" t="n">
        <f aca="false">FLOOR(G234,Assumptions!$B$12)</f>
        <v>105700</v>
      </c>
      <c r="K234" s="18" t="n">
        <f aca="false">ROUNDUP(G234,Assumptions!$B$10)</f>
        <v>105758.96</v>
      </c>
      <c r="L234" s="18" t="n">
        <f aca="false">ROUNDDOWN(G234,Assumptions!$B$10)</f>
        <v>105758.96</v>
      </c>
      <c r="M234" s="19" t="n">
        <f aca="false">INT('Cohort Data'!E234/Assumptions!$B$11)</f>
        <v>2</v>
      </c>
    </row>
    <row r="235" customFormat="false" ht="15" hidden="false" customHeight="false" outlineLevel="0" collapsed="false">
      <c r="A235" s="2" t="s">
        <v>335</v>
      </c>
      <c r="B235" s="18" t="n">
        <f aca="false">IF('Cohort Data'!D235=Assumptions!$B$16,ROUND('Cohort Data'!L235*'Cohort Data'!K235*Assumptions!$F$5,Assumptions!$B$10),Assumptions!$B$13)</f>
        <v>55696.61</v>
      </c>
      <c r="C235" s="18" t="n">
        <f aca="false">IF('Cohort Data'!D235=Assumptions!$B$16,ROUND('Cohort Data'!E235*Assumptions!$C$6,Assumptions!$B$10),Assumptions!$B$13)</f>
        <v>6615</v>
      </c>
      <c r="D235" s="18" t="n">
        <f aca="false">SUM(B235:C235)</f>
        <v>62311.61</v>
      </c>
      <c r="E235" s="18" t="n">
        <f aca="false">ROUND(D235/Assumptions!$F$7,Assumptions!$B$10)</f>
        <v>61390.75</v>
      </c>
      <c r="F235" s="18" t="n">
        <f aca="false">ROUND(E235*Assumptions!$C$7,Assumptions!$B$10)</f>
        <v>3376.49</v>
      </c>
      <c r="G235" s="18" t="n">
        <f aca="false">SUM(E235:F235)</f>
        <v>64767.24</v>
      </c>
      <c r="H235" s="18" t="n">
        <f aca="false">ROUND(G235-'Cohort Data'!H235,Assumptions!$B$10)</f>
        <v>17630.64</v>
      </c>
      <c r="I235" s="18" t="n">
        <f aca="false">CEILING(G235,Assumptions!$B$12)</f>
        <v>64800</v>
      </c>
      <c r="J235" s="18" t="n">
        <f aca="false">FLOOR(G235,Assumptions!$B$12)</f>
        <v>64700</v>
      </c>
      <c r="K235" s="18" t="n">
        <f aca="false">ROUNDUP(G235,Assumptions!$B$10)</f>
        <v>64767.24</v>
      </c>
      <c r="L235" s="18" t="n">
        <f aca="false">ROUNDDOWN(G235,Assumptions!$B$10)</f>
        <v>64767.24</v>
      </c>
      <c r="M235" s="19" t="n">
        <f aca="false">INT('Cohort Data'!E235/Assumptions!$B$11)</f>
        <v>1</v>
      </c>
    </row>
    <row r="236" customFormat="false" ht="15" hidden="false" customHeight="false" outlineLevel="0" collapsed="false">
      <c r="A236" s="2" t="s">
        <v>336</v>
      </c>
      <c r="B236" s="18" t="n">
        <f aca="false">IF('Cohort Data'!D236=Assumptions!$B$16,ROUND('Cohort Data'!L236*'Cohort Data'!K236*Assumptions!$F$5,Assumptions!$B$10),Assumptions!$B$13)</f>
        <v>63947.5</v>
      </c>
      <c r="C236" s="18" t="n">
        <f aca="false">IF('Cohort Data'!D236=Assumptions!$B$16,ROUND('Cohort Data'!E236*Assumptions!$C$6,Assumptions!$B$10),Assumptions!$B$13)</f>
        <v>8470</v>
      </c>
      <c r="D236" s="18" t="n">
        <f aca="false">SUM(B236:C236)</f>
        <v>72417.5</v>
      </c>
      <c r="E236" s="18" t="n">
        <f aca="false">ROUND(D236/Assumptions!$F$7,Assumptions!$B$10)</f>
        <v>71347.29</v>
      </c>
      <c r="F236" s="18" t="n">
        <f aca="false">ROUND(E236*Assumptions!$C$7,Assumptions!$B$10)</f>
        <v>3924.1</v>
      </c>
      <c r="G236" s="18" t="n">
        <f aca="false">SUM(E236:F236)</f>
        <v>75271.39</v>
      </c>
      <c r="H236" s="18" t="n">
        <f aca="false">ROUND(G236-'Cohort Data'!H236,Assumptions!$B$10)</f>
        <v>27834.55</v>
      </c>
      <c r="I236" s="18" t="n">
        <f aca="false">CEILING(G236,Assumptions!$B$12)</f>
        <v>75300</v>
      </c>
      <c r="J236" s="18" t="n">
        <f aca="false">FLOOR(G236,Assumptions!$B$12)</f>
        <v>75200</v>
      </c>
      <c r="K236" s="18" t="n">
        <f aca="false">ROUNDUP(G236,Assumptions!$B$10)</f>
        <v>75271.39</v>
      </c>
      <c r="L236" s="18" t="n">
        <f aca="false">ROUNDDOWN(G236,Assumptions!$B$10)</f>
        <v>75271.39</v>
      </c>
      <c r="M236" s="19" t="n">
        <f aca="false">INT('Cohort Data'!E236/Assumptions!$B$11)</f>
        <v>2</v>
      </c>
    </row>
    <row r="237" customFormat="false" ht="15" hidden="false" customHeight="false" outlineLevel="0" collapsed="false">
      <c r="A237" s="2" t="s">
        <v>337</v>
      </c>
      <c r="B237" s="18" t="n">
        <f aca="false">IF('Cohort Data'!D237=Assumptions!$B$16,ROUND('Cohort Data'!L237*'Cohort Data'!K237*Assumptions!$F$5,Assumptions!$B$10),Assumptions!$B$13)</f>
        <v>56961.64</v>
      </c>
      <c r="C237" s="18" t="n">
        <f aca="false">IF('Cohort Data'!D237=Assumptions!$B$16,ROUND('Cohort Data'!E237*Assumptions!$C$6,Assumptions!$B$10),Assumptions!$B$13)</f>
        <v>5425</v>
      </c>
      <c r="D237" s="18" t="n">
        <f aca="false">SUM(B237:C237)</f>
        <v>62386.64</v>
      </c>
      <c r="E237" s="18" t="n">
        <f aca="false">ROUND(D237/Assumptions!$F$7,Assumptions!$B$10)</f>
        <v>61464.67</v>
      </c>
      <c r="F237" s="18" t="n">
        <f aca="false">ROUND(E237*Assumptions!$C$7,Assumptions!$B$10)</f>
        <v>3380.56</v>
      </c>
      <c r="G237" s="18" t="n">
        <f aca="false">SUM(E237:F237)</f>
        <v>64845.23</v>
      </c>
      <c r="H237" s="18" t="n">
        <f aca="false">ROUND(G237-'Cohort Data'!H237,Assumptions!$B$10)</f>
        <v>20919.47</v>
      </c>
      <c r="I237" s="18" t="n">
        <f aca="false">CEILING(G237,Assumptions!$B$12)</f>
        <v>64900</v>
      </c>
      <c r="J237" s="18" t="n">
        <f aca="false">FLOOR(G237,Assumptions!$B$12)</f>
        <v>64800</v>
      </c>
      <c r="K237" s="18" t="n">
        <f aca="false">ROUNDUP(G237,Assumptions!$B$10)</f>
        <v>64845.23</v>
      </c>
      <c r="L237" s="18" t="n">
        <f aca="false">ROUNDDOWN(G237,Assumptions!$B$10)</f>
        <v>64845.23</v>
      </c>
      <c r="M237" s="19" t="n">
        <f aca="false">INT('Cohort Data'!E237/Assumptions!$B$11)</f>
        <v>1</v>
      </c>
    </row>
    <row r="238" customFormat="false" ht="15" hidden="false" customHeight="false" outlineLevel="0" collapsed="false">
      <c r="A238" s="2" t="s">
        <v>338</v>
      </c>
      <c r="B238" s="18" t="n">
        <f aca="false">IF('Cohort Data'!D238=Assumptions!$B$16,ROUND('Cohort Data'!L238*'Cohort Data'!K238*Assumptions!$F$5,Assumptions!$B$10),Assumptions!$B$13)</f>
        <v>24260.61</v>
      </c>
      <c r="C238" s="18" t="n">
        <f aca="false">IF('Cohort Data'!D238=Assumptions!$B$16,ROUND('Cohort Data'!E238*Assumptions!$C$6,Assumptions!$B$10),Assumptions!$B$13)</f>
        <v>6195</v>
      </c>
      <c r="D238" s="18" t="n">
        <f aca="false">SUM(B238:C238)</f>
        <v>30455.61</v>
      </c>
      <c r="E238" s="18" t="n">
        <f aca="false">ROUND(D238/Assumptions!$F$7,Assumptions!$B$10)</f>
        <v>30005.53</v>
      </c>
      <c r="F238" s="18" t="n">
        <f aca="false">ROUND(E238*Assumptions!$C$7,Assumptions!$B$10)</f>
        <v>1650.3</v>
      </c>
      <c r="G238" s="18" t="n">
        <f aca="false">SUM(E238:F238)</f>
        <v>31655.83</v>
      </c>
      <c r="H238" s="18" t="n">
        <f aca="false">ROUND(G238-'Cohort Data'!H238,Assumptions!$B$10)</f>
        <v>12561.07</v>
      </c>
      <c r="I238" s="18" t="n">
        <f aca="false">CEILING(G238,Assumptions!$B$12)</f>
        <v>31700</v>
      </c>
      <c r="J238" s="18" t="n">
        <f aca="false">FLOOR(G238,Assumptions!$B$12)</f>
        <v>31600</v>
      </c>
      <c r="K238" s="18" t="n">
        <f aca="false">ROUNDUP(G238,Assumptions!$B$10)</f>
        <v>31655.83</v>
      </c>
      <c r="L238" s="18" t="n">
        <f aca="false">ROUNDDOWN(G238,Assumptions!$B$10)</f>
        <v>31655.83</v>
      </c>
      <c r="M238" s="19" t="n">
        <f aca="false">INT('Cohort Data'!E238/Assumptions!$B$11)</f>
        <v>1</v>
      </c>
    </row>
    <row r="239" customFormat="false" ht="15" hidden="false" customHeight="false" outlineLevel="0" collapsed="false">
      <c r="A239" s="2" t="s">
        <v>339</v>
      </c>
      <c r="B239" s="18" t="n">
        <f aca="false">IF('Cohort Data'!D239=Assumptions!$B$16,ROUND('Cohort Data'!L239*'Cohort Data'!K239*Assumptions!$F$5,Assumptions!$B$10),Assumptions!$B$13)</f>
        <v>19898.51</v>
      </c>
      <c r="C239" s="18" t="n">
        <f aca="false">IF('Cohort Data'!D239=Assumptions!$B$16,ROUND('Cohort Data'!E239*Assumptions!$C$6,Assumptions!$B$10),Assumptions!$B$13)</f>
        <v>2485</v>
      </c>
      <c r="D239" s="18" t="n">
        <f aca="false">SUM(B239:C239)</f>
        <v>22383.51</v>
      </c>
      <c r="E239" s="18" t="n">
        <f aca="false">ROUND(D239/Assumptions!$F$7,Assumptions!$B$10)</f>
        <v>22052.72</v>
      </c>
      <c r="F239" s="18" t="n">
        <f aca="false">ROUND(E239*Assumptions!$C$7,Assumptions!$B$10)</f>
        <v>1212.9</v>
      </c>
      <c r="G239" s="18" t="n">
        <f aca="false">SUM(E239:F239)</f>
        <v>23265.62</v>
      </c>
      <c r="H239" s="18" t="n">
        <f aca="false">ROUND(G239-'Cohort Data'!H239,Assumptions!$B$10)</f>
        <v>7848.68</v>
      </c>
      <c r="I239" s="18" t="n">
        <f aca="false">CEILING(G239,Assumptions!$B$12)</f>
        <v>23300</v>
      </c>
      <c r="J239" s="18" t="n">
        <f aca="false">FLOOR(G239,Assumptions!$B$12)</f>
        <v>23200</v>
      </c>
      <c r="K239" s="18" t="n">
        <f aca="false">ROUNDUP(G239,Assumptions!$B$10)</f>
        <v>23265.63</v>
      </c>
      <c r="L239" s="18" t="n">
        <f aca="false">ROUNDDOWN(G239,Assumptions!$B$10)</f>
        <v>23265.62</v>
      </c>
      <c r="M239" s="19" t="n">
        <f aca="false">INT('Cohort Data'!E239/Assumptions!$B$11)</f>
        <v>0</v>
      </c>
    </row>
    <row r="240" customFormat="false" ht="15" hidden="false" customHeight="false" outlineLevel="0" collapsed="false">
      <c r="A240" s="2" t="s">
        <v>340</v>
      </c>
      <c r="B240" s="18" t="n">
        <f aca="false">IF('Cohort Data'!D240=Assumptions!$B$16,ROUND('Cohort Data'!L240*'Cohort Data'!K240*Assumptions!$F$5,Assumptions!$B$10),Assumptions!$B$13)</f>
        <v>77173.84</v>
      </c>
      <c r="C240" s="18" t="n">
        <f aca="false">IF('Cohort Data'!D240=Assumptions!$B$16,ROUND('Cohort Data'!E240*Assumptions!$C$6,Assumptions!$B$10),Assumptions!$B$13)</f>
        <v>7175</v>
      </c>
      <c r="D240" s="18" t="n">
        <f aca="false">SUM(B240:C240)</f>
        <v>84348.84</v>
      </c>
      <c r="E240" s="18" t="n">
        <f aca="false">ROUND(D240/Assumptions!$F$7,Assumptions!$B$10)</f>
        <v>83102.31</v>
      </c>
      <c r="F240" s="18" t="n">
        <f aca="false">ROUND(E240*Assumptions!$C$7,Assumptions!$B$10)</f>
        <v>4570.63</v>
      </c>
      <c r="G240" s="18" t="n">
        <f aca="false">SUM(E240:F240)</f>
        <v>87672.94</v>
      </c>
      <c r="H240" s="18" t="n">
        <f aca="false">ROUND(G240-'Cohort Data'!H240,Assumptions!$B$10)</f>
        <v>30640.3</v>
      </c>
      <c r="I240" s="18" t="n">
        <f aca="false">CEILING(G240,Assumptions!$B$12)</f>
        <v>87700</v>
      </c>
      <c r="J240" s="18" t="n">
        <f aca="false">FLOOR(G240,Assumptions!$B$12)</f>
        <v>87600</v>
      </c>
      <c r="K240" s="18" t="n">
        <f aca="false">ROUNDUP(G240,Assumptions!$B$10)</f>
        <v>87672.94</v>
      </c>
      <c r="L240" s="18" t="n">
        <f aca="false">ROUNDDOWN(G240,Assumptions!$B$10)</f>
        <v>87672.94</v>
      </c>
      <c r="M240" s="19" t="n">
        <f aca="false">INT('Cohort Data'!E240/Assumptions!$B$11)</f>
        <v>2</v>
      </c>
    </row>
    <row r="241" customFormat="false" ht="15" hidden="false" customHeight="false" outlineLevel="0" collapsed="false">
      <c r="A241" s="2" t="s">
        <v>341</v>
      </c>
      <c r="B241" s="18" t="n">
        <f aca="false">IF('Cohort Data'!D241=Assumptions!$B$16,ROUND('Cohort Data'!L241*'Cohort Data'!K241*Assumptions!$F$5,Assumptions!$B$10),Assumptions!$B$13)</f>
        <v>61199.79</v>
      </c>
      <c r="C241" s="18" t="n">
        <f aca="false">IF('Cohort Data'!D241=Assumptions!$B$16,ROUND('Cohort Data'!E241*Assumptions!$C$6,Assumptions!$B$10),Assumptions!$B$13)</f>
        <v>6650</v>
      </c>
      <c r="D241" s="18" t="n">
        <f aca="false">SUM(B241:C241)</f>
        <v>67849.79</v>
      </c>
      <c r="E241" s="18" t="n">
        <f aca="false">ROUND(D241/Assumptions!$F$7,Assumptions!$B$10)</f>
        <v>66847.08</v>
      </c>
      <c r="F241" s="18" t="n">
        <f aca="false">ROUND(E241*Assumptions!$C$7,Assumptions!$B$10)</f>
        <v>3676.59</v>
      </c>
      <c r="G241" s="18" t="n">
        <f aca="false">SUM(E241:F241)</f>
        <v>70523.67</v>
      </c>
      <c r="H241" s="18" t="n">
        <f aca="false">ROUND(G241-'Cohort Data'!H241,Assumptions!$B$10)</f>
        <v>19765.55</v>
      </c>
      <c r="I241" s="18" t="n">
        <f aca="false">CEILING(G241,Assumptions!$B$12)</f>
        <v>70600</v>
      </c>
      <c r="J241" s="18" t="n">
        <f aca="false">FLOOR(G241,Assumptions!$B$12)</f>
        <v>70500</v>
      </c>
      <c r="K241" s="18" t="n">
        <f aca="false">ROUNDUP(G241,Assumptions!$B$10)</f>
        <v>70523.67</v>
      </c>
      <c r="L241" s="18" t="n">
        <f aca="false">ROUNDDOWN(G241,Assumptions!$B$10)</f>
        <v>70523.67</v>
      </c>
      <c r="M241" s="19" t="n">
        <f aca="false">INT('Cohort Data'!E241/Assumptions!$B$11)</f>
        <v>1</v>
      </c>
    </row>
    <row r="242" customFormat="false" ht="15" hidden="false" customHeight="false" outlineLevel="0" collapsed="false">
      <c r="A242" s="2" t="s">
        <v>342</v>
      </c>
      <c r="B242" s="18" t="n">
        <f aca="false">IF('Cohort Data'!D242=Assumptions!$B$16,ROUND('Cohort Data'!L242*'Cohort Data'!K242*Assumptions!$F$5,Assumptions!$B$10),Assumptions!$B$13)</f>
        <v>44345.26</v>
      </c>
      <c r="C242" s="18" t="n">
        <f aca="false">IF('Cohort Data'!D242=Assumptions!$B$16,ROUND('Cohort Data'!E242*Assumptions!$C$6,Assumptions!$B$10),Assumptions!$B$13)</f>
        <v>4970</v>
      </c>
      <c r="D242" s="18" t="n">
        <f aca="false">SUM(B242:C242)</f>
        <v>49315.26</v>
      </c>
      <c r="E242" s="18" t="n">
        <f aca="false">ROUND(D242/Assumptions!$F$7,Assumptions!$B$10)</f>
        <v>48586.46</v>
      </c>
      <c r="F242" s="18" t="n">
        <f aca="false">ROUND(E242*Assumptions!$C$7,Assumptions!$B$10)</f>
        <v>2672.26</v>
      </c>
      <c r="G242" s="18" t="n">
        <f aca="false">SUM(E242:F242)</f>
        <v>51258.72</v>
      </c>
      <c r="H242" s="18" t="n">
        <f aca="false">ROUND(G242-'Cohort Data'!H242,Assumptions!$B$10)</f>
        <v>18363</v>
      </c>
      <c r="I242" s="18" t="n">
        <f aca="false">CEILING(G242,Assumptions!$B$12)</f>
        <v>51300</v>
      </c>
      <c r="J242" s="18" t="n">
        <f aca="false">FLOOR(G242,Assumptions!$B$12)</f>
        <v>51200</v>
      </c>
      <c r="K242" s="18" t="n">
        <f aca="false">ROUNDUP(G242,Assumptions!$B$10)</f>
        <v>51258.72</v>
      </c>
      <c r="L242" s="18" t="n">
        <f aca="false">ROUNDDOWN(G242,Assumptions!$B$10)</f>
        <v>51258.72</v>
      </c>
      <c r="M242" s="19" t="n">
        <f aca="false">INT('Cohort Data'!E242/Assumptions!$B$11)</f>
        <v>1</v>
      </c>
    </row>
    <row r="243" customFormat="false" ht="15" hidden="false" customHeight="false" outlineLevel="0" collapsed="false">
      <c r="A243" s="2" t="s">
        <v>343</v>
      </c>
      <c r="B243" s="18" t="n">
        <f aca="false">IF('Cohort Data'!D243=Assumptions!$B$16,ROUND('Cohort Data'!L243*'Cohort Data'!K243*Assumptions!$F$5,Assumptions!$B$10),Assumptions!$B$13)</f>
        <v>45390.05</v>
      </c>
      <c r="C243" s="18" t="n">
        <f aca="false">IF('Cohort Data'!D243=Assumptions!$B$16,ROUND('Cohort Data'!E243*Assumptions!$C$6,Assumptions!$B$10),Assumptions!$B$13)</f>
        <v>7385</v>
      </c>
      <c r="D243" s="18" t="n">
        <f aca="false">SUM(B243:C243)</f>
        <v>52775.05</v>
      </c>
      <c r="E243" s="18" t="n">
        <f aca="false">ROUND(D243/Assumptions!$F$7,Assumptions!$B$10)</f>
        <v>51995.12</v>
      </c>
      <c r="F243" s="18" t="n">
        <f aca="false">ROUND(E243*Assumptions!$C$7,Assumptions!$B$10)</f>
        <v>2859.73</v>
      </c>
      <c r="G243" s="18" t="n">
        <f aca="false">SUM(E243:F243)</f>
        <v>54854.85</v>
      </c>
      <c r="H243" s="18" t="n">
        <f aca="false">ROUND(G243-'Cohort Data'!H243,Assumptions!$B$10)</f>
        <v>20581.7</v>
      </c>
      <c r="I243" s="18" t="n">
        <f aca="false">CEILING(G243,Assumptions!$B$12)</f>
        <v>54900</v>
      </c>
      <c r="J243" s="18" t="n">
        <f aca="false">FLOOR(G243,Assumptions!$B$12)</f>
        <v>54800</v>
      </c>
      <c r="K243" s="18" t="n">
        <f aca="false">ROUNDUP(G243,Assumptions!$B$10)</f>
        <v>54854.86</v>
      </c>
      <c r="L243" s="18" t="n">
        <f aca="false">ROUNDDOWN(G243,Assumptions!$B$10)</f>
        <v>54854.85</v>
      </c>
      <c r="M243" s="19" t="n">
        <f aca="false">INT('Cohort Data'!E243/Assumptions!$B$11)</f>
        <v>2</v>
      </c>
    </row>
    <row r="244" customFormat="false" ht="15" hidden="false" customHeight="false" outlineLevel="0" collapsed="false">
      <c r="A244" s="2" t="s">
        <v>344</v>
      </c>
      <c r="B244" s="18" t="n">
        <f aca="false">IF('Cohort Data'!D244=Assumptions!$B$16,ROUND('Cohort Data'!L244*'Cohort Data'!K244*Assumptions!$F$5,Assumptions!$B$10),Assumptions!$B$13)</f>
        <v>16393.05</v>
      </c>
      <c r="C244" s="18" t="n">
        <f aca="false">IF('Cohort Data'!D244=Assumptions!$B$16,ROUND('Cohort Data'!E244*Assumptions!$C$6,Assumptions!$B$10),Assumptions!$B$13)</f>
        <v>3220</v>
      </c>
      <c r="D244" s="18" t="n">
        <f aca="false">SUM(B244:C244)</f>
        <v>19613.05</v>
      </c>
      <c r="E244" s="18" t="n">
        <f aca="false">ROUND(D244/Assumptions!$F$7,Assumptions!$B$10)</f>
        <v>19323.2</v>
      </c>
      <c r="F244" s="18" t="n">
        <f aca="false">ROUND(E244*Assumptions!$C$7,Assumptions!$B$10)</f>
        <v>1062.78</v>
      </c>
      <c r="G244" s="18" t="n">
        <f aca="false">SUM(E244:F244)</f>
        <v>20385.98</v>
      </c>
      <c r="H244" s="18" t="n">
        <f aca="false">ROUND(G244-'Cohort Data'!H244,Assumptions!$B$10)</f>
        <v>6789.85</v>
      </c>
      <c r="I244" s="18" t="n">
        <f aca="false">CEILING(G244,Assumptions!$B$12)</f>
        <v>20400</v>
      </c>
      <c r="J244" s="18" t="n">
        <f aca="false">FLOOR(G244,Assumptions!$B$12)</f>
        <v>20300</v>
      </c>
      <c r="K244" s="18" t="n">
        <f aca="false">ROUNDUP(G244,Assumptions!$B$10)</f>
        <v>20385.98</v>
      </c>
      <c r="L244" s="18" t="n">
        <f aca="false">ROUNDDOWN(G244,Assumptions!$B$10)</f>
        <v>20385.98</v>
      </c>
      <c r="M244" s="19" t="n">
        <f aca="false">INT('Cohort Data'!E244/Assumptions!$B$11)</f>
        <v>0</v>
      </c>
    </row>
    <row r="245" customFormat="false" ht="15" hidden="false" customHeight="false" outlineLevel="0" collapsed="false">
      <c r="A245" s="2" t="s">
        <v>345</v>
      </c>
      <c r="B245" s="18" t="n">
        <f aca="false">IF('Cohort Data'!D245=Assumptions!$B$16,ROUND('Cohort Data'!L245*'Cohort Data'!K245*Assumptions!$F$5,Assumptions!$B$10),Assumptions!$B$13)</f>
        <v>36465.93</v>
      </c>
      <c r="C245" s="18" t="n">
        <f aca="false">IF('Cohort Data'!D245=Assumptions!$B$16,ROUND('Cohort Data'!E245*Assumptions!$C$6,Assumptions!$B$10),Assumptions!$B$13)</f>
        <v>4830</v>
      </c>
      <c r="D245" s="18" t="n">
        <f aca="false">SUM(B245:C245)</f>
        <v>41295.93</v>
      </c>
      <c r="E245" s="18" t="n">
        <f aca="false">ROUND(D245/Assumptions!$F$7,Assumptions!$B$10)</f>
        <v>40685.65</v>
      </c>
      <c r="F245" s="18" t="n">
        <f aca="false">ROUND(E245*Assumptions!$C$7,Assumptions!$B$10)</f>
        <v>2237.71</v>
      </c>
      <c r="G245" s="18" t="n">
        <f aca="false">SUM(E245:F245)</f>
        <v>42923.36</v>
      </c>
      <c r="H245" s="18" t="n">
        <f aca="false">ROUND(G245-'Cohort Data'!H245,Assumptions!$B$10)</f>
        <v>13768.65</v>
      </c>
      <c r="I245" s="18" t="n">
        <f aca="false">CEILING(G245,Assumptions!$B$12)</f>
        <v>43000</v>
      </c>
      <c r="J245" s="18" t="n">
        <f aca="false">FLOOR(G245,Assumptions!$B$12)</f>
        <v>42900</v>
      </c>
      <c r="K245" s="18" t="n">
        <f aca="false">ROUNDUP(G245,Assumptions!$B$10)</f>
        <v>42923.36</v>
      </c>
      <c r="L245" s="18" t="n">
        <f aca="false">ROUNDDOWN(G245,Assumptions!$B$10)</f>
        <v>42923.36</v>
      </c>
      <c r="M245" s="19" t="n">
        <f aca="false">INT('Cohort Data'!E245/Assumptions!$B$11)</f>
        <v>1</v>
      </c>
    </row>
    <row r="246" customFormat="false" ht="15" hidden="false" customHeight="false" outlineLevel="0" collapsed="false">
      <c r="A246" s="2" t="s">
        <v>346</v>
      </c>
      <c r="B246" s="18" t="n">
        <f aca="false">IF('Cohort Data'!D246=Assumptions!$B$16,ROUND('Cohort Data'!L246*'Cohort Data'!K246*Assumptions!$F$5,Assumptions!$B$10),Assumptions!$B$13)</f>
        <v>50194.37</v>
      </c>
      <c r="C246" s="18" t="n">
        <f aca="false">IF('Cohort Data'!D246=Assumptions!$B$16,ROUND('Cohort Data'!E246*Assumptions!$C$6,Assumptions!$B$10),Assumptions!$B$13)</f>
        <v>7000</v>
      </c>
      <c r="D246" s="18" t="n">
        <f aca="false">SUM(B246:C246)</f>
        <v>57194.37</v>
      </c>
      <c r="E246" s="18" t="n">
        <f aca="false">ROUND(D246/Assumptions!$F$7,Assumptions!$B$10)</f>
        <v>56349.13</v>
      </c>
      <c r="F246" s="18" t="n">
        <f aca="false">ROUND(E246*Assumptions!$C$7,Assumptions!$B$10)</f>
        <v>3099.2</v>
      </c>
      <c r="G246" s="18" t="n">
        <f aca="false">SUM(E246:F246)</f>
        <v>59448.33</v>
      </c>
      <c r="H246" s="18" t="n">
        <f aca="false">ROUND(G246-'Cohort Data'!H246,Assumptions!$B$10)</f>
        <v>20741.13</v>
      </c>
      <c r="I246" s="18" t="n">
        <f aca="false">CEILING(G246,Assumptions!$B$12)</f>
        <v>59500</v>
      </c>
      <c r="J246" s="18" t="n">
        <f aca="false">FLOOR(G246,Assumptions!$B$12)</f>
        <v>59400</v>
      </c>
      <c r="K246" s="18" t="n">
        <f aca="false">ROUNDUP(G246,Assumptions!$B$10)</f>
        <v>59448.33</v>
      </c>
      <c r="L246" s="18" t="n">
        <f aca="false">ROUNDDOWN(G246,Assumptions!$B$10)</f>
        <v>59448.32</v>
      </c>
      <c r="M246" s="19" t="n">
        <f aca="false">INT('Cohort Data'!E246/Assumptions!$B$11)</f>
        <v>2</v>
      </c>
    </row>
    <row r="247" customFormat="false" ht="15" hidden="false" customHeight="false" outlineLevel="0" collapsed="false">
      <c r="A247" s="2" t="s">
        <v>347</v>
      </c>
      <c r="B247" s="18" t="n">
        <f aca="false">IF('Cohort Data'!D247=Assumptions!$B$16,ROUND('Cohort Data'!L247*'Cohort Data'!K247*Assumptions!$F$5,Assumptions!$B$10),Assumptions!$B$13)</f>
        <v>44121.42</v>
      </c>
      <c r="C247" s="18" t="n">
        <f aca="false">IF('Cohort Data'!D247=Assumptions!$B$16,ROUND('Cohort Data'!E247*Assumptions!$C$6,Assumptions!$B$10),Assumptions!$B$13)</f>
        <v>7770</v>
      </c>
      <c r="D247" s="18" t="n">
        <f aca="false">SUM(B247:C247)</f>
        <v>51891.42</v>
      </c>
      <c r="E247" s="18" t="n">
        <f aca="false">ROUND(D247/Assumptions!$F$7,Assumptions!$B$10)</f>
        <v>51124.55</v>
      </c>
      <c r="F247" s="18" t="n">
        <f aca="false">ROUND(E247*Assumptions!$C$7,Assumptions!$B$10)</f>
        <v>2811.85</v>
      </c>
      <c r="G247" s="18" t="n">
        <f aca="false">SUM(E247:F247)</f>
        <v>53936.4</v>
      </c>
      <c r="H247" s="18" t="n">
        <f aca="false">ROUND(G247-'Cohort Data'!H247,Assumptions!$B$10)</f>
        <v>18089.62</v>
      </c>
      <c r="I247" s="18" t="n">
        <f aca="false">CEILING(G247,Assumptions!$B$12)</f>
        <v>54000</v>
      </c>
      <c r="J247" s="18" t="n">
        <f aca="false">FLOOR(G247,Assumptions!$B$12)</f>
        <v>53900</v>
      </c>
      <c r="K247" s="18" t="n">
        <f aca="false">ROUNDUP(G247,Assumptions!$B$10)</f>
        <v>53936.4</v>
      </c>
      <c r="L247" s="18" t="n">
        <f aca="false">ROUNDDOWN(G247,Assumptions!$B$10)</f>
        <v>53936.4</v>
      </c>
      <c r="M247" s="19" t="n">
        <f aca="false">INT('Cohort Data'!E247/Assumptions!$B$11)</f>
        <v>2</v>
      </c>
    </row>
    <row r="248" customFormat="false" ht="15" hidden="false" customHeight="false" outlineLevel="0" collapsed="false">
      <c r="A248" s="2" t="s">
        <v>348</v>
      </c>
      <c r="B248" s="18" t="n">
        <f aca="false">IF('Cohort Data'!D248=Assumptions!$B$16,ROUND('Cohort Data'!L248*'Cohort Data'!K248*Assumptions!$F$5,Assumptions!$B$10),Assumptions!$B$13)</f>
        <v>56284.37</v>
      </c>
      <c r="C248" s="18" t="n">
        <f aca="false">IF('Cohort Data'!D248=Assumptions!$B$16,ROUND('Cohort Data'!E248*Assumptions!$C$6,Assumptions!$B$10),Assumptions!$B$13)</f>
        <v>7455</v>
      </c>
      <c r="D248" s="18" t="n">
        <f aca="false">SUM(B248:C248)</f>
        <v>63739.37</v>
      </c>
      <c r="E248" s="18" t="n">
        <f aca="false">ROUND(D248/Assumptions!$F$7,Assumptions!$B$10)</f>
        <v>62797.41</v>
      </c>
      <c r="F248" s="18" t="n">
        <f aca="false">ROUND(E248*Assumptions!$C$7,Assumptions!$B$10)</f>
        <v>3453.86</v>
      </c>
      <c r="G248" s="18" t="n">
        <f aca="false">SUM(E248:F248)</f>
        <v>66251.27</v>
      </c>
      <c r="H248" s="18" t="n">
        <f aca="false">ROUND(G248-'Cohort Data'!H248,Assumptions!$B$10)</f>
        <v>24499.01</v>
      </c>
      <c r="I248" s="18" t="n">
        <f aca="false">CEILING(G248,Assumptions!$B$12)</f>
        <v>66300</v>
      </c>
      <c r="J248" s="18" t="n">
        <f aca="false">FLOOR(G248,Assumptions!$B$12)</f>
        <v>66200</v>
      </c>
      <c r="K248" s="18" t="n">
        <f aca="false">ROUNDUP(G248,Assumptions!$B$10)</f>
        <v>66251.27</v>
      </c>
      <c r="L248" s="18" t="n">
        <f aca="false">ROUNDDOWN(G248,Assumptions!$B$10)</f>
        <v>66251.27</v>
      </c>
      <c r="M248" s="19" t="n">
        <f aca="false">INT('Cohort Data'!E248/Assumptions!$B$11)</f>
        <v>2</v>
      </c>
    </row>
    <row r="249" customFormat="false" ht="15" hidden="false" customHeight="false" outlineLevel="0" collapsed="false">
      <c r="A249" s="2" t="s">
        <v>349</v>
      </c>
      <c r="B249" s="18" t="n">
        <f aca="false">IF('Cohort Data'!D249=Assumptions!$B$16,ROUND('Cohort Data'!L249*'Cohort Data'!K249*Assumptions!$F$5,Assumptions!$B$10),Assumptions!$B$13)</f>
        <v>35351.18</v>
      </c>
      <c r="C249" s="18" t="n">
        <f aca="false">IF('Cohort Data'!D249=Assumptions!$B$16,ROUND('Cohort Data'!E249*Assumptions!$C$6,Assumptions!$B$10),Assumptions!$B$13)</f>
        <v>4060</v>
      </c>
      <c r="D249" s="18" t="n">
        <f aca="false">SUM(B249:C249)</f>
        <v>39411.18</v>
      </c>
      <c r="E249" s="18" t="n">
        <f aca="false">ROUND(D249/Assumptions!$F$7,Assumptions!$B$10)</f>
        <v>38828.75</v>
      </c>
      <c r="F249" s="18" t="n">
        <f aca="false">ROUND(E249*Assumptions!$C$7,Assumptions!$B$10)</f>
        <v>2135.58</v>
      </c>
      <c r="G249" s="18" t="n">
        <f aca="false">SUM(E249:F249)</f>
        <v>40964.33</v>
      </c>
      <c r="H249" s="18" t="n">
        <f aca="false">ROUND(G249-'Cohort Data'!H249,Assumptions!$B$10)</f>
        <v>15407.21</v>
      </c>
      <c r="I249" s="18" t="n">
        <f aca="false">CEILING(G249,Assumptions!$B$12)</f>
        <v>41000</v>
      </c>
      <c r="J249" s="18" t="n">
        <f aca="false">FLOOR(G249,Assumptions!$B$12)</f>
        <v>40900</v>
      </c>
      <c r="K249" s="18" t="n">
        <f aca="false">ROUNDUP(G249,Assumptions!$B$10)</f>
        <v>40964.33</v>
      </c>
      <c r="L249" s="18" t="n">
        <f aca="false">ROUNDDOWN(G249,Assumptions!$B$10)</f>
        <v>40964.33</v>
      </c>
      <c r="M249" s="19" t="n">
        <f aca="false">INT('Cohort Data'!E249/Assumptions!$B$11)</f>
        <v>1</v>
      </c>
    </row>
    <row r="250" customFormat="false" ht="15" hidden="false" customHeight="false" outlineLevel="0" collapsed="false">
      <c r="A250" s="2" t="s">
        <v>350</v>
      </c>
      <c r="B250" s="18" t="n">
        <f aca="false">IF('Cohort Data'!D250=Assumptions!$B$16,ROUND('Cohort Data'!L250*'Cohort Data'!K250*Assumptions!$F$5,Assumptions!$B$10),Assumptions!$B$13)</f>
        <v>0</v>
      </c>
      <c r="C250" s="18" t="n">
        <f aca="false">IF('Cohort Data'!D250=Assumptions!$B$16,ROUND('Cohort Data'!E250*Assumptions!$C$6,Assumptions!$B$10),Assumptions!$B$13)</f>
        <v>0</v>
      </c>
      <c r="D250" s="18" t="n">
        <f aca="false">SUM(B250:C250)</f>
        <v>0</v>
      </c>
      <c r="E250" s="18" t="n">
        <f aca="false">ROUND(D250/Assumptions!$F$7,Assumptions!$B$10)</f>
        <v>0</v>
      </c>
      <c r="F250" s="18" t="n">
        <f aca="false">ROUND(E250*Assumptions!$C$7,Assumptions!$B$10)</f>
        <v>0</v>
      </c>
      <c r="G250" s="18" t="n">
        <f aca="false">SUM(E250:F250)</f>
        <v>0</v>
      </c>
      <c r="H250" s="18" t="n">
        <f aca="false">ROUND(G250-'Cohort Data'!H250,Assumptions!$B$10)</f>
        <v>-28301.33</v>
      </c>
      <c r="I250" s="18" t="n">
        <f aca="false">CEILING(G250,Assumptions!$B$12)</f>
        <v>0</v>
      </c>
      <c r="J250" s="18" t="n">
        <f aca="false">FLOOR(G250,Assumptions!$B$12)</f>
        <v>0</v>
      </c>
      <c r="K250" s="18" t="n">
        <f aca="false">ROUNDUP(G250,Assumptions!$B$10)</f>
        <v>0</v>
      </c>
      <c r="L250" s="18" t="n">
        <f aca="false">ROUNDDOWN(G250,Assumptions!$B$10)</f>
        <v>0</v>
      </c>
      <c r="M250" s="19" t="n">
        <f aca="false">INT('Cohort Data'!E250/Assumptions!$B$11)</f>
        <v>1</v>
      </c>
    </row>
    <row r="251" customFormat="false" ht="15" hidden="false" customHeight="false" outlineLevel="0" collapsed="false">
      <c r="A251" s="2" t="s">
        <v>351</v>
      </c>
      <c r="B251" s="18" t="n">
        <f aca="false">IF('Cohort Data'!D251=Assumptions!$B$16,ROUND('Cohort Data'!L251*'Cohort Data'!K251*Assumptions!$F$5,Assumptions!$B$10),Assumptions!$B$13)</f>
        <v>61497.22</v>
      </c>
      <c r="C251" s="18" t="n">
        <f aca="false">IF('Cohort Data'!D251=Assumptions!$B$16,ROUND('Cohort Data'!E251*Assumptions!$C$6,Assumptions!$B$10),Assumptions!$B$13)</f>
        <v>8400</v>
      </c>
      <c r="D251" s="18" t="n">
        <f aca="false">SUM(B251:C251)</f>
        <v>69897.22</v>
      </c>
      <c r="E251" s="18" t="n">
        <f aca="false">ROUND(D251/Assumptions!$F$7,Assumptions!$B$10)</f>
        <v>68864.26</v>
      </c>
      <c r="F251" s="18" t="n">
        <f aca="false">ROUND(E251*Assumptions!$C$7,Assumptions!$B$10)</f>
        <v>3787.53</v>
      </c>
      <c r="G251" s="18" t="n">
        <f aca="false">SUM(E251:F251)</f>
        <v>72651.79</v>
      </c>
      <c r="H251" s="18" t="n">
        <f aca="false">ROUND(G251-'Cohort Data'!H251,Assumptions!$B$10)</f>
        <v>26018.83</v>
      </c>
      <c r="I251" s="18" t="n">
        <f aca="false">CEILING(G251,Assumptions!$B$12)</f>
        <v>72700</v>
      </c>
      <c r="J251" s="18" t="n">
        <f aca="false">FLOOR(G251,Assumptions!$B$12)</f>
        <v>72600</v>
      </c>
      <c r="K251" s="18" t="n">
        <f aca="false">ROUNDUP(G251,Assumptions!$B$10)</f>
        <v>72651.79</v>
      </c>
      <c r="L251" s="18" t="n">
        <f aca="false">ROUNDDOWN(G251,Assumptions!$B$10)</f>
        <v>72651.79</v>
      </c>
      <c r="M251" s="19" t="n">
        <f aca="false">INT('Cohort Data'!E251/Assumptions!$B$11)</f>
        <v>2</v>
      </c>
    </row>
    <row r="252" customFormat="false" ht="15" hidden="false" customHeight="false" outlineLevel="0" collapsed="false">
      <c r="A252" s="2" t="s">
        <v>352</v>
      </c>
      <c r="B252" s="18" t="n">
        <f aca="false">IF('Cohort Data'!D252=Assumptions!$B$16,ROUND('Cohort Data'!L252*'Cohort Data'!K252*Assumptions!$F$5,Assumptions!$B$10),Assumptions!$B$13)</f>
        <v>17908.63</v>
      </c>
      <c r="C252" s="18" t="n">
        <f aca="false">IF('Cohort Data'!D252=Assumptions!$B$16,ROUND('Cohort Data'!E252*Assumptions!$C$6,Assumptions!$B$10),Assumptions!$B$13)</f>
        <v>2590</v>
      </c>
      <c r="D252" s="18" t="n">
        <f aca="false">SUM(B252:C252)</f>
        <v>20498.63</v>
      </c>
      <c r="E252" s="18" t="n">
        <f aca="false">ROUND(D252/Assumptions!$F$7,Assumptions!$B$10)</f>
        <v>20195.69</v>
      </c>
      <c r="F252" s="18" t="n">
        <f aca="false">ROUND(E252*Assumptions!$C$7,Assumptions!$B$10)</f>
        <v>1110.76</v>
      </c>
      <c r="G252" s="18" t="n">
        <f aca="false">SUM(E252:F252)</f>
        <v>21306.45</v>
      </c>
      <c r="H252" s="18" t="n">
        <f aca="false">ROUND(G252-'Cohort Data'!H252,Assumptions!$B$10)</f>
        <v>8215.55</v>
      </c>
      <c r="I252" s="18" t="n">
        <f aca="false">CEILING(G252,Assumptions!$B$12)</f>
        <v>21400</v>
      </c>
      <c r="J252" s="18" t="n">
        <f aca="false">FLOOR(G252,Assumptions!$B$12)</f>
        <v>21300</v>
      </c>
      <c r="K252" s="18" t="n">
        <f aca="false">ROUNDUP(G252,Assumptions!$B$10)</f>
        <v>21306.45</v>
      </c>
      <c r="L252" s="18" t="n">
        <f aca="false">ROUNDDOWN(G252,Assumptions!$B$10)</f>
        <v>21306.44</v>
      </c>
      <c r="M252" s="19" t="n">
        <f aca="false">INT('Cohort Data'!E252/Assumptions!$B$11)</f>
        <v>0</v>
      </c>
    </row>
    <row r="253" customFormat="false" ht="15" hidden="false" customHeight="false" outlineLevel="0" collapsed="false">
      <c r="A253" s="2" t="s">
        <v>353</v>
      </c>
      <c r="B253" s="18" t="n">
        <f aca="false">IF('Cohort Data'!D253=Assumptions!$B$16,ROUND('Cohort Data'!L253*'Cohort Data'!K253*Assumptions!$F$5,Assumptions!$B$10),Assumptions!$B$13)</f>
        <v>28208.1</v>
      </c>
      <c r="C253" s="18" t="n">
        <f aca="false">IF('Cohort Data'!D253=Assumptions!$B$16,ROUND('Cohort Data'!E253*Assumptions!$C$6,Assumptions!$B$10),Assumptions!$B$13)</f>
        <v>5145</v>
      </c>
      <c r="D253" s="18" t="n">
        <f aca="false">SUM(B253:C253)</f>
        <v>33353.1</v>
      </c>
      <c r="E253" s="18" t="n">
        <f aca="false">ROUND(D253/Assumptions!$F$7,Assumptions!$B$10)</f>
        <v>32860.2</v>
      </c>
      <c r="F253" s="18" t="n">
        <f aca="false">ROUND(E253*Assumptions!$C$7,Assumptions!$B$10)</f>
        <v>1807.31</v>
      </c>
      <c r="G253" s="18" t="n">
        <f aca="false">SUM(E253:F253)</f>
        <v>34667.51</v>
      </c>
      <c r="H253" s="18" t="n">
        <f aca="false">ROUND(G253-'Cohort Data'!H253,Assumptions!$B$10)</f>
        <v>10794.71</v>
      </c>
      <c r="I253" s="18" t="n">
        <f aca="false">CEILING(G253,Assumptions!$B$12)</f>
        <v>34700</v>
      </c>
      <c r="J253" s="18" t="n">
        <f aca="false">FLOOR(G253,Assumptions!$B$12)</f>
        <v>34600</v>
      </c>
      <c r="K253" s="18" t="n">
        <f aca="false">ROUNDUP(G253,Assumptions!$B$10)</f>
        <v>34667.51</v>
      </c>
      <c r="L253" s="18" t="n">
        <f aca="false">ROUNDDOWN(G253,Assumptions!$B$10)</f>
        <v>34667.5</v>
      </c>
      <c r="M253" s="19" t="n">
        <f aca="false">INT('Cohort Data'!E253/Assumptions!$B$11)</f>
        <v>1</v>
      </c>
    </row>
    <row r="254" customFormat="false" ht="15" hidden="false" customHeight="false" outlineLevel="0" collapsed="false">
      <c r="A254" s="2" t="s">
        <v>354</v>
      </c>
      <c r="B254" s="18" t="n">
        <f aca="false">IF('Cohort Data'!D254=Assumptions!$B$16,ROUND('Cohort Data'!L254*'Cohort Data'!K254*Assumptions!$F$5,Assumptions!$B$10),Assumptions!$B$13)</f>
        <v>61176.92</v>
      </c>
      <c r="C254" s="18" t="n">
        <f aca="false">IF('Cohort Data'!D254=Assumptions!$B$16,ROUND('Cohort Data'!E254*Assumptions!$C$6,Assumptions!$B$10),Assumptions!$B$13)</f>
        <v>6685</v>
      </c>
      <c r="D254" s="18" t="n">
        <f aca="false">SUM(B254:C254)</f>
        <v>67861.92</v>
      </c>
      <c r="E254" s="18" t="n">
        <f aca="false">ROUND(D254/Assumptions!$F$7,Assumptions!$B$10)</f>
        <v>66859.03</v>
      </c>
      <c r="F254" s="18" t="n">
        <f aca="false">ROUND(E254*Assumptions!$C$7,Assumptions!$B$10)</f>
        <v>3677.25</v>
      </c>
      <c r="G254" s="18" t="n">
        <f aca="false">SUM(E254:F254)</f>
        <v>70536.28</v>
      </c>
      <c r="H254" s="18" t="n">
        <f aca="false">ROUND(G254-'Cohort Data'!H254,Assumptions!$B$10)</f>
        <v>25154.68</v>
      </c>
      <c r="I254" s="18" t="n">
        <f aca="false">CEILING(G254,Assumptions!$B$12)</f>
        <v>70600</v>
      </c>
      <c r="J254" s="18" t="n">
        <f aca="false">FLOOR(G254,Assumptions!$B$12)</f>
        <v>70500</v>
      </c>
      <c r="K254" s="18" t="n">
        <f aca="false">ROUNDUP(G254,Assumptions!$B$10)</f>
        <v>70536.28</v>
      </c>
      <c r="L254" s="18" t="n">
        <f aca="false">ROUNDDOWN(G254,Assumptions!$B$10)</f>
        <v>70536.28</v>
      </c>
      <c r="M254" s="19" t="n">
        <f aca="false">INT('Cohort Data'!E254/Assumptions!$B$11)</f>
        <v>1</v>
      </c>
    </row>
    <row r="255" customFormat="false" ht="15" hidden="false" customHeight="false" outlineLevel="0" collapsed="false">
      <c r="A255" s="2" t="s">
        <v>355</v>
      </c>
      <c r="B255" s="18" t="n">
        <f aca="false">IF('Cohort Data'!D255=Assumptions!$B$16,ROUND('Cohort Data'!L255*'Cohort Data'!K255*Assumptions!$F$5,Assumptions!$B$10),Assumptions!$B$13)</f>
        <v>38586.92</v>
      </c>
      <c r="C255" s="18" t="n">
        <f aca="false">IF('Cohort Data'!D255=Assumptions!$B$16,ROUND('Cohort Data'!E255*Assumptions!$C$6,Assumptions!$B$10),Assumptions!$B$13)</f>
        <v>4305</v>
      </c>
      <c r="D255" s="18" t="n">
        <f aca="false">SUM(B255:C255)</f>
        <v>42891.92</v>
      </c>
      <c r="E255" s="18" t="n">
        <f aca="false">ROUND(D255/Assumptions!$F$7,Assumptions!$B$10)</f>
        <v>42258.05</v>
      </c>
      <c r="F255" s="18" t="n">
        <f aca="false">ROUND(E255*Assumptions!$C$7,Assumptions!$B$10)</f>
        <v>2324.19</v>
      </c>
      <c r="G255" s="18" t="n">
        <f aca="false">SUM(E255:F255)</f>
        <v>44582.24</v>
      </c>
      <c r="H255" s="18" t="n">
        <f aca="false">ROUND(G255-'Cohort Data'!H255,Assumptions!$B$10)</f>
        <v>14206.16</v>
      </c>
      <c r="I255" s="18" t="n">
        <f aca="false">CEILING(G255,Assumptions!$B$12)</f>
        <v>44600</v>
      </c>
      <c r="J255" s="18" t="n">
        <f aca="false">FLOOR(G255,Assumptions!$B$12)</f>
        <v>44500</v>
      </c>
      <c r="K255" s="18" t="n">
        <f aca="false">ROUNDUP(G255,Assumptions!$B$10)</f>
        <v>44582.25</v>
      </c>
      <c r="L255" s="18" t="n">
        <f aca="false">ROUNDDOWN(G255,Assumptions!$B$10)</f>
        <v>44582.24</v>
      </c>
      <c r="M255" s="19" t="n">
        <f aca="false">INT('Cohort Data'!E255/Assumptions!$B$11)</f>
        <v>1</v>
      </c>
    </row>
    <row r="256" customFormat="false" ht="15" hidden="false" customHeight="false" outlineLevel="0" collapsed="false">
      <c r="A256" s="2" t="s">
        <v>356</v>
      </c>
      <c r="B256" s="18" t="n">
        <f aca="false">IF('Cohort Data'!D256=Assumptions!$B$16,ROUND('Cohort Data'!L256*'Cohort Data'!K256*Assumptions!$F$5,Assumptions!$B$10),Assumptions!$B$13)</f>
        <v>19901.93</v>
      </c>
      <c r="C256" s="18" t="n">
        <f aca="false">IF('Cohort Data'!D256=Assumptions!$B$16,ROUND('Cohort Data'!E256*Assumptions!$C$6,Assumptions!$B$10),Assumptions!$B$13)</f>
        <v>2310</v>
      </c>
      <c r="D256" s="18" t="n">
        <f aca="false">SUM(B256:C256)</f>
        <v>22211.93</v>
      </c>
      <c r="E256" s="18" t="n">
        <f aca="false">ROUND(D256/Assumptions!$F$7,Assumptions!$B$10)</f>
        <v>21883.67</v>
      </c>
      <c r="F256" s="18" t="n">
        <f aca="false">ROUND(E256*Assumptions!$C$7,Assumptions!$B$10)</f>
        <v>1203.6</v>
      </c>
      <c r="G256" s="18" t="n">
        <f aca="false">SUM(E256:F256)</f>
        <v>23087.27</v>
      </c>
      <c r="H256" s="18" t="n">
        <f aca="false">ROUND(G256-'Cohort Data'!H256,Assumptions!$B$10)</f>
        <v>7086.23</v>
      </c>
      <c r="I256" s="18" t="n">
        <f aca="false">CEILING(G256,Assumptions!$B$12)</f>
        <v>23100</v>
      </c>
      <c r="J256" s="18" t="n">
        <f aca="false">FLOOR(G256,Assumptions!$B$12)</f>
        <v>23000</v>
      </c>
      <c r="K256" s="18" t="n">
        <f aca="false">ROUNDUP(G256,Assumptions!$B$10)</f>
        <v>23087.27</v>
      </c>
      <c r="L256" s="18" t="n">
        <f aca="false">ROUNDDOWN(G256,Assumptions!$B$10)</f>
        <v>23087.26</v>
      </c>
      <c r="M256" s="19" t="n">
        <f aca="false">INT('Cohort Data'!E256/Assumptions!$B$11)</f>
        <v>0</v>
      </c>
    </row>
    <row r="257" customFormat="false" ht="15" hidden="false" customHeight="false" outlineLevel="0" collapsed="false">
      <c r="A257" s="2" t="s">
        <v>357</v>
      </c>
      <c r="B257" s="18" t="n">
        <f aca="false">IF('Cohort Data'!D257=Assumptions!$B$16,ROUND('Cohort Data'!L257*'Cohort Data'!K257*Assumptions!$F$5,Assumptions!$B$10),Assumptions!$B$13)</f>
        <v>60408.2</v>
      </c>
      <c r="C257" s="18" t="n">
        <f aca="false">IF('Cohort Data'!D257=Assumptions!$B$16,ROUND('Cohort Data'!E257*Assumptions!$C$6,Assumptions!$B$10),Assumptions!$B$13)</f>
        <v>6440</v>
      </c>
      <c r="D257" s="18" t="n">
        <f aca="false">SUM(B257:C257)</f>
        <v>66848.2</v>
      </c>
      <c r="E257" s="18" t="n">
        <f aca="false">ROUND(D257/Assumptions!$F$7,Assumptions!$B$10)</f>
        <v>65860.3</v>
      </c>
      <c r="F257" s="18" t="n">
        <f aca="false">ROUND(E257*Assumptions!$C$7,Assumptions!$B$10)</f>
        <v>3622.32</v>
      </c>
      <c r="G257" s="18" t="n">
        <f aca="false">SUM(E257:F257)</f>
        <v>69482.62</v>
      </c>
      <c r="H257" s="18" t="n">
        <f aca="false">ROUND(G257-'Cohort Data'!H257,Assumptions!$B$10)</f>
        <v>21683.84</v>
      </c>
      <c r="I257" s="18" t="n">
        <f aca="false">CEILING(G257,Assumptions!$B$12)</f>
        <v>69500</v>
      </c>
      <c r="J257" s="18" t="n">
        <f aca="false">FLOOR(G257,Assumptions!$B$12)</f>
        <v>69400</v>
      </c>
      <c r="K257" s="18" t="n">
        <f aca="false">ROUNDUP(G257,Assumptions!$B$10)</f>
        <v>69482.63</v>
      </c>
      <c r="L257" s="18" t="n">
        <f aca="false">ROUNDDOWN(G257,Assumptions!$B$10)</f>
        <v>69482.62</v>
      </c>
      <c r="M257" s="19" t="n">
        <f aca="false">INT('Cohort Data'!E257/Assumptions!$B$11)</f>
        <v>1</v>
      </c>
    </row>
    <row r="258" customFormat="false" ht="15" hidden="false" customHeight="false" outlineLevel="0" collapsed="false">
      <c r="A258" s="2" t="s">
        <v>358</v>
      </c>
      <c r="B258" s="18" t="n">
        <f aca="false">IF('Cohort Data'!D258=Assumptions!$B$16,ROUND('Cohort Data'!L258*'Cohort Data'!K258*Assumptions!$F$5,Assumptions!$B$10),Assumptions!$B$13)</f>
        <v>62707.11</v>
      </c>
      <c r="C258" s="18" t="n">
        <f aca="false">IF('Cohort Data'!D258=Assumptions!$B$16,ROUND('Cohort Data'!E258*Assumptions!$C$6,Assumptions!$B$10),Assumptions!$B$13)</f>
        <v>7420</v>
      </c>
      <c r="D258" s="18" t="n">
        <f aca="false">SUM(B258:C258)</f>
        <v>70127.11</v>
      </c>
      <c r="E258" s="18" t="n">
        <f aca="false">ROUND(D258/Assumptions!$F$7,Assumptions!$B$10)</f>
        <v>69090.75</v>
      </c>
      <c r="F258" s="18" t="n">
        <f aca="false">ROUND(E258*Assumptions!$C$7,Assumptions!$B$10)</f>
        <v>3799.99</v>
      </c>
      <c r="G258" s="18" t="n">
        <f aca="false">SUM(E258:F258)</f>
        <v>72890.74</v>
      </c>
      <c r="H258" s="18" t="n">
        <f aca="false">ROUND(G258-'Cohort Data'!H258,Assumptions!$B$10)</f>
        <v>25038.1</v>
      </c>
      <c r="I258" s="18" t="n">
        <f aca="false">CEILING(G258,Assumptions!$B$12)</f>
        <v>72900</v>
      </c>
      <c r="J258" s="18" t="n">
        <f aca="false">FLOOR(G258,Assumptions!$B$12)</f>
        <v>72800</v>
      </c>
      <c r="K258" s="18" t="n">
        <f aca="false">ROUNDUP(G258,Assumptions!$B$10)</f>
        <v>72890.74</v>
      </c>
      <c r="L258" s="18" t="n">
        <f aca="false">ROUNDDOWN(G258,Assumptions!$B$10)</f>
        <v>72890.74</v>
      </c>
      <c r="M258" s="19" t="n">
        <f aca="false">INT('Cohort Data'!E258/Assumptions!$B$11)</f>
        <v>2</v>
      </c>
    </row>
    <row r="259" customFormat="false" ht="15" hidden="false" customHeight="false" outlineLevel="0" collapsed="false">
      <c r="A259" s="2" t="s">
        <v>359</v>
      </c>
      <c r="B259" s="18" t="n">
        <f aca="false">IF('Cohort Data'!D259=Assumptions!$B$16,ROUND('Cohort Data'!L259*'Cohort Data'!K259*Assumptions!$F$5,Assumptions!$B$10),Assumptions!$B$13)</f>
        <v>26810.03</v>
      </c>
      <c r="C259" s="18" t="n">
        <f aca="false">IF('Cohort Data'!D259=Assumptions!$B$16,ROUND('Cohort Data'!E259*Assumptions!$C$6,Assumptions!$B$10),Assumptions!$B$13)</f>
        <v>5705</v>
      </c>
      <c r="D259" s="18" t="n">
        <f aca="false">SUM(B259:C259)</f>
        <v>32515.03</v>
      </c>
      <c r="E259" s="18" t="n">
        <f aca="false">ROUND(D259/Assumptions!$F$7,Assumptions!$B$10)</f>
        <v>32034.51</v>
      </c>
      <c r="F259" s="18" t="n">
        <f aca="false">ROUND(E259*Assumptions!$C$7,Assumptions!$B$10)</f>
        <v>1761.9</v>
      </c>
      <c r="G259" s="18" t="n">
        <f aca="false">SUM(E259:F259)</f>
        <v>33796.41</v>
      </c>
      <c r="H259" s="18" t="n">
        <f aca="false">ROUND(G259-'Cohort Data'!H259,Assumptions!$B$10)</f>
        <v>11560.6</v>
      </c>
      <c r="I259" s="18" t="n">
        <f aca="false">CEILING(G259,Assumptions!$B$12)</f>
        <v>33800</v>
      </c>
      <c r="J259" s="18" t="n">
        <f aca="false">FLOOR(G259,Assumptions!$B$12)</f>
        <v>33700</v>
      </c>
      <c r="K259" s="18" t="n">
        <f aca="false">ROUNDUP(G259,Assumptions!$B$10)</f>
        <v>33796.41</v>
      </c>
      <c r="L259" s="18" t="n">
        <f aca="false">ROUNDDOWN(G259,Assumptions!$B$10)</f>
        <v>33796.4</v>
      </c>
      <c r="M259" s="19" t="n">
        <f aca="false">INT('Cohort Data'!E259/Assumptions!$B$11)</f>
        <v>1</v>
      </c>
    </row>
    <row r="260" customFormat="false" ht="15" hidden="false" customHeight="false" outlineLevel="0" collapsed="false">
      <c r="A260" s="2" t="s">
        <v>360</v>
      </c>
      <c r="B260" s="18" t="n">
        <f aca="false">IF('Cohort Data'!D260=Assumptions!$B$16,ROUND('Cohort Data'!L260*'Cohort Data'!K260*Assumptions!$F$5,Assumptions!$B$10),Assumptions!$B$13)</f>
        <v>24662.95</v>
      </c>
      <c r="C260" s="18" t="n">
        <f aca="false">IF('Cohort Data'!D260=Assumptions!$B$16,ROUND('Cohort Data'!E260*Assumptions!$C$6,Assumptions!$B$10),Assumptions!$B$13)</f>
        <v>5390</v>
      </c>
      <c r="D260" s="18" t="n">
        <f aca="false">SUM(B260:C260)</f>
        <v>30052.95</v>
      </c>
      <c r="E260" s="18" t="n">
        <f aca="false">ROUND(D260/Assumptions!$F$7,Assumptions!$B$10)</f>
        <v>29608.82</v>
      </c>
      <c r="F260" s="18" t="n">
        <f aca="false">ROUND(E260*Assumptions!$C$7,Assumptions!$B$10)</f>
        <v>1628.49</v>
      </c>
      <c r="G260" s="18" t="n">
        <f aca="false">SUM(E260:F260)</f>
        <v>31237.31</v>
      </c>
      <c r="H260" s="18" t="n">
        <f aca="false">ROUND(G260-'Cohort Data'!H260,Assumptions!$B$10)</f>
        <v>11112.59</v>
      </c>
      <c r="I260" s="18" t="n">
        <f aca="false">CEILING(G260,Assumptions!$B$12)</f>
        <v>31300</v>
      </c>
      <c r="J260" s="18" t="n">
        <f aca="false">FLOOR(G260,Assumptions!$B$12)</f>
        <v>31200</v>
      </c>
      <c r="K260" s="18" t="n">
        <f aca="false">ROUNDUP(G260,Assumptions!$B$10)</f>
        <v>31237.31</v>
      </c>
      <c r="L260" s="18" t="n">
        <f aca="false">ROUNDDOWN(G260,Assumptions!$B$10)</f>
        <v>31237.31</v>
      </c>
      <c r="M260" s="19" t="n">
        <f aca="false">INT('Cohort Data'!E260/Assumptions!$B$11)</f>
        <v>1</v>
      </c>
    </row>
    <row r="261" customFormat="false" ht="15" hidden="false" customHeight="false" outlineLevel="0" collapsed="false">
      <c r="A261" s="2" t="s">
        <v>361</v>
      </c>
      <c r="B261" s="18" t="n">
        <f aca="false">IF('Cohort Data'!D261=Assumptions!$B$16,ROUND('Cohort Data'!L261*'Cohort Data'!K261*Assumptions!$F$5,Assumptions!$B$10),Assumptions!$B$13)</f>
        <v>43740.81</v>
      </c>
      <c r="C261" s="18" t="n">
        <f aca="false">IF('Cohort Data'!D261=Assumptions!$B$16,ROUND('Cohort Data'!E261*Assumptions!$C$6,Assumptions!$B$10),Assumptions!$B$13)</f>
        <v>4270</v>
      </c>
      <c r="D261" s="18" t="n">
        <f aca="false">SUM(B261:C261)</f>
        <v>48010.81</v>
      </c>
      <c r="E261" s="18" t="n">
        <f aca="false">ROUND(D261/Assumptions!$F$7,Assumptions!$B$10)</f>
        <v>47301.29</v>
      </c>
      <c r="F261" s="18" t="n">
        <f aca="false">ROUND(E261*Assumptions!$C$7,Assumptions!$B$10)</f>
        <v>2601.57</v>
      </c>
      <c r="G261" s="18" t="n">
        <f aca="false">SUM(E261:F261)</f>
        <v>49902.86</v>
      </c>
      <c r="H261" s="18" t="n">
        <f aca="false">ROUND(G261-'Cohort Data'!H261,Assumptions!$B$10)</f>
        <v>16523.66</v>
      </c>
      <c r="I261" s="18" t="n">
        <f aca="false">CEILING(G261,Assumptions!$B$12)</f>
        <v>50000</v>
      </c>
      <c r="J261" s="18" t="n">
        <f aca="false">FLOOR(G261,Assumptions!$B$12)</f>
        <v>49900</v>
      </c>
      <c r="K261" s="18" t="n">
        <f aca="false">ROUNDUP(G261,Assumptions!$B$10)</f>
        <v>49902.86</v>
      </c>
      <c r="L261" s="18" t="n">
        <f aca="false">ROUNDDOWN(G261,Assumptions!$B$10)</f>
        <v>49902.86</v>
      </c>
      <c r="M261" s="19" t="n">
        <f aca="false">INT('Cohort Data'!E261/Assumptions!$B$11)</f>
        <v>1</v>
      </c>
    </row>
    <row r="262" customFormat="false" ht="15" hidden="false" customHeight="false" outlineLevel="0" collapsed="false">
      <c r="A262" s="2" t="s">
        <v>362</v>
      </c>
      <c r="B262" s="18" t="n">
        <f aca="false">IF('Cohort Data'!D262=Assumptions!$B$16,ROUND('Cohort Data'!L262*'Cohort Data'!K262*Assumptions!$F$5,Assumptions!$B$10),Assumptions!$B$13)</f>
        <v>18531.27</v>
      </c>
      <c r="C262" s="18" t="n">
        <f aca="false">IF('Cohort Data'!D262=Assumptions!$B$16,ROUND('Cohort Data'!E262*Assumptions!$C$6,Assumptions!$B$10),Assumptions!$B$13)</f>
        <v>3640</v>
      </c>
      <c r="D262" s="18" t="n">
        <f aca="false">SUM(B262:C262)</f>
        <v>22171.27</v>
      </c>
      <c r="E262" s="18" t="n">
        <f aca="false">ROUND(D262/Assumptions!$F$7,Assumptions!$B$10)</f>
        <v>21843.62</v>
      </c>
      <c r="F262" s="18" t="n">
        <f aca="false">ROUND(E262*Assumptions!$C$7,Assumptions!$B$10)</f>
        <v>1201.4</v>
      </c>
      <c r="G262" s="18" t="n">
        <f aca="false">SUM(E262:F262)</f>
        <v>23045.02</v>
      </c>
      <c r="H262" s="18" t="n">
        <f aca="false">ROUND(G262-'Cohort Data'!H262,Assumptions!$B$10)</f>
        <v>8145.98</v>
      </c>
      <c r="I262" s="18" t="n">
        <f aca="false">CEILING(G262,Assumptions!$B$12)</f>
        <v>23100</v>
      </c>
      <c r="J262" s="18" t="n">
        <f aca="false">FLOOR(G262,Assumptions!$B$12)</f>
        <v>23000</v>
      </c>
      <c r="K262" s="18" t="n">
        <f aca="false">ROUNDUP(G262,Assumptions!$B$10)</f>
        <v>23045.02</v>
      </c>
      <c r="L262" s="18" t="n">
        <f aca="false">ROUNDDOWN(G262,Assumptions!$B$10)</f>
        <v>23045.02</v>
      </c>
      <c r="M262" s="19" t="n">
        <f aca="false">INT('Cohort Data'!E262/Assumptions!$B$11)</f>
        <v>1</v>
      </c>
    </row>
    <row r="263" customFormat="false" ht="15" hidden="false" customHeight="false" outlineLevel="0" collapsed="false">
      <c r="A263" s="2" t="s">
        <v>363</v>
      </c>
      <c r="B263" s="18" t="n">
        <f aca="false">IF('Cohort Data'!D263=Assumptions!$B$16,ROUND('Cohort Data'!L263*'Cohort Data'!K263*Assumptions!$F$5,Assumptions!$B$10),Assumptions!$B$13)</f>
        <v>32478.22</v>
      </c>
      <c r="C263" s="18" t="n">
        <f aca="false">IF('Cohort Data'!D263=Assumptions!$B$16,ROUND('Cohort Data'!E263*Assumptions!$C$6,Assumptions!$B$10),Assumptions!$B$13)</f>
        <v>3640</v>
      </c>
      <c r="D263" s="18" t="n">
        <f aca="false">SUM(B263:C263)</f>
        <v>36118.22</v>
      </c>
      <c r="E263" s="18" t="n">
        <f aca="false">ROUND(D263/Assumptions!$F$7,Assumptions!$B$10)</f>
        <v>35584.45</v>
      </c>
      <c r="F263" s="18" t="n">
        <f aca="false">ROUND(E263*Assumptions!$C$7,Assumptions!$B$10)</f>
        <v>1957.14</v>
      </c>
      <c r="G263" s="18" t="n">
        <f aca="false">SUM(E263:F263)</f>
        <v>37541.59</v>
      </c>
      <c r="H263" s="18" t="n">
        <f aca="false">ROUND(G263-'Cohort Data'!H263,Assumptions!$B$10)</f>
        <v>11039.69</v>
      </c>
      <c r="I263" s="18" t="n">
        <f aca="false">CEILING(G263,Assumptions!$B$12)</f>
        <v>37600</v>
      </c>
      <c r="J263" s="18" t="n">
        <f aca="false">FLOOR(G263,Assumptions!$B$12)</f>
        <v>37500</v>
      </c>
      <c r="K263" s="18" t="n">
        <f aca="false">ROUNDUP(G263,Assumptions!$B$10)</f>
        <v>37541.59</v>
      </c>
      <c r="L263" s="18" t="n">
        <f aca="false">ROUNDDOWN(G263,Assumptions!$B$10)</f>
        <v>37541.59</v>
      </c>
      <c r="M263" s="19" t="n">
        <f aca="false">INT('Cohort Data'!E263/Assumptions!$B$11)</f>
        <v>1</v>
      </c>
    </row>
    <row r="264" customFormat="false" ht="15" hidden="false" customHeight="false" outlineLevel="0" collapsed="false">
      <c r="A264" s="2" t="s">
        <v>364</v>
      </c>
      <c r="B264" s="18" t="n">
        <f aca="false">IF('Cohort Data'!D264=Assumptions!$B$16,ROUND('Cohort Data'!L264*'Cohort Data'!K264*Assumptions!$F$5,Assumptions!$B$10),Assumptions!$B$13)</f>
        <v>45972.66</v>
      </c>
      <c r="C264" s="18" t="n">
        <f aca="false">IF('Cohort Data'!D264=Assumptions!$B$16,ROUND('Cohort Data'!E264*Assumptions!$C$6,Assumptions!$B$10),Assumptions!$B$13)</f>
        <v>7805</v>
      </c>
      <c r="D264" s="18" t="n">
        <f aca="false">SUM(B264:C264)</f>
        <v>53777.66</v>
      </c>
      <c r="E264" s="18" t="n">
        <f aca="false">ROUND(D264/Assumptions!$F$7,Assumptions!$B$10)</f>
        <v>52982.92</v>
      </c>
      <c r="F264" s="18" t="n">
        <f aca="false">ROUND(E264*Assumptions!$C$7,Assumptions!$B$10)</f>
        <v>2914.06</v>
      </c>
      <c r="G264" s="18" t="n">
        <f aca="false">SUM(E264:F264)</f>
        <v>55896.98</v>
      </c>
      <c r="H264" s="18" t="n">
        <f aca="false">ROUND(G264-'Cohort Data'!H264,Assumptions!$B$10)</f>
        <v>22661.06</v>
      </c>
      <c r="I264" s="18" t="n">
        <f aca="false">CEILING(G264,Assumptions!$B$12)</f>
        <v>55900</v>
      </c>
      <c r="J264" s="18" t="n">
        <f aca="false">FLOOR(G264,Assumptions!$B$12)</f>
        <v>55800</v>
      </c>
      <c r="K264" s="18" t="n">
        <f aca="false">ROUNDUP(G264,Assumptions!$B$10)</f>
        <v>55896.98</v>
      </c>
      <c r="L264" s="18" t="n">
        <f aca="false">ROUNDDOWN(G264,Assumptions!$B$10)</f>
        <v>55896.98</v>
      </c>
      <c r="M264" s="19" t="n">
        <f aca="false">INT('Cohort Data'!E264/Assumptions!$B$11)</f>
        <v>2</v>
      </c>
    </row>
    <row r="265" customFormat="false" ht="15" hidden="false" customHeight="false" outlineLevel="0" collapsed="false">
      <c r="A265" s="2" t="s">
        <v>365</v>
      </c>
      <c r="B265" s="18" t="n">
        <f aca="false">IF('Cohort Data'!D265=Assumptions!$B$16,ROUND('Cohort Data'!L265*'Cohort Data'!K265*Assumptions!$F$5,Assumptions!$B$10),Assumptions!$B$13)</f>
        <v>36185.32</v>
      </c>
      <c r="C265" s="18" t="n">
        <f aca="false">IF('Cohort Data'!D265=Assumptions!$B$16,ROUND('Cohort Data'!E265*Assumptions!$C$6,Assumptions!$B$10),Assumptions!$B$13)</f>
        <v>7700</v>
      </c>
      <c r="D265" s="18" t="n">
        <f aca="false">SUM(B265:C265)</f>
        <v>43885.32</v>
      </c>
      <c r="E265" s="18" t="n">
        <f aca="false">ROUND(D265/Assumptions!$F$7,Assumptions!$B$10)</f>
        <v>43236.77</v>
      </c>
      <c r="F265" s="18" t="n">
        <f aca="false">ROUND(E265*Assumptions!$C$7,Assumptions!$B$10)</f>
        <v>2378.02</v>
      </c>
      <c r="G265" s="18" t="n">
        <f aca="false">SUM(E265:F265)</f>
        <v>45614.79</v>
      </c>
      <c r="H265" s="18" t="n">
        <f aca="false">ROUND(G265-'Cohort Data'!H265,Assumptions!$B$10)</f>
        <v>17746.95</v>
      </c>
      <c r="I265" s="18" t="n">
        <f aca="false">CEILING(G265,Assumptions!$B$12)</f>
        <v>45700</v>
      </c>
      <c r="J265" s="18" t="n">
        <f aca="false">FLOOR(G265,Assumptions!$B$12)</f>
        <v>45600</v>
      </c>
      <c r="K265" s="18" t="n">
        <f aca="false">ROUNDUP(G265,Assumptions!$B$10)</f>
        <v>45614.79</v>
      </c>
      <c r="L265" s="18" t="n">
        <f aca="false">ROUNDDOWN(G265,Assumptions!$B$10)</f>
        <v>45614.78</v>
      </c>
      <c r="M265" s="19" t="n">
        <f aca="false">INT('Cohort Data'!E265/Assumptions!$B$11)</f>
        <v>2</v>
      </c>
    </row>
    <row r="266" customFormat="false" ht="15" hidden="false" customHeight="false" outlineLevel="0" collapsed="false">
      <c r="A266" s="2" t="s">
        <v>366</v>
      </c>
      <c r="B266" s="18" t="n">
        <f aca="false">IF('Cohort Data'!D266=Assumptions!$B$16,ROUND('Cohort Data'!L266*'Cohort Data'!K266*Assumptions!$F$5,Assumptions!$B$10),Assumptions!$B$13)</f>
        <v>38724.03</v>
      </c>
      <c r="C266" s="18" t="n">
        <f aca="false">IF('Cohort Data'!D266=Assumptions!$B$16,ROUND('Cohort Data'!E266*Assumptions!$C$6,Assumptions!$B$10),Assumptions!$B$13)</f>
        <v>5460</v>
      </c>
      <c r="D266" s="18" t="n">
        <f aca="false">SUM(B266:C266)</f>
        <v>44184.03</v>
      </c>
      <c r="E266" s="18" t="n">
        <f aca="false">ROUND(D266/Assumptions!$F$7,Assumptions!$B$10)</f>
        <v>43531.06</v>
      </c>
      <c r="F266" s="18" t="n">
        <f aca="false">ROUND(E266*Assumptions!$C$7,Assumptions!$B$10)</f>
        <v>2394.21</v>
      </c>
      <c r="G266" s="18" t="n">
        <f aca="false">SUM(E266:F266)</f>
        <v>45925.27</v>
      </c>
      <c r="H266" s="18" t="n">
        <f aca="false">ROUND(G266-'Cohort Data'!H266,Assumptions!$B$10)</f>
        <v>15284.37</v>
      </c>
      <c r="I266" s="18" t="n">
        <f aca="false">CEILING(G266,Assumptions!$B$12)</f>
        <v>46000</v>
      </c>
      <c r="J266" s="18" t="n">
        <f aca="false">FLOOR(G266,Assumptions!$B$12)</f>
        <v>45900</v>
      </c>
      <c r="K266" s="18" t="n">
        <f aca="false">ROUNDUP(G266,Assumptions!$B$10)</f>
        <v>45925.27</v>
      </c>
      <c r="L266" s="18" t="n">
        <f aca="false">ROUNDDOWN(G266,Assumptions!$B$10)</f>
        <v>45925.27</v>
      </c>
      <c r="M266" s="19" t="n">
        <f aca="false">INT('Cohort Data'!E266/Assumptions!$B$11)</f>
        <v>1</v>
      </c>
    </row>
    <row r="267" customFormat="false" ht="15" hidden="false" customHeight="false" outlineLevel="0" collapsed="false">
      <c r="A267" s="2" t="s">
        <v>367</v>
      </c>
      <c r="B267" s="18" t="n">
        <f aca="false">IF('Cohort Data'!D267=Assumptions!$B$16,ROUND('Cohort Data'!L267*'Cohort Data'!K267*Assumptions!$F$5,Assumptions!$B$10),Assumptions!$B$13)</f>
        <v>34015.65</v>
      </c>
      <c r="C267" s="18" t="n">
        <f aca="false">IF('Cohort Data'!D267=Assumptions!$B$16,ROUND('Cohort Data'!E267*Assumptions!$C$6,Assumptions!$B$10),Assumptions!$B$13)</f>
        <v>5775</v>
      </c>
      <c r="D267" s="18" t="n">
        <f aca="false">SUM(B267:C267)</f>
        <v>39790.65</v>
      </c>
      <c r="E267" s="18" t="n">
        <f aca="false">ROUND(D267/Assumptions!$F$7,Assumptions!$B$10)</f>
        <v>39202.61</v>
      </c>
      <c r="F267" s="18" t="n">
        <f aca="false">ROUND(E267*Assumptions!$C$7,Assumptions!$B$10)</f>
        <v>2156.14</v>
      </c>
      <c r="G267" s="18" t="n">
        <f aca="false">SUM(E267:F267)</f>
        <v>41358.75</v>
      </c>
      <c r="H267" s="18" t="n">
        <f aca="false">ROUND(G267-'Cohort Data'!H267,Assumptions!$B$10)</f>
        <v>15947.43</v>
      </c>
      <c r="I267" s="18" t="n">
        <f aca="false">CEILING(G267,Assumptions!$B$12)</f>
        <v>41400</v>
      </c>
      <c r="J267" s="18" t="n">
        <f aca="false">FLOOR(G267,Assumptions!$B$12)</f>
        <v>41300</v>
      </c>
      <c r="K267" s="18" t="n">
        <f aca="false">ROUNDUP(G267,Assumptions!$B$10)</f>
        <v>41358.75</v>
      </c>
      <c r="L267" s="18" t="n">
        <f aca="false">ROUNDDOWN(G267,Assumptions!$B$10)</f>
        <v>41358.75</v>
      </c>
      <c r="M267" s="19" t="n">
        <f aca="false">INT('Cohort Data'!E267/Assumptions!$B$11)</f>
        <v>1</v>
      </c>
    </row>
    <row r="268" customFormat="false" ht="15" hidden="false" customHeight="false" outlineLevel="0" collapsed="false">
      <c r="A268" s="2" t="s">
        <v>368</v>
      </c>
      <c r="B268" s="18" t="n">
        <f aca="false">IF('Cohort Data'!D268=Assumptions!$B$16,ROUND('Cohort Data'!L268*'Cohort Data'!K268*Assumptions!$F$5,Assumptions!$B$10),Assumptions!$B$13)</f>
        <v>62769.19</v>
      </c>
      <c r="C268" s="18" t="n">
        <f aca="false">IF('Cohort Data'!D268=Assumptions!$B$16,ROUND('Cohort Data'!E268*Assumptions!$C$6,Assumptions!$B$10),Assumptions!$B$13)</f>
        <v>7455</v>
      </c>
      <c r="D268" s="18" t="n">
        <f aca="false">SUM(B268:C268)</f>
        <v>70224.19</v>
      </c>
      <c r="E268" s="18" t="n">
        <f aca="false">ROUND(D268/Assumptions!$F$7,Assumptions!$B$10)</f>
        <v>69186.39</v>
      </c>
      <c r="F268" s="18" t="n">
        <f aca="false">ROUND(E268*Assumptions!$C$7,Assumptions!$B$10)</f>
        <v>3805.25</v>
      </c>
      <c r="G268" s="18" t="n">
        <f aca="false">SUM(E268:F268)</f>
        <v>72991.64</v>
      </c>
      <c r="H268" s="18" t="n">
        <f aca="false">ROUND(G268-'Cohort Data'!H268,Assumptions!$B$10)</f>
        <v>24650.44</v>
      </c>
      <c r="I268" s="18" t="n">
        <f aca="false">CEILING(G268,Assumptions!$B$12)</f>
        <v>73000</v>
      </c>
      <c r="J268" s="18" t="n">
        <f aca="false">FLOOR(G268,Assumptions!$B$12)</f>
        <v>72900</v>
      </c>
      <c r="K268" s="18" t="n">
        <f aca="false">ROUNDUP(G268,Assumptions!$B$10)</f>
        <v>72991.64</v>
      </c>
      <c r="L268" s="18" t="n">
        <f aca="false">ROUNDDOWN(G268,Assumptions!$B$10)</f>
        <v>72991.64</v>
      </c>
      <c r="M268" s="19" t="n">
        <f aca="false">INT('Cohort Data'!E268/Assumptions!$B$11)</f>
        <v>2</v>
      </c>
    </row>
    <row r="269" customFormat="false" ht="15" hidden="false" customHeight="false" outlineLevel="0" collapsed="false">
      <c r="A269" s="2" t="s">
        <v>369</v>
      </c>
      <c r="B269" s="18" t="n">
        <f aca="false">IF('Cohort Data'!D269=Assumptions!$B$16,ROUND('Cohort Data'!L269*'Cohort Data'!K269*Assumptions!$F$5,Assumptions!$B$10),Assumptions!$B$13)</f>
        <v>0</v>
      </c>
      <c r="C269" s="18" t="n">
        <f aca="false">IF('Cohort Data'!D269=Assumptions!$B$16,ROUND('Cohort Data'!E269*Assumptions!$C$6,Assumptions!$B$10),Assumptions!$B$13)</f>
        <v>0</v>
      </c>
      <c r="D269" s="18" t="n">
        <f aca="false">SUM(B269:C269)</f>
        <v>0</v>
      </c>
      <c r="E269" s="18" t="n">
        <f aca="false">ROUND(D269/Assumptions!$F$7,Assumptions!$B$10)</f>
        <v>0</v>
      </c>
      <c r="F269" s="18" t="n">
        <f aca="false">ROUND(E269*Assumptions!$C$7,Assumptions!$B$10)</f>
        <v>0</v>
      </c>
      <c r="G269" s="18" t="n">
        <f aca="false">SUM(E269:F269)</f>
        <v>0</v>
      </c>
      <c r="H269" s="18" t="n">
        <f aca="false">ROUND(G269-'Cohort Data'!H269,Assumptions!$B$10)</f>
        <v>-27983.14</v>
      </c>
      <c r="I269" s="18" t="n">
        <f aca="false">CEILING(G269,Assumptions!$B$12)</f>
        <v>0</v>
      </c>
      <c r="J269" s="18" t="n">
        <f aca="false">FLOOR(G269,Assumptions!$B$12)</f>
        <v>0</v>
      </c>
      <c r="K269" s="18" t="n">
        <f aca="false">ROUNDUP(G269,Assumptions!$B$10)</f>
        <v>0</v>
      </c>
      <c r="L269" s="18" t="n">
        <f aca="false">ROUNDDOWN(G269,Assumptions!$B$10)</f>
        <v>0</v>
      </c>
      <c r="M269" s="19" t="n">
        <f aca="false">INT('Cohort Data'!E269/Assumptions!$B$11)</f>
        <v>0</v>
      </c>
    </row>
    <row r="270" customFormat="false" ht="15" hidden="false" customHeight="false" outlineLevel="0" collapsed="false">
      <c r="A270" s="2" t="s">
        <v>370</v>
      </c>
      <c r="B270" s="18" t="n">
        <f aca="false">IF('Cohort Data'!D270=Assumptions!$B$16,ROUND('Cohort Data'!L270*'Cohort Data'!K270*Assumptions!$F$5,Assumptions!$B$10),Assumptions!$B$13)</f>
        <v>16761.33</v>
      </c>
      <c r="C270" s="18" t="n">
        <f aca="false">IF('Cohort Data'!D270=Assumptions!$B$16,ROUND('Cohort Data'!E270*Assumptions!$C$6,Assumptions!$B$10),Assumptions!$B$13)</f>
        <v>2975</v>
      </c>
      <c r="D270" s="18" t="n">
        <f aca="false">SUM(B270:C270)</f>
        <v>19736.33</v>
      </c>
      <c r="E270" s="18" t="n">
        <f aca="false">ROUND(D270/Assumptions!$F$7,Assumptions!$B$10)</f>
        <v>19444.66</v>
      </c>
      <c r="F270" s="18" t="n">
        <f aca="false">ROUND(E270*Assumptions!$C$7,Assumptions!$B$10)</f>
        <v>1069.46</v>
      </c>
      <c r="G270" s="18" t="n">
        <f aca="false">SUM(E270:F270)</f>
        <v>20514.12</v>
      </c>
      <c r="H270" s="18" t="n">
        <f aca="false">ROUND(G270-'Cohort Data'!H270,Assumptions!$B$10)</f>
        <v>7319.4</v>
      </c>
      <c r="I270" s="18" t="n">
        <f aca="false">CEILING(G270,Assumptions!$B$12)</f>
        <v>20600</v>
      </c>
      <c r="J270" s="18" t="n">
        <f aca="false">FLOOR(G270,Assumptions!$B$12)</f>
        <v>20500</v>
      </c>
      <c r="K270" s="18" t="n">
        <f aca="false">ROUNDUP(G270,Assumptions!$B$10)</f>
        <v>20514.12</v>
      </c>
      <c r="L270" s="18" t="n">
        <f aca="false">ROUNDDOWN(G270,Assumptions!$B$10)</f>
        <v>20514.12</v>
      </c>
      <c r="M270" s="19" t="n">
        <f aca="false">INT('Cohort Data'!E270/Assumptions!$B$11)</f>
        <v>0</v>
      </c>
    </row>
    <row r="271" customFormat="false" ht="15" hidden="false" customHeight="false" outlineLevel="0" collapsed="false">
      <c r="A271" s="2" t="s">
        <v>371</v>
      </c>
      <c r="B271" s="18" t="n">
        <f aca="false">IF('Cohort Data'!D271=Assumptions!$B$16,ROUND('Cohort Data'!L271*'Cohort Data'!K271*Assumptions!$F$5,Assumptions!$B$10),Assumptions!$B$13)</f>
        <v>33724.99</v>
      </c>
      <c r="C271" s="18" t="n">
        <f aca="false">IF('Cohort Data'!D271=Assumptions!$B$16,ROUND('Cohort Data'!E271*Assumptions!$C$6,Assumptions!$B$10),Assumptions!$B$13)</f>
        <v>4655</v>
      </c>
      <c r="D271" s="18" t="n">
        <f aca="false">SUM(B271:C271)</f>
        <v>38379.99</v>
      </c>
      <c r="E271" s="18" t="n">
        <f aca="false">ROUND(D271/Assumptions!$F$7,Assumptions!$B$10)</f>
        <v>37812.8</v>
      </c>
      <c r="F271" s="18" t="n">
        <f aca="false">ROUND(E271*Assumptions!$C$7,Assumptions!$B$10)</f>
        <v>2079.7</v>
      </c>
      <c r="G271" s="18" t="n">
        <f aca="false">SUM(E271:F271)</f>
        <v>39892.5</v>
      </c>
      <c r="H271" s="18" t="n">
        <f aca="false">ROUND(G271-'Cohort Data'!H271,Assumptions!$B$10)</f>
        <v>11921.54</v>
      </c>
      <c r="I271" s="18" t="n">
        <f aca="false">CEILING(G271,Assumptions!$B$12)</f>
        <v>39900</v>
      </c>
      <c r="J271" s="18" t="n">
        <f aca="false">FLOOR(G271,Assumptions!$B$12)</f>
        <v>39800</v>
      </c>
      <c r="K271" s="18" t="n">
        <f aca="false">ROUNDUP(G271,Assumptions!$B$10)</f>
        <v>39892.5</v>
      </c>
      <c r="L271" s="18" t="n">
        <f aca="false">ROUNDDOWN(G271,Assumptions!$B$10)</f>
        <v>39892.5</v>
      </c>
      <c r="M271" s="19" t="n">
        <f aca="false">INT('Cohort Data'!E271/Assumptions!$B$11)</f>
        <v>1</v>
      </c>
    </row>
    <row r="272" customFormat="false" ht="15" hidden="false" customHeight="false" outlineLevel="0" collapsed="false">
      <c r="A272" s="2" t="s">
        <v>372</v>
      </c>
      <c r="B272" s="18" t="n">
        <f aca="false">IF('Cohort Data'!D272=Assumptions!$B$16,ROUND('Cohort Data'!L272*'Cohort Data'!K272*Assumptions!$F$5,Assumptions!$B$10),Assumptions!$B$13)</f>
        <v>32862.57</v>
      </c>
      <c r="C272" s="18" t="n">
        <f aca="false">IF('Cohort Data'!D272=Assumptions!$B$16,ROUND('Cohort Data'!E272*Assumptions!$C$6,Assumptions!$B$10),Assumptions!$B$13)</f>
        <v>3780</v>
      </c>
      <c r="D272" s="18" t="n">
        <f aca="false">SUM(B272:C272)</f>
        <v>36642.57</v>
      </c>
      <c r="E272" s="18" t="n">
        <f aca="false">ROUND(D272/Assumptions!$F$7,Assumptions!$B$10)</f>
        <v>36101.05</v>
      </c>
      <c r="F272" s="18" t="n">
        <f aca="false">ROUND(E272*Assumptions!$C$7,Assumptions!$B$10)</f>
        <v>1985.56</v>
      </c>
      <c r="G272" s="18" t="n">
        <f aca="false">SUM(E272:F272)</f>
        <v>38086.61</v>
      </c>
      <c r="H272" s="18" t="n">
        <f aca="false">ROUND(G272-'Cohort Data'!H272,Assumptions!$B$10)</f>
        <v>13167.12</v>
      </c>
      <c r="I272" s="18" t="n">
        <f aca="false">CEILING(G272,Assumptions!$B$12)</f>
        <v>38100</v>
      </c>
      <c r="J272" s="18" t="n">
        <f aca="false">FLOOR(G272,Assumptions!$B$12)</f>
        <v>38000</v>
      </c>
      <c r="K272" s="18" t="n">
        <f aca="false">ROUNDUP(G272,Assumptions!$B$10)</f>
        <v>38086.61</v>
      </c>
      <c r="L272" s="18" t="n">
        <f aca="false">ROUNDDOWN(G272,Assumptions!$B$10)</f>
        <v>38086.61</v>
      </c>
      <c r="M272" s="19" t="n">
        <f aca="false">INT('Cohort Data'!E272/Assumptions!$B$11)</f>
        <v>1</v>
      </c>
    </row>
    <row r="273" customFormat="false" ht="15" hidden="false" customHeight="false" outlineLevel="0" collapsed="false">
      <c r="A273" s="2" t="s">
        <v>373</v>
      </c>
      <c r="B273" s="18" t="n">
        <f aca="false">IF('Cohort Data'!D273=Assumptions!$B$16,ROUND('Cohort Data'!L273*'Cohort Data'!K273*Assumptions!$F$5,Assumptions!$B$10),Assumptions!$B$13)</f>
        <v>44287.57</v>
      </c>
      <c r="C273" s="18" t="n">
        <f aca="false">IF('Cohort Data'!D273=Assumptions!$B$16,ROUND('Cohort Data'!E273*Assumptions!$C$6,Assumptions!$B$10),Assumptions!$B$13)</f>
        <v>6405</v>
      </c>
      <c r="D273" s="18" t="n">
        <f aca="false">SUM(B273:C273)</f>
        <v>50692.57</v>
      </c>
      <c r="E273" s="18" t="n">
        <f aca="false">ROUND(D273/Assumptions!$F$7,Assumptions!$B$10)</f>
        <v>49943.42</v>
      </c>
      <c r="F273" s="18" t="n">
        <f aca="false">ROUND(E273*Assumptions!$C$7,Assumptions!$B$10)</f>
        <v>2746.89</v>
      </c>
      <c r="G273" s="18" t="n">
        <f aca="false">SUM(E273:F273)</f>
        <v>52690.31</v>
      </c>
      <c r="H273" s="18" t="n">
        <f aca="false">ROUND(G273-'Cohort Data'!H273,Assumptions!$B$10)</f>
        <v>19961.13</v>
      </c>
      <c r="I273" s="18" t="n">
        <f aca="false">CEILING(G273,Assumptions!$B$12)</f>
        <v>52700</v>
      </c>
      <c r="J273" s="18" t="n">
        <f aca="false">FLOOR(G273,Assumptions!$B$12)</f>
        <v>52600</v>
      </c>
      <c r="K273" s="18" t="n">
        <f aca="false">ROUNDUP(G273,Assumptions!$B$10)</f>
        <v>52690.31</v>
      </c>
      <c r="L273" s="18" t="n">
        <f aca="false">ROUNDDOWN(G273,Assumptions!$B$10)</f>
        <v>52690.31</v>
      </c>
      <c r="M273" s="19" t="n">
        <f aca="false">INT('Cohort Data'!E273/Assumptions!$B$11)</f>
        <v>1</v>
      </c>
    </row>
    <row r="274" customFormat="false" ht="15" hidden="false" customHeight="false" outlineLevel="0" collapsed="false">
      <c r="A274" s="2" t="s">
        <v>374</v>
      </c>
      <c r="B274" s="18" t="n">
        <f aca="false">IF('Cohort Data'!D274=Assumptions!$B$16,ROUND('Cohort Data'!L274*'Cohort Data'!K274*Assumptions!$F$5,Assumptions!$B$10),Assumptions!$B$13)</f>
        <v>17208.59</v>
      </c>
      <c r="C274" s="18" t="n">
        <f aca="false">IF('Cohort Data'!D274=Assumptions!$B$16,ROUND('Cohort Data'!E274*Assumptions!$C$6,Assumptions!$B$10),Assumptions!$B$13)</f>
        <v>3255</v>
      </c>
      <c r="D274" s="18" t="n">
        <f aca="false">SUM(B274:C274)</f>
        <v>20463.59</v>
      </c>
      <c r="E274" s="18" t="n">
        <f aca="false">ROUND(D274/Assumptions!$F$7,Assumptions!$B$10)</f>
        <v>20161.17</v>
      </c>
      <c r="F274" s="18" t="n">
        <f aca="false">ROUND(E274*Assumptions!$C$7,Assumptions!$B$10)</f>
        <v>1108.86</v>
      </c>
      <c r="G274" s="18" t="n">
        <f aca="false">SUM(E274:F274)</f>
        <v>21270.03</v>
      </c>
      <c r="H274" s="18" t="n">
        <f aca="false">ROUND(G274-'Cohort Data'!H274,Assumptions!$B$10)</f>
        <v>7288.78</v>
      </c>
      <c r="I274" s="18" t="n">
        <f aca="false">CEILING(G274,Assumptions!$B$12)</f>
        <v>21300</v>
      </c>
      <c r="J274" s="18" t="n">
        <f aca="false">FLOOR(G274,Assumptions!$B$12)</f>
        <v>21200</v>
      </c>
      <c r="K274" s="18" t="n">
        <f aca="false">ROUNDUP(G274,Assumptions!$B$10)</f>
        <v>21270.03</v>
      </c>
      <c r="L274" s="18" t="n">
        <f aca="false">ROUNDDOWN(G274,Assumptions!$B$10)</f>
        <v>21270.03</v>
      </c>
      <c r="M274" s="19" t="n">
        <f aca="false">INT('Cohort Data'!E274/Assumptions!$B$11)</f>
        <v>0</v>
      </c>
    </row>
    <row r="275" customFormat="false" ht="15" hidden="false" customHeight="false" outlineLevel="0" collapsed="false">
      <c r="A275" s="2" t="s">
        <v>375</v>
      </c>
      <c r="B275" s="18" t="n">
        <f aca="false">IF('Cohort Data'!D275=Assumptions!$B$16,ROUND('Cohort Data'!L275*'Cohort Data'!K275*Assumptions!$F$5,Assumptions!$B$10),Assumptions!$B$13)</f>
        <v>65340.79</v>
      </c>
      <c r="C275" s="18" t="n">
        <f aca="false">IF('Cohort Data'!D275=Assumptions!$B$16,ROUND('Cohort Data'!E275*Assumptions!$C$6,Assumptions!$B$10),Assumptions!$B$13)</f>
        <v>7140</v>
      </c>
      <c r="D275" s="18" t="n">
        <f aca="false">SUM(B275:C275)</f>
        <v>72480.79</v>
      </c>
      <c r="E275" s="18" t="n">
        <f aca="false">ROUND(D275/Assumptions!$F$7,Assumptions!$B$10)</f>
        <v>71409.65</v>
      </c>
      <c r="F275" s="18" t="n">
        <f aca="false">ROUND(E275*Assumptions!$C$7,Assumptions!$B$10)</f>
        <v>3927.53</v>
      </c>
      <c r="G275" s="18" t="n">
        <f aca="false">SUM(E275:F275)</f>
        <v>75337.18</v>
      </c>
      <c r="H275" s="18" t="n">
        <f aca="false">ROUND(G275-'Cohort Data'!H275,Assumptions!$B$10)</f>
        <v>26866.78</v>
      </c>
      <c r="I275" s="18" t="n">
        <f aca="false">CEILING(G275,Assumptions!$B$12)</f>
        <v>75400</v>
      </c>
      <c r="J275" s="18" t="n">
        <f aca="false">FLOOR(G275,Assumptions!$B$12)</f>
        <v>75300</v>
      </c>
      <c r="K275" s="18" t="n">
        <f aca="false">ROUNDUP(G275,Assumptions!$B$10)</f>
        <v>75337.18</v>
      </c>
      <c r="L275" s="18" t="n">
        <f aca="false">ROUNDDOWN(G275,Assumptions!$B$10)</f>
        <v>75337.18</v>
      </c>
      <c r="M275" s="19" t="n">
        <f aca="false">INT('Cohort Data'!E275/Assumptions!$B$11)</f>
        <v>2</v>
      </c>
    </row>
    <row r="276" customFormat="false" ht="15" hidden="false" customHeight="false" outlineLevel="0" collapsed="false">
      <c r="A276" s="2" t="s">
        <v>376</v>
      </c>
      <c r="B276" s="18" t="n">
        <f aca="false">IF('Cohort Data'!D276=Assumptions!$B$16,ROUND('Cohort Data'!L276*'Cohort Data'!K276*Assumptions!$F$5,Assumptions!$B$10),Assumptions!$B$13)</f>
        <v>25634.98</v>
      </c>
      <c r="C276" s="18" t="n">
        <f aca="false">IF('Cohort Data'!D276=Assumptions!$B$16,ROUND('Cohort Data'!E276*Assumptions!$C$6,Assumptions!$B$10),Assumptions!$B$13)</f>
        <v>3850</v>
      </c>
      <c r="D276" s="18" t="n">
        <f aca="false">SUM(B276:C276)</f>
        <v>29484.98</v>
      </c>
      <c r="E276" s="18" t="n">
        <f aca="false">ROUND(D276/Assumptions!$F$7,Assumptions!$B$10)</f>
        <v>29049.24</v>
      </c>
      <c r="F276" s="18" t="n">
        <f aca="false">ROUND(E276*Assumptions!$C$7,Assumptions!$B$10)</f>
        <v>1597.71</v>
      </c>
      <c r="G276" s="18" t="n">
        <f aca="false">SUM(E276:F276)</f>
        <v>30646.95</v>
      </c>
      <c r="H276" s="18" t="n">
        <f aca="false">ROUND(G276-'Cohort Data'!H276,Assumptions!$B$10)</f>
        <v>11908.23</v>
      </c>
      <c r="I276" s="18" t="n">
        <f aca="false">CEILING(G276,Assumptions!$B$12)</f>
        <v>30700</v>
      </c>
      <c r="J276" s="18" t="n">
        <f aca="false">FLOOR(G276,Assumptions!$B$12)</f>
        <v>30600</v>
      </c>
      <c r="K276" s="18" t="n">
        <f aca="false">ROUNDUP(G276,Assumptions!$B$10)</f>
        <v>30646.95</v>
      </c>
      <c r="L276" s="18" t="n">
        <f aca="false">ROUNDDOWN(G276,Assumptions!$B$10)</f>
        <v>30646.95</v>
      </c>
      <c r="M276" s="19" t="n">
        <f aca="false">INT('Cohort Data'!E276/Assumptions!$B$11)</f>
        <v>1</v>
      </c>
    </row>
    <row r="277" customFormat="false" ht="15" hidden="false" customHeight="false" outlineLevel="0" collapsed="false">
      <c r="A277" s="2" t="s">
        <v>377</v>
      </c>
      <c r="B277" s="18" t="n">
        <f aca="false">IF('Cohort Data'!D277=Assumptions!$B$16,ROUND('Cohort Data'!L277*'Cohort Data'!K277*Assumptions!$F$5,Assumptions!$B$10),Assumptions!$B$13)</f>
        <v>57807.42</v>
      </c>
      <c r="C277" s="18" t="n">
        <f aca="false">IF('Cohort Data'!D277=Assumptions!$B$16,ROUND('Cohort Data'!E277*Assumptions!$C$6,Assumptions!$B$10),Assumptions!$B$13)</f>
        <v>8435</v>
      </c>
      <c r="D277" s="18" t="n">
        <f aca="false">SUM(B277:C277)</f>
        <v>66242.42</v>
      </c>
      <c r="E277" s="18" t="n">
        <f aca="false">ROUND(D277/Assumptions!$F$7,Assumptions!$B$10)</f>
        <v>65263.47</v>
      </c>
      <c r="F277" s="18" t="n">
        <f aca="false">ROUND(E277*Assumptions!$C$7,Assumptions!$B$10)</f>
        <v>3589.49</v>
      </c>
      <c r="G277" s="18" t="n">
        <f aca="false">SUM(E277:F277)</f>
        <v>68852.96</v>
      </c>
      <c r="H277" s="18" t="n">
        <f aca="false">ROUND(G277-'Cohort Data'!H277,Assumptions!$B$10)</f>
        <v>20419.19</v>
      </c>
      <c r="I277" s="18" t="n">
        <f aca="false">CEILING(G277,Assumptions!$B$12)</f>
        <v>68900</v>
      </c>
      <c r="J277" s="18" t="n">
        <f aca="false">FLOOR(G277,Assumptions!$B$12)</f>
        <v>68800</v>
      </c>
      <c r="K277" s="18" t="n">
        <f aca="false">ROUNDUP(G277,Assumptions!$B$10)</f>
        <v>68852.96</v>
      </c>
      <c r="L277" s="18" t="n">
        <f aca="false">ROUNDDOWN(G277,Assumptions!$B$10)</f>
        <v>68852.96</v>
      </c>
      <c r="M277" s="19" t="n">
        <f aca="false">INT('Cohort Data'!E277/Assumptions!$B$11)</f>
        <v>2</v>
      </c>
    </row>
    <row r="278" customFormat="false" ht="15" hidden="false" customHeight="false" outlineLevel="0" collapsed="false">
      <c r="A278" s="2" t="s">
        <v>378</v>
      </c>
      <c r="B278" s="18" t="n">
        <f aca="false">IF('Cohort Data'!D278=Assumptions!$B$16,ROUND('Cohort Data'!L278*'Cohort Data'!K278*Assumptions!$F$5,Assumptions!$B$10),Assumptions!$B$13)</f>
        <v>42279.34</v>
      </c>
      <c r="C278" s="18" t="n">
        <f aca="false">IF('Cohort Data'!D278=Assumptions!$B$16,ROUND('Cohort Data'!E278*Assumptions!$C$6,Assumptions!$B$10),Assumptions!$B$13)</f>
        <v>5775</v>
      </c>
      <c r="D278" s="18" t="n">
        <f aca="false">SUM(B278:C278)</f>
        <v>48054.34</v>
      </c>
      <c r="E278" s="18" t="n">
        <f aca="false">ROUND(D278/Assumptions!$F$7,Assumptions!$B$10)</f>
        <v>47344.18</v>
      </c>
      <c r="F278" s="18" t="n">
        <f aca="false">ROUND(E278*Assumptions!$C$7,Assumptions!$B$10)</f>
        <v>2603.93</v>
      </c>
      <c r="G278" s="18" t="n">
        <f aca="false">SUM(E278:F278)</f>
        <v>49948.11</v>
      </c>
      <c r="H278" s="18" t="n">
        <f aca="false">ROUND(G278-'Cohort Data'!H278,Assumptions!$B$10)</f>
        <v>15797.07</v>
      </c>
      <c r="I278" s="18" t="n">
        <f aca="false">CEILING(G278,Assumptions!$B$12)</f>
        <v>50000</v>
      </c>
      <c r="J278" s="18" t="n">
        <f aca="false">FLOOR(G278,Assumptions!$B$12)</f>
        <v>49900</v>
      </c>
      <c r="K278" s="18" t="n">
        <f aca="false">ROUNDUP(G278,Assumptions!$B$10)</f>
        <v>49948.11</v>
      </c>
      <c r="L278" s="18" t="n">
        <f aca="false">ROUNDDOWN(G278,Assumptions!$B$10)</f>
        <v>49948.11</v>
      </c>
      <c r="M278" s="19" t="n">
        <f aca="false">INT('Cohort Data'!E278/Assumptions!$B$11)</f>
        <v>1</v>
      </c>
    </row>
    <row r="279" customFormat="false" ht="15" hidden="false" customHeight="false" outlineLevel="0" collapsed="false">
      <c r="A279" s="2" t="s">
        <v>379</v>
      </c>
      <c r="B279" s="18" t="n">
        <f aca="false">IF('Cohort Data'!D279=Assumptions!$B$16,ROUND('Cohort Data'!L279*'Cohort Data'!K279*Assumptions!$F$5,Assumptions!$B$10),Assumptions!$B$13)</f>
        <v>28359.82</v>
      </c>
      <c r="C279" s="18" t="n">
        <f aca="false">IF('Cohort Data'!D279=Assumptions!$B$16,ROUND('Cohort Data'!E279*Assumptions!$C$6,Assumptions!$B$10),Assumptions!$B$13)</f>
        <v>3955</v>
      </c>
      <c r="D279" s="18" t="n">
        <f aca="false">SUM(B279:C279)</f>
        <v>32314.82</v>
      </c>
      <c r="E279" s="18" t="n">
        <f aca="false">ROUND(D279/Assumptions!$F$7,Assumptions!$B$10)</f>
        <v>31837.26</v>
      </c>
      <c r="F279" s="18" t="n">
        <f aca="false">ROUND(E279*Assumptions!$C$7,Assumptions!$B$10)</f>
        <v>1751.05</v>
      </c>
      <c r="G279" s="18" t="n">
        <f aca="false">SUM(E279:F279)</f>
        <v>33588.31</v>
      </c>
      <c r="H279" s="18" t="n">
        <f aca="false">ROUND(G279-'Cohort Data'!H279,Assumptions!$B$10)</f>
        <v>12629.97</v>
      </c>
      <c r="I279" s="18" t="n">
        <f aca="false">CEILING(G279,Assumptions!$B$12)</f>
        <v>33600</v>
      </c>
      <c r="J279" s="18" t="n">
        <f aca="false">FLOOR(G279,Assumptions!$B$12)</f>
        <v>33500</v>
      </c>
      <c r="K279" s="18" t="n">
        <f aca="false">ROUNDUP(G279,Assumptions!$B$10)</f>
        <v>33588.31</v>
      </c>
      <c r="L279" s="18" t="n">
        <f aca="false">ROUNDDOWN(G279,Assumptions!$B$10)</f>
        <v>33588.31</v>
      </c>
      <c r="M279" s="19" t="n">
        <f aca="false">INT('Cohort Data'!E279/Assumptions!$B$11)</f>
        <v>1</v>
      </c>
    </row>
    <row r="280" customFormat="false" ht="15" hidden="false" customHeight="false" outlineLevel="0" collapsed="false">
      <c r="A280" s="2" t="s">
        <v>380</v>
      </c>
      <c r="B280" s="18" t="n">
        <f aca="false">IF('Cohort Data'!D280=Assumptions!$B$16,ROUND('Cohort Data'!L280*'Cohort Data'!K280*Assumptions!$F$5,Assumptions!$B$10),Assumptions!$B$13)</f>
        <v>55168.9</v>
      </c>
      <c r="C280" s="18" t="n">
        <f aca="false">IF('Cohort Data'!D280=Assumptions!$B$16,ROUND('Cohort Data'!E280*Assumptions!$C$6,Assumptions!$B$10),Assumptions!$B$13)</f>
        <v>8050</v>
      </c>
      <c r="D280" s="18" t="n">
        <f aca="false">SUM(B280:C280)</f>
        <v>63218.9</v>
      </c>
      <c r="E280" s="18" t="n">
        <f aca="false">ROUND(D280/Assumptions!$F$7,Assumptions!$B$10)</f>
        <v>62284.63</v>
      </c>
      <c r="F280" s="18" t="n">
        <f aca="false">ROUND(E280*Assumptions!$C$7,Assumptions!$B$10)</f>
        <v>3425.65</v>
      </c>
      <c r="G280" s="18" t="n">
        <f aca="false">SUM(E280:F280)</f>
        <v>65710.28</v>
      </c>
      <c r="H280" s="18" t="n">
        <f aca="false">ROUND(G280-'Cohort Data'!H280,Assumptions!$B$10)</f>
        <v>23689.28</v>
      </c>
      <c r="I280" s="18" t="n">
        <f aca="false">CEILING(G280,Assumptions!$B$12)</f>
        <v>65800</v>
      </c>
      <c r="J280" s="18" t="n">
        <f aca="false">FLOOR(G280,Assumptions!$B$12)</f>
        <v>65700</v>
      </c>
      <c r="K280" s="18" t="n">
        <f aca="false">ROUNDUP(G280,Assumptions!$B$10)</f>
        <v>65710.28</v>
      </c>
      <c r="L280" s="18" t="n">
        <f aca="false">ROUNDDOWN(G280,Assumptions!$B$10)</f>
        <v>65710.28</v>
      </c>
      <c r="M280" s="19" t="n">
        <f aca="false">INT('Cohort Data'!E280/Assumptions!$B$11)</f>
        <v>2</v>
      </c>
    </row>
    <row r="281" customFormat="false" ht="15" hidden="false" customHeight="false" outlineLevel="0" collapsed="false">
      <c r="A281" s="2" t="s">
        <v>381</v>
      </c>
      <c r="B281" s="18" t="n">
        <f aca="false">IF('Cohort Data'!D281=Assumptions!$B$16,ROUND('Cohort Data'!L281*'Cohort Data'!K281*Assumptions!$F$5,Assumptions!$B$10),Assumptions!$B$13)</f>
        <v>56572.63</v>
      </c>
      <c r="C281" s="18" t="n">
        <f aca="false">IF('Cohort Data'!D281=Assumptions!$B$16,ROUND('Cohort Data'!E281*Assumptions!$C$6,Assumptions!$B$10),Assumptions!$B$13)</f>
        <v>5495</v>
      </c>
      <c r="D281" s="18" t="n">
        <f aca="false">SUM(B281:C281)</f>
        <v>62067.63</v>
      </c>
      <c r="E281" s="18" t="n">
        <f aca="false">ROUND(D281/Assumptions!$F$7,Assumptions!$B$10)</f>
        <v>61150.37</v>
      </c>
      <c r="F281" s="18" t="n">
        <f aca="false">ROUND(E281*Assumptions!$C$7,Assumptions!$B$10)</f>
        <v>3363.27</v>
      </c>
      <c r="G281" s="18" t="n">
        <f aca="false">SUM(E281:F281)</f>
        <v>64513.64</v>
      </c>
      <c r="H281" s="18" t="n">
        <f aca="false">ROUND(G281-'Cohort Data'!H281,Assumptions!$B$10)</f>
        <v>17884.64</v>
      </c>
      <c r="I281" s="18" t="n">
        <f aca="false">CEILING(G281,Assumptions!$B$12)</f>
        <v>64600</v>
      </c>
      <c r="J281" s="18" t="n">
        <f aca="false">FLOOR(G281,Assumptions!$B$12)</f>
        <v>64500</v>
      </c>
      <c r="K281" s="18" t="n">
        <f aca="false">ROUNDUP(G281,Assumptions!$B$10)</f>
        <v>64513.64</v>
      </c>
      <c r="L281" s="18" t="n">
        <f aca="false">ROUNDDOWN(G281,Assumptions!$B$10)</f>
        <v>64513.64</v>
      </c>
      <c r="M281" s="19" t="n">
        <f aca="false">INT('Cohort Data'!E281/Assumptions!$B$11)</f>
        <v>1</v>
      </c>
    </row>
    <row r="282" customFormat="false" ht="15" hidden="false" customHeight="false" outlineLevel="0" collapsed="false">
      <c r="A282" s="2" t="s">
        <v>382</v>
      </c>
      <c r="B282" s="18" t="n">
        <f aca="false">IF('Cohort Data'!D282=Assumptions!$B$16,ROUND('Cohort Data'!L282*'Cohort Data'!K282*Assumptions!$F$5,Assumptions!$B$10),Assumptions!$B$13)</f>
        <v>45918.88</v>
      </c>
      <c r="C282" s="18" t="n">
        <f aca="false">IF('Cohort Data'!D282=Assumptions!$B$16,ROUND('Cohort Data'!E282*Assumptions!$C$6,Assumptions!$B$10),Assumptions!$B$13)</f>
        <v>3815</v>
      </c>
      <c r="D282" s="18" t="n">
        <f aca="false">SUM(B282:C282)</f>
        <v>49733.88</v>
      </c>
      <c r="E282" s="18" t="n">
        <f aca="false">ROUND(D282/Assumptions!$F$7,Assumptions!$B$10)</f>
        <v>48998.9</v>
      </c>
      <c r="F282" s="18" t="n">
        <f aca="false">ROUND(E282*Assumptions!$C$7,Assumptions!$B$10)</f>
        <v>2694.94</v>
      </c>
      <c r="G282" s="18" t="n">
        <f aca="false">SUM(E282:F282)</f>
        <v>51693.84</v>
      </c>
      <c r="H282" s="18" t="n">
        <f aca="false">ROUND(G282-'Cohort Data'!H282,Assumptions!$B$10)</f>
        <v>16283.66</v>
      </c>
      <c r="I282" s="18" t="n">
        <f aca="false">CEILING(G282,Assumptions!$B$12)</f>
        <v>51700</v>
      </c>
      <c r="J282" s="18" t="n">
        <f aca="false">FLOOR(G282,Assumptions!$B$12)</f>
        <v>51600</v>
      </c>
      <c r="K282" s="18" t="n">
        <f aca="false">ROUNDUP(G282,Assumptions!$B$10)</f>
        <v>51693.84</v>
      </c>
      <c r="L282" s="18" t="n">
        <f aca="false">ROUNDDOWN(G282,Assumptions!$B$10)</f>
        <v>51693.84</v>
      </c>
      <c r="M282" s="19" t="n">
        <f aca="false">INT('Cohort Data'!E282/Assumptions!$B$11)</f>
        <v>1</v>
      </c>
    </row>
    <row r="283" customFormat="false" ht="15" hidden="false" customHeight="false" outlineLevel="0" collapsed="false">
      <c r="A283" s="2" t="s">
        <v>383</v>
      </c>
      <c r="B283" s="18" t="n">
        <f aca="false">IF('Cohort Data'!D283=Assumptions!$B$16,ROUND('Cohort Data'!L283*'Cohort Data'!K283*Assumptions!$F$5,Assumptions!$B$10),Assumptions!$B$13)</f>
        <v>45834.74</v>
      </c>
      <c r="C283" s="18" t="n">
        <f aca="false">IF('Cohort Data'!D283=Assumptions!$B$16,ROUND('Cohort Data'!E283*Assumptions!$C$6,Assumptions!$B$10),Assumptions!$B$13)</f>
        <v>5320</v>
      </c>
      <c r="D283" s="18" t="n">
        <f aca="false">SUM(B283:C283)</f>
        <v>51154.74</v>
      </c>
      <c r="E283" s="18" t="n">
        <f aca="false">ROUND(D283/Assumptions!$F$7,Assumptions!$B$10)</f>
        <v>50398.76</v>
      </c>
      <c r="F283" s="18" t="n">
        <f aca="false">ROUND(E283*Assumptions!$C$7,Assumptions!$B$10)</f>
        <v>2771.93</v>
      </c>
      <c r="G283" s="18" t="n">
        <f aca="false">SUM(E283:F283)</f>
        <v>53170.69</v>
      </c>
      <c r="H283" s="18" t="n">
        <f aca="false">ROUND(G283-'Cohort Data'!H283,Assumptions!$B$10)</f>
        <v>15544</v>
      </c>
      <c r="I283" s="18" t="n">
        <f aca="false">CEILING(G283,Assumptions!$B$12)</f>
        <v>53200</v>
      </c>
      <c r="J283" s="18" t="n">
        <f aca="false">FLOOR(G283,Assumptions!$B$12)</f>
        <v>53100</v>
      </c>
      <c r="K283" s="18" t="n">
        <f aca="false">ROUNDUP(G283,Assumptions!$B$10)</f>
        <v>53170.69</v>
      </c>
      <c r="L283" s="18" t="n">
        <f aca="false">ROUNDDOWN(G283,Assumptions!$B$10)</f>
        <v>53170.69</v>
      </c>
      <c r="M283" s="19" t="n">
        <f aca="false">INT('Cohort Data'!E283/Assumptions!$B$11)</f>
        <v>1</v>
      </c>
    </row>
    <row r="284" customFormat="false" ht="15" hidden="false" customHeight="false" outlineLevel="0" collapsed="false">
      <c r="A284" s="2" t="s">
        <v>384</v>
      </c>
      <c r="B284" s="18" t="n">
        <f aca="false">IF('Cohort Data'!D284=Assumptions!$B$16,ROUND('Cohort Data'!L284*'Cohort Data'!K284*Assumptions!$F$5,Assumptions!$B$10),Assumptions!$B$13)</f>
        <v>11915.09</v>
      </c>
      <c r="C284" s="18" t="n">
        <f aca="false">IF('Cohort Data'!D284=Assumptions!$B$16,ROUND('Cohort Data'!E284*Assumptions!$C$6,Assumptions!$B$10),Assumptions!$B$13)</f>
        <v>2170</v>
      </c>
      <c r="D284" s="18" t="n">
        <f aca="false">SUM(B284:C284)</f>
        <v>14085.09</v>
      </c>
      <c r="E284" s="18" t="n">
        <f aca="false">ROUND(D284/Assumptions!$F$7,Assumptions!$B$10)</f>
        <v>13876.94</v>
      </c>
      <c r="F284" s="18" t="n">
        <f aca="false">ROUND(E284*Assumptions!$C$7,Assumptions!$B$10)</f>
        <v>763.23</v>
      </c>
      <c r="G284" s="18" t="n">
        <f aca="false">SUM(E284:F284)</f>
        <v>14640.17</v>
      </c>
      <c r="H284" s="18" t="n">
        <f aca="false">ROUND(G284-'Cohort Data'!H284,Assumptions!$B$10)</f>
        <v>5408.62</v>
      </c>
      <c r="I284" s="18" t="n">
        <f aca="false">CEILING(G284,Assumptions!$B$12)</f>
        <v>14700</v>
      </c>
      <c r="J284" s="18" t="n">
        <f aca="false">FLOOR(G284,Assumptions!$B$12)</f>
        <v>14600</v>
      </c>
      <c r="K284" s="18" t="n">
        <f aca="false">ROUNDUP(G284,Assumptions!$B$10)</f>
        <v>14640.17</v>
      </c>
      <c r="L284" s="18" t="n">
        <f aca="false">ROUNDDOWN(G284,Assumptions!$B$10)</f>
        <v>14640.17</v>
      </c>
      <c r="M284" s="19" t="n">
        <f aca="false">INT('Cohort Data'!E284/Assumptions!$B$11)</f>
        <v>0</v>
      </c>
    </row>
    <row r="285" customFormat="false" ht="15" hidden="false" customHeight="false" outlineLevel="0" collapsed="false">
      <c r="A285" s="2" t="s">
        <v>385</v>
      </c>
      <c r="B285" s="18" t="n">
        <f aca="false">IF('Cohort Data'!D285=Assumptions!$B$16,ROUND('Cohort Data'!L285*'Cohort Data'!K285*Assumptions!$F$5,Assumptions!$B$10),Assumptions!$B$13)</f>
        <v>31550.75</v>
      </c>
      <c r="C285" s="18" t="n">
        <f aca="false">IF('Cohort Data'!D285=Assumptions!$B$16,ROUND('Cohort Data'!E285*Assumptions!$C$6,Assumptions!$B$10),Assumptions!$B$13)</f>
        <v>3080</v>
      </c>
      <c r="D285" s="18" t="n">
        <f aca="false">SUM(B285:C285)</f>
        <v>34630.75</v>
      </c>
      <c r="E285" s="18" t="n">
        <f aca="false">ROUND(D285/Assumptions!$F$7,Assumptions!$B$10)</f>
        <v>34118.97</v>
      </c>
      <c r="F285" s="18" t="n">
        <f aca="false">ROUND(E285*Assumptions!$C$7,Assumptions!$B$10)</f>
        <v>1876.54</v>
      </c>
      <c r="G285" s="18" t="n">
        <f aca="false">SUM(E285:F285)</f>
        <v>35995.51</v>
      </c>
      <c r="H285" s="18" t="n">
        <f aca="false">ROUND(G285-'Cohort Data'!H285,Assumptions!$B$10)</f>
        <v>12425.59</v>
      </c>
      <c r="I285" s="18" t="n">
        <f aca="false">CEILING(G285,Assumptions!$B$12)</f>
        <v>36000</v>
      </c>
      <c r="J285" s="18" t="n">
        <f aca="false">FLOOR(G285,Assumptions!$B$12)</f>
        <v>35900</v>
      </c>
      <c r="K285" s="18" t="n">
        <f aca="false">ROUNDUP(G285,Assumptions!$B$10)</f>
        <v>35995.51</v>
      </c>
      <c r="L285" s="18" t="n">
        <f aca="false">ROUNDDOWN(G285,Assumptions!$B$10)</f>
        <v>35995.51</v>
      </c>
      <c r="M285" s="19" t="n">
        <f aca="false">INT('Cohort Data'!E285/Assumptions!$B$11)</f>
        <v>0</v>
      </c>
    </row>
    <row r="286" customFormat="false" ht="15" hidden="false" customHeight="false" outlineLevel="0" collapsed="false">
      <c r="A286" s="2" t="s">
        <v>386</v>
      </c>
      <c r="B286" s="18" t="n">
        <f aca="false">IF('Cohort Data'!D286=Assumptions!$B$16,ROUND('Cohort Data'!L286*'Cohort Data'!K286*Assumptions!$F$5,Assumptions!$B$10),Assumptions!$B$13)</f>
        <v>40571.42</v>
      </c>
      <c r="C286" s="18" t="n">
        <f aca="false">IF('Cohort Data'!D286=Assumptions!$B$16,ROUND('Cohort Data'!E286*Assumptions!$C$6,Assumptions!$B$10),Assumptions!$B$13)</f>
        <v>5600</v>
      </c>
      <c r="D286" s="18" t="n">
        <f aca="false">SUM(B286:C286)</f>
        <v>46171.42</v>
      </c>
      <c r="E286" s="18" t="n">
        <f aca="false">ROUND(D286/Assumptions!$F$7,Assumptions!$B$10)</f>
        <v>45489.08</v>
      </c>
      <c r="F286" s="18" t="n">
        <f aca="false">ROUND(E286*Assumptions!$C$7,Assumptions!$B$10)</f>
        <v>2501.9</v>
      </c>
      <c r="G286" s="18" t="n">
        <f aca="false">SUM(E286:F286)</f>
        <v>47990.98</v>
      </c>
      <c r="H286" s="18" t="n">
        <f aca="false">ROUND(G286-'Cohort Data'!H286,Assumptions!$B$10)</f>
        <v>15028.42</v>
      </c>
      <c r="I286" s="18" t="n">
        <f aca="false">CEILING(G286,Assumptions!$B$12)</f>
        <v>48000</v>
      </c>
      <c r="J286" s="18" t="n">
        <f aca="false">FLOOR(G286,Assumptions!$B$12)</f>
        <v>47900</v>
      </c>
      <c r="K286" s="18" t="n">
        <f aca="false">ROUNDUP(G286,Assumptions!$B$10)</f>
        <v>47990.98</v>
      </c>
      <c r="L286" s="18" t="n">
        <f aca="false">ROUNDDOWN(G286,Assumptions!$B$10)</f>
        <v>47990.98</v>
      </c>
      <c r="M286" s="19" t="n">
        <f aca="false">INT('Cohort Data'!E286/Assumptions!$B$11)</f>
        <v>1</v>
      </c>
    </row>
    <row r="287" customFormat="false" ht="15" hidden="false" customHeight="false" outlineLevel="0" collapsed="false">
      <c r="A287" s="2" t="s">
        <v>387</v>
      </c>
      <c r="B287" s="18" t="n">
        <f aca="false">IF('Cohort Data'!D287=Assumptions!$B$16,ROUND('Cohort Data'!L287*'Cohort Data'!K287*Assumptions!$F$5,Assumptions!$B$10),Assumptions!$B$13)</f>
        <v>33078.78</v>
      </c>
      <c r="C287" s="18" t="n">
        <f aca="false">IF('Cohort Data'!D287=Assumptions!$B$16,ROUND('Cohort Data'!E287*Assumptions!$C$6,Assumptions!$B$10),Assumptions!$B$13)</f>
        <v>5355</v>
      </c>
      <c r="D287" s="18" t="n">
        <f aca="false">SUM(B287:C287)</f>
        <v>38433.78</v>
      </c>
      <c r="E287" s="18" t="n">
        <f aca="false">ROUND(D287/Assumptions!$F$7,Assumptions!$B$10)</f>
        <v>37865.79</v>
      </c>
      <c r="F287" s="18" t="n">
        <f aca="false">ROUND(E287*Assumptions!$C$7,Assumptions!$B$10)</f>
        <v>2082.62</v>
      </c>
      <c r="G287" s="18" t="n">
        <f aca="false">SUM(E287:F287)</f>
        <v>39948.41</v>
      </c>
      <c r="H287" s="18" t="n">
        <f aca="false">ROUND(G287-'Cohort Data'!H287,Assumptions!$B$10)</f>
        <v>15410.27</v>
      </c>
      <c r="I287" s="18" t="n">
        <f aca="false">CEILING(G287,Assumptions!$B$12)</f>
        <v>40000</v>
      </c>
      <c r="J287" s="18" t="n">
        <f aca="false">FLOOR(G287,Assumptions!$B$12)</f>
        <v>39900</v>
      </c>
      <c r="K287" s="18" t="n">
        <f aca="false">ROUNDUP(G287,Assumptions!$B$10)</f>
        <v>39948.41</v>
      </c>
      <c r="L287" s="18" t="n">
        <f aca="false">ROUNDDOWN(G287,Assumptions!$B$10)</f>
        <v>39948.41</v>
      </c>
      <c r="M287" s="19" t="n">
        <f aca="false">INT('Cohort Data'!E287/Assumptions!$B$11)</f>
        <v>1</v>
      </c>
    </row>
    <row r="288" customFormat="false" ht="15" hidden="false" customHeight="false" outlineLevel="0" collapsed="false">
      <c r="A288" s="2" t="s">
        <v>388</v>
      </c>
      <c r="B288" s="18" t="n">
        <f aca="false">IF('Cohort Data'!D288=Assumptions!$B$16,ROUND('Cohort Data'!L288*'Cohort Data'!K288*Assumptions!$F$5,Assumptions!$B$10),Assumptions!$B$13)</f>
        <v>0</v>
      </c>
      <c r="C288" s="18" t="n">
        <f aca="false">IF('Cohort Data'!D288=Assumptions!$B$16,ROUND('Cohort Data'!E288*Assumptions!$C$6,Assumptions!$B$10),Assumptions!$B$13)</f>
        <v>0</v>
      </c>
      <c r="D288" s="18" t="n">
        <f aca="false">SUM(B288:C288)</f>
        <v>0</v>
      </c>
      <c r="E288" s="18" t="n">
        <f aca="false">ROUND(D288/Assumptions!$F$7,Assumptions!$B$10)</f>
        <v>0</v>
      </c>
      <c r="F288" s="18" t="n">
        <f aca="false">ROUND(E288*Assumptions!$C$7,Assumptions!$B$10)</f>
        <v>0</v>
      </c>
      <c r="G288" s="18" t="n">
        <f aca="false">SUM(E288:F288)</f>
        <v>0</v>
      </c>
      <c r="H288" s="18" t="n">
        <f aca="false">ROUND(G288-'Cohort Data'!H288,Assumptions!$B$10)</f>
        <v>-48399.12</v>
      </c>
      <c r="I288" s="18" t="n">
        <f aca="false">CEILING(G288,Assumptions!$B$12)</f>
        <v>0</v>
      </c>
      <c r="J288" s="18" t="n">
        <f aca="false">FLOOR(G288,Assumptions!$B$12)</f>
        <v>0</v>
      </c>
      <c r="K288" s="18" t="n">
        <f aca="false">ROUNDUP(G288,Assumptions!$B$10)</f>
        <v>0</v>
      </c>
      <c r="L288" s="18" t="n">
        <f aca="false">ROUNDDOWN(G288,Assumptions!$B$10)</f>
        <v>0</v>
      </c>
      <c r="M288" s="19" t="n">
        <f aca="false">INT('Cohort Data'!E288/Assumptions!$B$11)</f>
        <v>1</v>
      </c>
    </row>
    <row r="289" customFormat="false" ht="15" hidden="false" customHeight="false" outlineLevel="0" collapsed="false">
      <c r="A289" s="2" t="s">
        <v>389</v>
      </c>
      <c r="B289" s="18" t="n">
        <f aca="false">IF('Cohort Data'!D289=Assumptions!$B$16,ROUND('Cohort Data'!L289*'Cohort Data'!K289*Assumptions!$F$5,Assumptions!$B$10),Assumptions!$B$13)</f>
        <v>26453.66</v>
      </c>
      <c r="C289" s="18" t="n">
        <f aca="false">IF('Cohort Data'!D289=Assumptions!$B$16,ROUND('Cohort Data'!E289*Assumptions!$C$6,Assumptions!$B$10),Assumptions!$B$13)</f>
        <v>6755</v>
      </c>
      <c r="D289" s="18" t="n">
        <f aca="false">SUM(B289:C289)</f>
        <v>33208.66</v>
      </c>
      <c r="E289" s="18" t="n">
        <f aca="false">ROUND(D289/Assumptions!$F$7,Assumptions!$B$10)</f>
        <v>32717.89</v>
      </c>
      <c r="F289" s="18" t="n">
        <f aca="false">ROUND(E289*Assumptions!$C$7,Assumptions!$B$10)</f>
        <v>1799.48</v>
      </c>
      <c r="G289" s="18" t="n">
        <f aca="false">SUM(E289:F289)</f>
        <v>34517.37</v>
      </c>
      <c r="H289" s="18" t="n">
        <f aca="false">ROUND(G289-'Cohort Data'!H289,Assumptions!$B$10)</f>
        <v>14368.17</v>
      </c>
      <c r="I289" s="18" t="n">
        <f aca="false">CEILING(G289,Assumptions!$B$12)</f>
        <v>34600</v>
      </c>
      <c r="J289" s="18" t="n">
        <f aca="false">FLOOR(G289,Assumptions!$B$12)</f>
        <v>34500</v>
      </c>
      <c r="K289" s="18" t="n">
        <f aca="false">ROUNDUP(G289,Assumptions!$B$10)</f>
        <v>34517.37</v>
      </c>
      <c r="L289" s="18" t="n">
        <f aca="false">ROUNDDOWN(G289,Assumptions!$B$10)</f>
        <v>34517.37</v>
      </c>
      <c r="M289" s="19" t="n">
        <f aca="false">INT('Cohort Data'!E289/Assumptions!$B$11)</f>
        <v>1</v>
      </c>
    </row>
    <row r="290" customFormat="false" ht="15" hidden="false" customHeight="false" outlineLevel="0" collapsed="false">
      <c r="A290" s="2" t="s">
        <v>390</v>
      </c>
      <c r="B290" s="18" t="n">
        <f aca="false">IF('Cohort Data'!D290=Assumptions!$B$16,ROUND('Cohort Data'!L290*'Cohort Data'!K290*Assumptions!$F$5,Assumptions!$B$10),Assumptions!$B$13)</f>
        <v>93711.19</v>
      </c>
      <c r="C290" s="18" t="n">
        <f aca="false">IF('Cohort Data'!D290=Assumptions!$B$16,ROUND('Cohort Data'!E290*Assumptions!$C$6,Assumptions!$B$10),Assumptions!$B$13)</f>
        <v>8715</v>
      </c>
      <c r="D290" s="18" t="n">
        <f aca="false">SUM(B290:C290)</f>
        <v>102426.19</v>
      </c>
      <c r="E290" s="18" t="n">
        <f aca="false">ROUND(D290/Assumptions!$F$7,Assumptions!$B$10)</f>
        <v>100912.5</v>
      </c>
      <c r="F290" s="18" t="n">
        <f aca="false">ROUND(E290*Assumptions!$C$7,Assumptions!$B$10)</f>
        <v>5550.19</v>
      </c>
      <c r="G290" s="18" t="n">
        <f aca="false">SUM(E290:F290)</f>
        <v>106462.69</v>
      </c>
      <c r="H290" s="18" t="n">
        <f aca="false">ROUND(G290-'Cohort Data'!H290,Assumptions!$B$10)</f>
        <v>29995.29</v>
      </c>
      <c r="I290" s="18" t="n">
        <f aca="false">CEILING(G290,Assumptions!$B$12)</f>
        <v>106500</v>
      </c>
      <c r="J290" s="18" t="n">
        <f aca="false">FLOOR(G290,Assumptions!$B$12)</f>
        <v>106400</v>
      </c>
      <c r="K290" s="18" t="n">
        <f aca="false">ROUNDUP(G290,Assumptions!$B$10)</f>
        <v>106462.69</v>
      </c>
      <c r="L290" s="18" t="n">
        <f aca="false">ROUNDDOWN(G290,Assumptions!$B$10)</f>
        <v>106462.69</v>
      </c>
      <c r="M290" s="19" t="n">
        <f aca="false">INT('Cohort Data'!E290/Assumptions!$B$11)</f>
        <v>2</v>
      </c>
    </row>
    <row r="291" customFormat="false" ht="15" hidden="false" customHeight="false" outlineLevel="0" collapsed="false">
      <c r="A291" s="2" t="s">
        <v>391</v>
      </c>
      <c r="B291" s="18" t="n">
        <f aca="false">IF('Cohort Data'!D291=Assumptions!$B$16,ROUND('Cohort Data'!L291*'Cohort Data'!K291*Assumptions!$F$5,Assumptions!$B$10),Assumptions!$B$13)</f>
        <v>30331.74</v>
      </c>
      <c r="C291" s="18" t="n">
        <f aca="false">IF('Cohort Data'!D291=Assumptions!$B$16,ROUND('Cohort Data'!E291*Assumptions!$C$6,Assumptions!$B$10),Assumptions!$B$13)</f>
        <v>2520</v>
      </c>
      <c r="D291" s="18" t="n">
        <f aca="false">SUM(B291:C291)</f>
        <v>32851.74</v>
      </c>
      <c r="E291" s="18" t="n">
        <f aca="false">ROUND(D291/Assumptions!$F$7,Assumptions!$B$10)</f>
        <v>32366.25</v>
      </c>
      <c r="F291" s="18" t="n">
        <f aca="false">ROUND(E291*Assumptions!$C$7,Assumptions!$B$10)</f>
        <v>1780.14</v>
      </c>
      <c r="G291" s="18" t="n">
        <f aca="false">SUM(E291:F291)</f>
        <v>34146.39</v>
      </c>
      <c r="H291" s="18" t="n">
        <f aca="false">ROUND(G291-'Cohort Data'!H291,Assumptions!$B$10)</f>
        <v>11487.13</v>
      </c>
      <c r="I291" s="18" t="n">
        <f aca="false">CEILING(G291,Assumptions!$B$12)</f>
        <v>34200</v>
      </c>
      <c r="J291" s="18" t="n">
        <f aca="false">FLOOR(G291,Assumptions!$B$12)</f>
        <v>34100</v>
      </c>
      <c r="K291" s="18" t="n">
        <f aca="false">ROUNDUP(G291,Assumptions!$B$10)</f>
        <v>34146.39</v>
      </c>
      <c r="L291" s="18" t="n">
        <f aca="false">ROUNDDOWN(G291,Assumptions!$B$10)</f>
        <v>34146.39</v>
      </c>
      <c r="M291" s="19" t="n">
        <f aca="false">INT('Cohort Data'!E291/Assumptions!$B$11)</f>
        <v>0</v>
      </c>
    </row>
    <row r="292" customFormat="false" ht="15" hidden="false" customHeight="false" outlineLevel="0" collapsed="false">
      <c r="A292" s="2" t="s">
        <v>392</v>
      </c>
      <c r="B292" s="18" t="n">
        <f aca="false">IF('Cohort Data'!D292=Assumptions!$B$16,ROUND('Cohort Data'!L292*'Cohort Data'!K292*Assumptions!$F$5,Assumptions!$B$10),Assumptions!$B$13)</f>
        <v>50131.74</v>
      </c>
      <c r="C292" s="18" t="n">
        <f aca="false">IF('Cohort Data'!D292=Assumptions!$B$16,ROUND('Cohort Data'!E292*Assumptions!$C$6,Assumptions!$B$10),Assumptions!$B$13)</f>
        <v>7315</v>
      </c>
      <c r="D292" s="18" t="n">
        <f aca="false">SUM(B292:C292)</f>
        <v>57446.74</v>
      </c>
      <c r="E292" s="18" t="n">
        <f aca="false">ROUND(D292/Assumptions!$F$7,Assumptions!$B$10)</f>
        <v>56597.77</v>
      </c>
      <c r="F292" s="18" t="n">
        <f aca="false">ROUND(E292*Assumptions!$C$7,Assumptions!$B$10)</f>
        <v>3112.88</v>
      </c>
      <c r="G292" s="18" t="n">
        <f aca="false">SUM(E292:F292)</f>
        <v>59710.65</v>
      </c>
      <c r="H292" s="18" t="n">
        <f aca="false">ROUND(G292-'Cohort Data'!H292,Assumptions!$B$10)</f>
        <v>20677.81</v>
      </c>
      <c r="I292" s="18" t="n">
        <f aca="false">CEILING(G292,Assumptions!$B$12)</f>
        <v>59800</v>
      </c>
      <c r="J292" s="18" t="n">
        <f aca="false">FLOOR(G292,Assumptions!$B$12)</f>
        <v>59700</v>
      </c>
      <c r="K292" s="18" t="n">
        <f aca="false">ROUNDUP(G292,Assumptions!$B$10)</f>
        <v>59710.65</v>
      </c>
      <c r="L292" s="18" t="n">
        <f aca="false">ROUNDDOWN(G292,Assumptions!$B$10)</f>
        <v>59710.64</v>
      </c>
      <c r="M292" s="19" t="n">
        <f aca="false">INT('Cohort Data'!E292/Assumptions!$B$11)</f>
        <v>2</v>
      </c>
    </row>
    <row r="293" customFormat="false" ht="15" hidden="false" customHeight="false" outlineLevel="0" collapsed="false">
      <c r="A293" s="2" t="s">
        <v>393</v>
      </c>
      <c r="B293" s="18" t="n">
        <f aca="false">IF('Cohort Data'!D293=Assumptions!$B$16,ROUND('Cohort Data'!L293*'Cohort Data'!K293*Assumptions!$F$5,Assumptions!$B$10),Assumptions!$B$13)</f>
        <v>35761.27</v>
      </c>
      <c r="C293" s="18" t="n">
        <f aca="false">IF('Cohort Data'!D293=Assumptions!$B$16,ROUND('Cohort Data'!E293*Assumptions!$C$6,Assumptions!$B$10),Assumptions!$B$13)</f>
        <v>7105</v>
      </c>
      <c r="D293" s="18" t="n">
        <f aca="false">SUM(B293:C293)</f>
        <v>42866.27</v>
      </c>
      <c r="E293" s="18" t="n">
        <f aca="false">ROUND(D293/Assumptions!$F$7,Assumptions!$B$10)</f>
        <v>42232.78</v>
      </c>
      <c r="F293" s="18" t="n">
        <f aca="false">ROUND(E293*Assumptions!$C$7,Assumptions!$B$10)</f>
        <v>2322.8</v>
      </c>
      <c r="G293" s="18" t="n">
        <f aca="false">SUM(E293:F293)</f>
        <v>44555.58</v>
      </c>
      <c r="H293" s="18" t="n">
        <f aca="false">ROUND(G293-'Cohort Data'!H293,Assumptions!$B$10)</f>
        <v>15669.49</v>
      </c>
      <c r="I293" s="18" t="n">
        <f aca="false">CEILING(G293,Assumptions!$B$12)</f>
        <v>44600</v>
      </c>
      <c r="J293" s="18" t="n">
        <f aca="false">FLOOR(G293,Assumptions!$B$12)</f>
        <v>44500</v>
      </c>
      <c r="K293" s="18" t="n">
        <f aca="false">ROUNDUP(G293,Assumptions!$B$10)</f>
        <v>44555.58</v>
      </c>
      <c r="L293" s="18" t="n">
        <f aca="false">ROUNDDOWN(G293,Assumptions!$B$10)</f>
        <v>44555.58</v>
      </c>
      <c r="M293" s="19" t="n">
        <f aca="false">INT('Cohort Data'!E293/Assumptions!$B$11)</f>
        <v>2</v>
      </c>
    </row>
    <row r="294" customFormat="false" ht="15" hidden="false" customHeight="false" outlineLevel="0" collapsed="false">
      <c r="A294" s="2" t="s">
        <v>394</v>
      </c>
      <c r="B294" s="18" t="n">
        <f aca="false">IF('Cohort Data'!D294=Assumptions!$B$16,ROUND('Cohort Data'!L294*'Cohort Data'!K294*Assumptions!$F$5,Assumptions!$B$10),Assumptions!$B$13)</f>
        <v>70182.48</v>
      </c>
      <c r="C294" s="18" t="n">
        <f aca="false">IF('Cohort Data'!D294=Assumptions!$B$16,ROUND('Cohort Data'!E294*Assumptions!$C$6,Assumptions!$B$10),Assumptions!$B$13)</f>
        <v>6090</v>
      </c>
      <c r="D294" s="18" t="n">
        <f aca="false">SUM(B294:C294)</f>
        <v>76272.48</v>
      </c>
      <c r="E294" s="18" t="n">
        <f aca="false">ROUND(D294/Assumptions!$F$7,Assumptions!$B$10)</f>
        <v>75145.3</v>
      </c>
      <c r="F294" s="18" t="n">
        <f aca="false">ROUND(E294*Assumptions!$C$7,Assumptions!$B$10)</f>
        <v>4132.99</v>
      </c>
      <c r="G294" s="18" t="n">
        <f aca="false">SUM(E294:F294)</f>
        <v>79278.29</v>
      </c>
      <c r="H294" s="18" t="n">
        <f aca="false">ROUND(G294-'Cohort Data'!H294,Assumptions!$B$10)</f>
        <v>28539.89</v>
      </c>
      <c r="I294" s="18" t="n">
        <f aca="false">CEILING(G294,Assumptions!$B$12)</f>
        <v>79300</v>
      </c>
      <c r="J294" s="18" t="n">
        <f aca="false">FLOOR(G294,Assumptions!$B$12)</f>
        <v>79200</v>
      </c>
      <c r="K294" s="18" t="n">
        <f aca="false">ROUNDUP(G294,Assumptions!$B$10)</f>
        <v>79278.3</v>
      </c>
      <c r="L294" s="18" t="n">
        <f aca="false">ROUNDDOWN(G294,Assumptions!$B$10)</f>
        <v>79278.29</v>
      </c>
      <c r="M294" s="19" t="n">
        <f aca="false">INT('Cohort Data'!E294/Assumptions!$B$11)</f>
        <v>1</v>
      </c>
    </row>
    <row r="295" customFormat="false" ht="15" hidden="false" customHeight="false" outlineLevel="0" collapsed="false">
      <c r="A295" s="2" t="s">
        <v>395</v>
      </c>
      <c r="B295" s="18" t="n">
        <f aca="false">IF('Cohort Data'!D295=Assumptions!$B$16,ROUND('Cohort Data'!L295*'Cohort Data'!K295*Assumptions!$F$5,Assumptions!$B$10),Assumptions!$B$13)</f>
        <v>76290.71</v>
      </c>
      <c r="C295" s="18" t="n">
        <f aca="false">IF('Cohort Data'!D295=Assumptions!$B$16,ROUND('Cohort Data'!E295*Assumptions!$C$6,Assumptions!$B$10),Assumptions!$B$13)</f>
        <v>8470</v>
      </c>
      <c r="D295" s="18" t="n">
        <f aca="false">SUM(B295:C295)</f>
        <v>84760.71</v>
      </c>
      <c r="E295" s="18" t="n">
        <f aca="false">ROUND(D295/Assumptions!$F$7,Assumptions!$B$10)</f>
        <v>83508.09</v>
      </c>
      <c r="F295" s="18" t="n">
        <f aca="false">ROUND(E295*Assumptions!$C$7,Assumptions!$B$10)</f>
        <v>4592.94</v>
      </c>
      <c r="G295" s="18" t="n">
        <f aca="false">SUM(E295:F295)</f>
        <v>88101.03</v>
      </c>
      <c r="H295" s="18" t="n">
        <f aca="false">ROUND(G295-'Cohort Data'!H295,Assumptions!$B$10)</f>
        <v>26763.71</v>
      </c>
      <c r="I295" s="18" t="n">
        <f aca="false">CEILING(G295,Assumptions!$B$12)</f>
        <v>88200</v>
      </c>
      <c r="J295" s="18" t="n">
        <f aca="false">FLOOR(G295,Assumptions!$B$12)</f>
        <v>88100</v>
      </c>
      <c r="K295" s="18" t="n">
        <f aca="false">ROUNDUP(G295,Assumptions!$B$10)</f>
        <v>88101.03</v>
      </c>
      <c r="L295" s="18" t="n">
        <f aca="false">ROUNDDOWN(G295,Assumptions!$B$10)</f>
        <v>88101.03</v>
      </c>
      <c r="M295" s="19" t="n">
        <f aca="false">INT('Cohort Data'!E295/Assumptions!$B$11)</f>
        <v>2</v>
      </c>
    </row>
    <row r="296" customFormat="false" ht="15" hidden="false" customHeight="false" outlineLevel="0" collapsed="false">
      <c r="A296" s="2" t="s">
        <v>396</v>
      </c>
      <c r="B296" s="18" t="n">
        <f aca="false">IF('Cohort Data'!D296=Assumptions!$B$16,ROUND('Cohort Data'!L296*'Cohort Data'!K296*Assumptions!$F$5,Assumptions!$B$10),Assumptions!$B$13)</f>
        <v>27097.21</v>
      </c>
      <c r="C296" s="18" t="n">
        <f aca="false">IF('Cohort Data'!D296=Assumptions!$B$16,ROUND('Cohort Data'!E296*Assumptions!$C$6,Assumptions!$B$10),Assumptions!$B$13)</f>
        <v>3290</v>
      </c>
      <c r="D296" s="18" t="n">
        <f aca="false">SUM(B296:C296)</f>
        <v>30387.21</v>
      </c>
      <c r="E296" s="18" t="n">
        <f aca="false">ROUND(D296/Assumptions!$F$7,Assumptions!$B$10)</f>
        <v>29938.14</v>
      </c>
      <c r="F296" s="18" t="n">
        <f aca="false">ROUND(E296*Assumptions!$C$7,Assumptions!$B$10)</f>
        <v>1646.6</v>
      </c>
      <c r="G296" s="18" t="n">
        <f aca="false">SUM(E296:F296)</f>
        <v>31584.74</v>
      </c>
      <c r="H296" s="18" t="n">
        <f aca="false">ROUND(G296-'Cohort Data'!H296,Assumptions!$B$10)</f>
        <v>11260.44</v>
      </c>
      <c r="I296" s="18" t="n">
        <f aca="false">CEILING(G296,Assumptions!$B$12)</f>
        <v>31600</v>
      </c>
      <c r="J296" s="18" t="n">
        <f aca="false">FLOOR(G296,Assumptions!$B$12)</f>
        <v>31500</v>
      </c>
      <c r="K296" s="18" t="n">
        <f aca="false">ROUNDUP(G296,Assumptions!$B$10)</f>
        <v>31584.74</v>
      </c>
      <c r="L296" s="18" t="n">
        <f aca="false">ROUNDDOWN(G296,Assumptions!$B$10)</f>
        <v>31584.74</v>
      </c>
      <c r="M296" s="19" t="n">
        <f aca="false">INT('Cohort Data'!E296/Assumptions!$B$11)</f>
        <v>0</v>
      </c>
    </row>
    <row r="297" customFormat="false" ht="15" hidden="false" customHeight="false" outlineLevel="0" collapsed="false">
      <c r="A297" s="2" t="s">
        <v>397</v>
      </c>
      <c r="B297" s="18" t="n">
        <f aca="false">IF('Cohort Data'!D297=Assumptions!$B$16,ROUND('Cohort Data'!L297*'Cohort Data'!K297*Assumptions!$F$5,Assumptions!$B$10),Assumptions!$B$13)</f>
        <v>87203.75</v>
      </c>
      <c r="C297" s="18" t="n">
        <f aca="false">IF('Cohort Data'!D297=Assumptions!$B$16,ROUND('Cohort Data'!E297*Assumptions!$C$6,Assumptions!$B$10),Assumptions!$B$13)</f>
        <v>7245</v>
      </c>
      <c r="D297" s="18" t="n">
        <f aca="false">SUM(B297:C297)</f>
        <v>94448.75</v>
      </c>
      <c r="E297" s="18" t="n">
        <f aca="false">ROUND(D297/Assumptions!$F$7,Assumptions!$B$10)</f>
        <v>93052.96</v>
      </c>
      <c r="F297" s="18" t="n">
        <f aca="false">ROUND(E297*Assumptions!$C$7,Assumptions!$B$10)</f>
        <v>5117.91</v>
      </c>
      <c r="G297" s="18" t="n">
        <f aca="false">SUM(E297:F297)</f>
        <v>98170.87</v>
      </c>
      <c r="H297" s="18" t="n">
        <f aca="false">ROUND(G297-'Cohort Data'!H297,Assumptions!$B$10)</f>
        <v>29523.05</v>
      </c>
      <c r="I297" s="18" t="n">
        <f aca="false">CEILING(G297,Assumptions!$B$12)</f>
        <v>98200</v>
      </c>
      <c r="J297" s="18" t="n">
        <f aca="false">FLOOR(G297,Assumptions!$B$12)</f>
        <v>98100</v>
      </c>
      <c r="K297" s="18" t="n">
        <f aca="false">ROUNDUP(G297,Assumptions!$B$10)</f>
        <v>98170.88</v>
      </c>
      <c r="L297" s="18" t="n">
        <f aca="false">ROUNDDOWN(G297,Assumptions!$B$10)</f>
        <v>98170.87</v>
      </c>
      <c r="M297" s="19" t="n">
        <f aca="false">INT('Cohort Data'!E297/Assumptions!$B$11)</f>
        <v>2</v>
      </c>
    </row>
    <row r="298" customFormat="false" ht="15" hidden="false" customHeight="false" outlineLevel="0" collapsed="false">
      <c r="A298" s="2" t="s">
        <v>398</v>
      </c>
      <c r="B298" s="18" t="n">
        <f aca="false">IF('Cohort Data'!D298=Assumptions!$B$16,ROUND('Cohort Data'!L298*'Cohort Data'!K298*Assumptions!$F$5,Assumptions!$B$10),Assumptions!$B$13)</f>
        <v>52016.4</v>
      </c>
      <c r="C298" s="18" t="n">
        <f aca="false">IF('Cohort Data'!D298=Assumptions!$B$16,ROUND('Cohort Data'!E298*Assumptions!$C$6,Assumptions!$B$10),Assumptions!$B$13)</f>
        <v>5775</v>
      </c>
      <c r="D298" s="18" t="n">
        <f aca="false">SUM(B298:C298)</f>
        <v>57791.4</v>
      </c>
      <c r="E298" s="18" t="n">
        <f aca="false">ROUND(D298/Assumptions!$F$7,Assumptions!$B$10)</f>
        <v>56937.34</v>
      </c>
      <c r="F298" s="18" t="n">
        <f aca="false">ROUND(E298*Assumptions!$C$7,Assumptions!$B$10)</f>
        <v>3131.55</v>
      </c>
      <c r="G298" s="18" t="n">
        <f aca="false">SUM(E298:F298)</f>
        <v>60068.89</v>
      </c>
      <c r="H298" s="18" t="n">
        <f aca="false">ROUND(G298-'Cohort Data'!H298,Assumptions!$B$10)</f>
        <v>18688.21</v>
      </c>
      <c r="I298" s="18" t="n">
        <f aca="false">CEILING(G298,Assumptions!$B$12)</f>
        <v>60100</v>
      </c>
      <c r="J298" s="18" t="n">
        <f aca="false">FLOOR(G298,Assumptions!$B$12)</f>
        <v>60000</v>
      </c>
      <c r="K298" s="18" t="n">
        <f aca="false">ROUNDUP(G298,Assumptions!$B$10)</f>
        <v>60068.89</v>
      </c>
      <c r="L298" s="18" t="n">
        <f aca="false">ROUNDDOWN(G298,Assumptions!$B$10)</f>
        <v>60068.89</v>
      </c>
      <c r="M298" s="19" t="n">
        <f aca="false">INT('Cohort Data'!E298/Assumptions!$B$11)</f>
        <v>1</v>
      </c>
    </row>
    <row r="299" customFormat="false" ht="15" hidden="false" customHeight="false" outlineLevel="0" collapsed="false">
      <c r="A299" s="2" t="s">
        <v>399</v>
      </c>
      <c r="B299" s="18" t="n">
        <f aca="false">IF('Cohort Data'!D299=Assumptions!$B$16,ROUND('Cohort Data'!L299*'Cohort Data'!K299*Assumptions!$F$5,Assumptions!$B$10),Assumptions!$B$13)</f>
        <v>39108.39</v>
      </c>
      <c r="C299" s="18" t="n">
        <f aca="false">IF('Cohort Data'!D299=Assumptions!$B$16,ROUND('Cohort Data'!E299*Assumptions!$C$6,Assumptions!$B$10),Assumptions!$B$13)</f>
        <v>5180</v>
      </c>
      <c r="D299" s="18" t="n">
        <f aca="false">SUM(B299:C299)</f>
        <v>44288.39</v>
      </c>
      <c r="E299" s="18" t="n">
        <f aca="false">ROUND(D299/Assumptions!$F$7,Assumptions!$B$10)</f>
        <v>43633.88</v>
      </c>
      <c r="F299" s="18" t="n">
        <f aca="false">ROUND(E299*Assumptions!$C$7,Assumptions!$B$10)</f>
        <v>2399.86</v>
      </c>
      <c r="G299" s="18" t="n">
        <f aca="false">SUM(E299:F299)</f>
        <v>46033.74</v>
      </c>
      <c r="H299" s="18" t="n">
        <f aca="false">ROUND(G299-'Cohort Data'!H299,Assumptions!$B$10)</f>
        <v>14121.68</v>
      </c>
      <c r="I299" s="18" t="n">
        <f aca="false">CEILING(G299,Assumptions!$B$12)</f>
        <v>46100</v>
      </c>
      <c r="J299" s="18" t="n">
        <f aca="false">FLOOR(G299,Assumptions!$B$12)</f>
        <v>46000</v>
      </c>
      <c r="K299" s="18" t="n">
        <f aca="false">ROUNDUP(G299,Assumptions!$B$10)</f>
        <v>46033.74</v>
      </c>
      <c r="L299" s="18" t="n">
        <f aca="false">ROUNDDOWN(G299,Assumptions!$B$10)</f>
        <v>46033.74</v>
      </c>
      <c r="M299" s="19" t="n">
        <f aca="false">INT('Cohort Data'!E299/Assumptions!$B$11)</f>
        <v>1</v>
      </c>
    </row>
    <row r="300" customFormat="false" ht="15" hidden="false" customHeight="false" outlineLevel="0" collapsed="false">
      <c r="A300" s="2" t="s">
        <v>400</v>
      </c>
      <c r="B300" s="18" t="n">
        <f aca="false">IF('Cohort Data'!D300=Assumptions!$B$16,ROUND('Cohort Data'!L300*'Cohort Data'!K300*Assumptions!$F$5,Assumptions!$B$10),Assumptions!$B$13)</f>
        <v>15999.45</v>
      </c>
      <c r="C300" s="18" t="n">
        <f aca="false">IF('Cohort Data'!D300=Assumptions!$B$16,ROUND('Cohort Data'!E300*Assumptions!$C$6,Assumptions!$B$10),Assumptions!$B$13)</f>
        <v>2975</v>
      </c>
      <c r="D300" s="18" t="n">
        <f aca="false">SUM(B300:C300)</f>
        <v>18974.45</v>
      </c>
      <c r="E300" s="18" t="n">
        <f aca="false">ROUND(D300/Assumptions!$F$7,Assumptions!$B$10)</f>
        <v>18694.04</v>
      </c>
      <c r="F300" s="18" t="n">
        <f aca="false">ROUND(E300*Assumptions!$C$7,Assumptions!$B$10)</f>
        <v>1028.17</v>
      </c>
      <c r="G300" s="18" t="n">
        <f aca="false">SUM(E300:F300)</f>
        <v>19722.21</v>
      </c>
      <c r="H300" s="18" t="n">
        <f aca="false">ROUND(G300-'Cohort Data'!H300,Assumptions!$B$10)</f>
        <v>8155.41</v>
      </c>
      <c r="I300" s="18" t="n">
        <f aca="false">CEILING(G300,Assumptions!$B$12)</f>
        <v>19800</v>
      </c>
      <c r="J300" s="18" t="n">
        <f aca="false">FLOOR(G300,Assumptions!$B$12)</f>
        <v>19700</v>
      </c>
      <c r="K300" s="18" t="n">
        <f aca="false">ROUNDUP(G300,Assumptions!$B$10)</f>
        <v>19722.21</v>
      </c>
      <c r="L300" s="18" t="n">
        <f aca="false">ROUNDDOWN(G300,Assumptions!$B$10)</f>
        <v>19722.21</v>
      </c>
      <c r="M300" s="19" t="n">
        <f aca="false">INT('Cohort Data'!E300/Assumptions!$B$11)</f>
        <v>0</v>
      </c>
    </row>
    <row r="301" customFormat="false" ht="15" hidden="false" customHeight="false" outlineLevel="0" collapsed="false">
      <c r="A301" s="2" t="s">
        <v>401</v>
      </c>
      <c r="B301" s="18" t="n">
        <f aca="false">IF('Cohort Data'!D301=Assumptions!$B$16,ROUND('Cohort Data'!L301*'Cohort Data'!K301*Assumptions!$F$5,Assumptions!$B$10),Assumptions!$B$13)</f>
        <v>23520.46</v>
      </c>
      <c r="C301" s="18" t="n">
        <f aca="false">IF('Cohort Data'!D301=Assumptions!$B$16,ROUND('Cohort Data'!E301*Assumptions!$C$6,Assumptions!$B$10),Assumptions!$B$13)</f>
        <v>5005</v>
      </c>
      <c r="D301" s="18" t="n">
        <f aca="false">SUM(B301:C301)</f>
        <v>28525.46</v>
      </c>
      <c r="E301" s="18" t="n">
        <f aca="false">ROUND(D301/Assumptions!$F$7,Assumptions!$B$10)</f>
        <v>28103.9</v>
      </c>
      <c r="F301" s="18" t="n">
        <f aca="false">ROUND(E301*Assumptions!$C$7,Assumptions!$B$10)</f>
        <v>1545.71</v>
      </c>
      <c r="G301" s="18" t="n">
        <f aca="false">SUM(E301:F301)</f>
        <v>29649.61</v>
      </c>
      <c r="H301" s="18" t="n">
        <f aca="false">ROUND(G301-'Cohort Data'!H301,Assumptions!$B$10)</f>
        <v>10739.29</v>
      </c>
      <c r="I301" s="18" t="n">
        <f aca="false">CEILING(G301,Assumptions!$B$12)</f>
        <v>29700</v>
      </c>
      <c r="J301" s="18" t="n">
        <f aca="false">FLOOR(G301,Assumptions!$B$12)</f>
        <v>29600</v>
      </c>
      <c r="K301" s="18" t="n">
        <f aca="false">ROUNDUP(G301,Assumptions!$B$10)</f>
        <v>29649.61</v>
      </c>
      <c r="L301" s="18" t="n">
        <f aca="false">ROUNDDOWN(G301,Assumptions!$B$10)</f>
        <v>29649.61</v>
      </c>
      <c r="M301" s="19" t="n">
        <f aca="false">INT('Cohort Data'!E301/Assumptions!$B$11)</f>
        <v>1</v>
      </c>
    </row>
    <row r="302" customFormat="false" ht="15" hidden="false" customHeight="false" outlineLevel="0" collapsed="false">
      <c r="A302" s="2" t="s">
        <v>402</v>
      </c>
      <c r="B302" s="18" t="n">
        <f aca="false">IF('Cohort Data'!D302=Assumptions!$B$16,ROUND('Cohort Data'!L302*'Cohort Data'!K302*Assumptions!$F$5,Assumptions!$B$10),Assumptions!$B$13)</f>
        <v>53810.06</v>
      </c>
      <c r="C302" s="18" t="n">
        <f aca="false">IF('Cohort Data'!D302=Assumptions!$B$16,ROUND('Cohort Data'!E302*Assumptions!$C$6,Assumptions!$B$10),Assumptions!$B$13)</f>
        <v>6720</v>
      </c>
      <c r="D302" s="18" t="n">
        <f aca="false">SUM(B302:C302)</f>
        <v>60530.06</v>
      </c>
      <c r="E302" s="18" t="n">
        <f aca="false">ROUND(D302/Assumptions!$F$7,Assumptions!$B$10)</f>
        <v>59635.53</v>
      </c>
      <c r="F302" s="18" t="n">
        <f aca="false">ROUND(E302*Assumptions!$C$7,Assumptions!$B$10)</f>
        <v>3279.95</v>
      </c>
      <c r="G302" s="18" t="n">
        <f aca="false">SUM(E302:F302)</f>
        <v>62915.48</v>
      </c>
      <c r="H302" s="18" t="n">
        <f aca="false">ROUND(G302-'Cohort Data'!H302,Assumptions!$B$10)</f>
        <v>20337.56</v>
      </c>
      <c r="I302" s="18" t="n">
        <f aca="false">CEILING(G302,Assumptions!$B$12)</f>
        <v>63000</v>
      </c>
      <c r="J302" s="18" t="n">
        <f aca="false">FLOOR(G302,Assumptions!$B$12)</f>
        <v>62900</v>
      </c>
      <c r="K302" s="18" t="n">
        <f aca="false">ROUNDUP(G302,Assumptions!$B$10)</f>
        <v>62915.48</v>
      </c>
      <c r="L302" s="18" t="n">
        <f aca="false">ROUNDDOWN(G302,Assumptions!$B$10)</f>
        <v>62915.48</v>
      </c>
      <c r="M302" s="19" t="n">
        <f aca="false">INT('Cohort Data'!E302/Assumptions!$B$11)</f>
        <v>1</v>
      </c>
    </row>
    <row r="303" customFormat="false" ht="15" hidden="false" customHeight="false" outlineLevel="0" collapsed="false">
      <c r="A303" s="2" t="s">
        <v>403</v>
      </c>
      <c r="B303" s="18" t="n">
        <f aca="false">IF('Cohort Data'!D303=Assumptions!$B$16,ROUND('Cohort Data'!L303*'Cohort Data'!K303*Assumptions!$F$5,Assumptions!$B$10),Assumptions!$B$13)</f>
        <v>36955.6</v>
      </c>
      <c r="C303" s="18" t="n">
        <f aca="false">IF('Cohort Data'!D303=Assumptions!$B$16,ROUND('Cohort Data'!E303*Assumptions!$C$6,Assumptions!$B$10),Assumptions!$B$13)</f>
        <v>4655</v>
      </c>
      <c r="D303" s="18" t="n">
        <f aca="false">SUM(B303:C303)</f>
        <v>41610.6</v>
      </c>
      <c r="E303" s="18" t="n">
        <f aca="false">ROUND(D303/Assumptions!$F$7,Assumptions!$B$10)</f>
        <v>40995.67</v>
      </c>
      <c r="F303" s="18" t="n">
        <f aca="false">ROUND(E303*Assumptions!$C$7,Assumptions!$B$10)</f>
        <v>2254.76</v>
      </c>
      <c r="G303" s="18" t="n">
        <f aca="false">SUM(E303:F303)</f>
        <v>43250.43</v>
      </c>
      <c r="H303" s="18" t="n">
        <f aca="false">ROUND(G303-'Cohort Data'!H303,Assumptions!$B$10)</f>
        <v>14752.25</v>
      </c>
      <c r="I303" s="18" t="n">
        <f aca="false">CEILING(G303,Assumptions!$B$12)</f>
        <v>43300</v>
      </c>
      <c r="J303" s="18" t="n">
        <f aca="false">FLOOR(G303,Assumptions!$B$12)</f>
        <v>43200</v>
      </c>
      <c r="K303" s="18" t="n">
        <f aca="false">ROUNDUP(G303,Assumptions!$B$10)</f>
        <v>43250.43</v>
      </c>
      <c r="L303" s="18" t="n">
        <f aca="false">ROUNDDOWN(G303,Assumptions!$B$10)</f>
        <v>43250.43</v>
      </c>
      <c r="M303" s="19" t="n">
        <f aca="false">INT('Cohort Data'!E303/Assumptions!$B$11)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20"/>
  </cols>
  <sheetData>
    <row r="1" customFormat="false" ht="24" hidden="false" customHeight="true" outlineLevel="0" collapsed="false">
      <c r="A1" s="1" t="s">
        <v>405</v>
      </c>
      <c r="B1" s="1" t="s">
        <v>405</v>
      </c>
      <c r="C1" s="1" t="s">
        <v>405</v>
      </c>
      <c r="D1" s="1" t="s">
        <v>405</v>
      </c>
      <c r="E1" s="1" t="s">
        <v>405</v>
      </c>
      <c r="F1" s="1" t="s">
        <v>405</v>
      </c>
      <c r="G1" s="1" t="s">
        <v>405</v>
      </c>
      <c r="H1" s="1" t="s">
        <v>405</v>
      </c>
      <c r="I1" s="1" t="s">
        <v>405</v>
      </c>
      <c r="J1" s="1" t="s">
        <v>405</v>
      </c>
    </row>
    <row r="2" customFormat="false" ht="15" hidden="false" customHeight="false" outlineLevel="0" collapsed="false">
      <c r="A2" s="2" t="s">
        <v>406</v>
      </c>
      <c r="B2" s="2" t="s">
        <v>406</v>
      </c>
      <c r="C2" s="2" t="s">
        <v>406</v>
      </c>
      <c r="D2" s="2" t="s">
        <v>406</v>
      </c>
      <c r="E2" s="2" t="s">
        <v>406</v>
      </c>
      <c r="F2" s="2" t="s">
        <v>406</v>
      </c>
      <c r="G2" s="2" t="s">
        <v>406</v>
      </c>
      <c r="H2" s="2" t="s">
        <v>406</v>
      </c>
      <c r="I2" s="2" t="s">
        <v>406</v>
      </c>
      <c r="J2" s="2" t="s">
        <v>406</v>
      </c>
    </row>
    <row r="3" customFormat="false" ht="15" hidden="false" customHeight="false" outlineLevel="0" collapsed="false">
      <c r="A3" s="3" t="s">
        <v>55</v>
      </c>
      <c r="B3" s="4" t="s">
        <v>407</v>
      </c>
      <c r="C3" s="4" t="s">
        <v>408</v>
      </c>
      <c r="D3" s="4" t="s">
        <v>409</v>
      </c>
      <c r="E3" s="4" t="s">
        <v>410</v>
      </c>
      <c r="F3" s="4" t="s">
        <v>411</v>
      </c>
      <c r="G3" s="4" t="s">
        <v>412</v>
      </c>
      <c r="H3" s="4" t="s">
        <v>413</v>
      </c>
      <c r="I3" s="4" t="s">
        <v>414</v>
      </c>
      <c r="J3" s="5" t="s">
        <v>415</v>
      </c>
    </row>
    <row r="4" customFormat="false" ht="15" hidden="false" customHeight="false" outlineLevel="0" collapsed="false">
      <c r="A4" s="2" t="s">
        <v>61</v>
      </c>
      <c r="B4" s="2" t="n">
        <f aca="false">COUNTIF('Cohort Data'!$B$4:$B$303,A4)</f>
        <v>100</v>
      </c>
      <c r="C4" s="2" t="n">
        <f aca="false">COUNTIFS('Cohort Data'!$B$4:$B$303,A4,'Cohort Data'!$D$4:$D$303,Assumptions!$B$16)</f>
        <v>95</v>
      </c>
      <c r="D4" s="13" t="n">
        <f aca="false">SUMIF('Cohort Data'!$B$4:$B$303,A4,'Base Scenario'!$G$4:$G$303)</f>
        <v>3165029.15</v>
      </c>
      <c r="E4" s="13" t="n">
        <f aca="false">SUMIFS('Adverse Scenario'!$G$4:$G$303,'Cohort Data'!$B$4:$B$303,A4,'Cohort Data'!$D$4:$D$303,Assumptions!$B$16)</f>
        <v>3801248.01</v>
      </c>
      <c r="F4" s="13" t="n">
        <f aca="false">AVERAGEIF('Cohort Data'!$B$4:$B$303,A4,'Base Scenario'!$G$4:$G$303)</f>
        <v>31650.2915</v>
      </c>
      <c r="G4" s="13" t="n">
        <f aca="false">AVERAGEIFS('Adverse Scenario'!$G$4:$G$303,'Cohort Data'!$B$4:$B$303,A4,'Cohort Data'!$D$4:$D$303,Assumptions!$B$16)</f>
        <v>40013.1369473684</v>
      </c>
      <c r="H4" s="13" t="n">
        <f aca="false">_xlfn.MINIFS('Adverse Scenario'!$G$4:$G$303,'Cohort Data'!$B$4:$B$303,A4,'Cohort Data'!$D$4:$D$303,Assumptions!$B$16)</f>
        <v>15254.36</v>
      </c>
      <c r="I4" s="13" t="n">
        <f aca="false">_xlfn.MAXIFS('Adverse Scenario'!$G$4:$G$303,'Cohort Data'!$B$4:$B$303,A4,'Cohort Data'!$D$4:$D$303,Assumptions!$B$16)</f>
        <v>88101.03</v>
      </c>
      <c r="J4" s="13" t="n">
        <f aca="false">E4-D4</f>
        <v>636218.859999998</v>
      </c>
    </row>
    <row r="5" customFormat="false" ht="15" hidden="false" customHeight="false" outlineLevel="0" collapsed="false">
      <c r="A5" s="2" t="s">
        <v>65</v>
      </c>
      <c r="B5" s="2" t="n">
        <f aca="false">COUNTIF('Cohort Data'!$B$4:$B$303,A5)</f>
        <v>100</v>
      </c>
      <c r="C5" s="2" t="n">
        <f aca="false">COUNTIFS('Cohort Data'!$B$4:$B$303,A5,'Cohort Data'!$D$4:$D$303,Assumptions!$B$16)</f>
        <v>95</v>
      </c>
      <c r="D5" s="13" t="n">
        <f aca="false">SUMIF('Cohort Data'!$B$4:$B$303,A5,'Base Scenario'!$G$4:$G$303)</f>
        <v>3880127.17</v>
      </c>
      <c r="E5" s="13" t="n">
        <f aca="false">SUMIFS('Adverse Scenario'!$G$4:$G$303,'Cohort Data'!$B$4:$B$303,A5,'Cohort Data'!$D$4:$D$303,Assumptions!$B$16)</f>
        <v>4667852.61</v>
      </c>
      <c r="F5" s="13" t="n">
        <f aca="false">AVERAGEIF('Cohort Data'!$B$4:$B$303,A5,'Base Scenario'!$G$4:$G$303)</f>
        <v>38801.2717</v>
      </c>
      <c r="G5" s="13" t="n">
        <f aca="false">AVERAGEIFS('Adverse Scenario'!$G$4:$G$303,'Cohort Data'!$B$4:$B$303,A5,'Cohort Data'!$D$4:$D$303,Assumptions!$B$16)</f>
        <v>49135.290631579</v>
      </c>
      <c r="H5" s="13" t="n">
        <f aca="false">_xlfn.MINIFS('Adverse Scenario'!$G$4:$G$303,'Cohort Data'!$B$4:$B$303,A5,'Cohort Data'!$D$4:$D$303,Assumptions!$B$16)</f>
        <v>14640.17</v>
      </c>
      <c r="I5" s="13" t="n">
        <f aca="false">_xlfn.MAXIFS('Adverse Scenario'!$G$4:$G$303,'Cohort Data'!$B$4:$B$303,A5,'Cohort Data'!$D$4:$D$303,Assumptions!$B$16)</f>
        <v>106791.58</v>
      </c>
      <c r="J5" s="13" t="n">
        <f aca="false">E5-D5</f>
        <v>787725.440000003</v>
      </c>
    </row>
    <row r="6" customFormat="false" ht="15" hidden="false" customHeight="false" outlineLevel="0" collapsed="false">
      <c r="A6" s="2" t="s">
        <v>69</v>
      </c>
      <c r="B6" s="2" t="n">
        <f aca="false">COUNTIF('Cohort Data'!$B$4:$B$303,A6)</f>
        <v>100</v>
      </c>
      <c r="C6" s="2" t="n">
        <f aca="false">COUNTIFS('Cohort Data'!$B$4:$B$303,A6,'Cohort Data'!$D$4:$D$303,Assumptions!$B$16)</f>
        <v>95</v>
      </c>
      <c r="D6" s="13" t="n">
        <f aca="false">SUMIF('Cohort Data'!$B$4:$B$303,A6,'Base Scenario'!$G$4:$G$303)</f>
        <v>4365931.27</v>
      </c>
      <c r="E6" s="13" t="n">
        <f aca="false">SUMIFS('Adverse Scenario'!$G$4:$G$303,'Cohort Data'!$B$4:$B$303,A6,'Cohort Data'!$D$4:$D$303,Assumptions!$B$16)</f>
        <v>5272141.07</v>
      </c>
      <c r="F6" s="13" t="n">
        <f aca="false">AVERAGEIF('Cohort Data'!$B$4:$B$303,A6,'Base Scenario'!$G$4:$G$303)</f>
        <v>43659.3127</v>
      </c>
      <c r="G6" s="13" t="n">
        <f aca="false">AVERAGEIFS('Adverse Scenario'!$G$4:$G$303,'Cohort Data'!$B$4:$B$303,A6,'Cohort Data'!$D$4:$D$303,Assumptions!$B$16)</f>
        <v>55496.2217894737</v>
      </c>
      <c r="H6" s="13" t="n">
        <f aca="false">_xlfn.MINIFS('Adverse Scenario'!$G$4:$G$303,'Cohort Data'!$B$4:$B$303,A6,'Cohort Data'!$D$4:$D$303,Assumptions!$B$16)</f>
        <v>14963.23</v>
      </c>
      <c r="I6" s="13" t="n">
        <f aca="false">_xlfn.MAXIFS('Adverse Scenario'!$G$4:$G$303,'Cohort Data'!$B$4:$B$303,A6,'Cohort Data'!$D$4:$D$303,Assumptions!$B$16)</f>
        <v>109804.99</v>
      </c>
      <c r="J6" s="13" t="n">
        <f aca="false">E6-D6</f>
        <v>906209.800000002</v>
      </c>
    </row>
    <row r="7" customFormat="false" ht="15" hidden="false" customHeight="false" outlineLevel="0" collapsed="false">
      <c r="A7" s="2"/>
      <c r="B7" s="2"/>
      <c r="C7" s="2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20" t="s">
        <v>416</v>
      </c>
      <c r="B8" s="20" t="n">
        <f aca="false">SUM(B4:B6)</f>
        <v>300</v>
      </c>
      <c r="C8" s="20" t="n">
        <f aca="false">SUM(C4:C6)</f>
        <v>285</v>
      </c>
      <c r="D8" s="6" t="n">
        <f aca="false">SUM(D4:D6)</f>
        <v>11411087.59</v>
      </c>
      <c r="E8" s="6" t="n">
        <f aca="false">SUM(E4:E6)</f>
        <v>13741241.69</v>
      </c>
      <c r="F8" s="6"/>
      <c r="G8" s="6"/>
      <c r="H8" s="6"/>
      <c r="I8" s="6"/>
      <c r="J8" s="6" t="n">
        <f aca="false">SUM(J4:J6)</f>
        <v>2330154.1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12" min="5" style="0" width="18"/>
  </cols>
  <sheetData>
    <row r="1" customFormat="false" ht="24" hidden="false" customHeight="true" outlineLevel="0" collapsed="false">
      <c r="A1" s="1" t="s">
        <v>417</v>
      </c>
      <c r="B1" s="1" t="s">
        <v>417</v>
      </c>
      <c r="C1" s="1" t="s">
        <v>417</v>
      </c>
      <c r="D1" s="1" t="s">
        <v>417</v>
      </c>
      <c r="E1" s="1" t="s">
        <v>417</v>
      </c>
      <c r="F1" s="1" t="s">
        <v>417</v>
      </c>
      <c r="G1" s="1" t="s">
        <v>417</v>
      </c>
      <c r="H1" s="1" t="s">
        <v>417</v>
      </c>
      <c r="I1" s="1" t="s">
        <v>417</v>
      </c>
      <c r="J1" s="1" t="s">
        <v>417</v>
      </c>
      <c r="K1" s="1" t="s">
        <v>417</v>
      </c>
      <c r="L1" s="1" t="s">
        <v>417</v>
      </c>
    </row>
    <row r="2" customFormat="false" ht="15" hidden="false" customHeight="false" outlineLevel="0" collapsed="false">
      <c r="A2" s="2" t="s">
        <v>418</v>
      </c>
      <c r="B2" s="2" t="s">
        <v>418</v>
      </c>
      <c r="C2" s="2" t="s">
        <v>418</v>
      </c>
      <c r="D2" s="2" t="s">
        <v>418</v>
      </c>
      <c r="E2" s="2" t="s">
        <v>418</v>
      </c>
      <c r="F2" s="2" t="s">
        <v>418</v>
      </c>
      <c r="G2" s="2" t="s">
        <v>418</v>
      </c>
      <c r="H2" s="2" t="s">
        <v>418</v>
      </c>
      <c r="I2" s="2" t="s">
        <v>418</v>
      </c>
      <c r="J2" s="2" t="s">
        <v>418</v>
      </c>
      <c r="K2" s="2" t="s">
        <v>418</v>
      </c>
      <c r="L2" s="2" t="s">
        <v>418</v>
      </c>
    </row>
    <row r="3" customFormat="false" ht="15" hidden="false" customHeight="false" outlineLevel="0" collapsed="false">
      <c r="A3" s="3" t="s">
        <v>91</v>
      </c>
      <c r="B3" s="4" t="s">
        <v>55</v>
      </c>
      <c r="C3" s="4" t="s">
        <v>419</v>
      </c>
      <c r="D3" s="4" t="s">
        <v>87</v>
      </c>
      <c r="E3" s="4" t="s">
        <v>420</v>
      </c>
      <c r="F3" s="4" t="s">
        <v>421</v>
      </c>
      <c r="G3" s="4" t="s">
        <v>422</v>
      </c>
      <c r="H3" s="4" t="s">
        <v>423</v>
      </c>
      <c r="I3" s="4" t="s">
        <v>424</v>
      </c>
      <c r="J3" s="4" t="s">
        <v>56</v>
      </c>
      <c r="K3" s="4" t="s">
        <v>57</v>
      </c>
      <c r="L3" s="5" t="s">
        <v>425</v>
      </c>
    </row>
    <row r="4" customFormat="false" ht="15" hidden="false" customHeight="false" outlineLevel="0" collapsed="false">
      <c r="A4" s="2" t="s">
        <v>104</v>
      </c>
      <c r="B4" s="2" t="s">
        <v>61</v>
      </c>
      <c r="C4" s="2" t="s">
        <v>426</v>
      </c>
      <c r="D4" s="2" t="s">
        <v>87</v>
      </c>
      <c r="E4" s="13" t="n">
        <v>149000</v>
      </c>
      <c r="F4" s="13" t="n">
        <v>86420</v>
      </c>
      <c r="G4" s="13" t="n">
        <v>60494</v>
      </c>
      <c r="H4" s="13" t="n">
        <v>24370.44</v>
      </c>
      <c r="I4" s="19" t="n">
        <f aca="false">MATCH(B4,Assumptions!$H$4:$H$6,0)</f>
        <v>1</v>
      </c>
      <c r="J4" s="19" t="n">
        <f aca="false">INDEX(Assumptions!$I$4:$I$6,I4)</f>
        <v>1.02</v>
      </c>
      <c r="K4" s="19" t="n">
        <f aca="false">VLOOKUP(B4,Assumptions!$H$4:$J$6,3,FALSE())</f>
        <v>1.12</v>
      </c>
      <c r="L4" s="19" t="n">
        <f aca="false">ABS(F4-G4)</f>
        <v>25926</v>
      </c>
    </row>
    <row r="5" customFormat="false" ht="15" hidden="false" customHeight="false" outlineLevel="0" collapsed="false">
      <c r="A5" s="2" t="s">
        <v>105</v>
      </c>
      <c r="B5" s="2" t="s">
        <v>65</v>
      </c>
      <c r="C5" s="2" t="s">
        <v>427</v>
      </c>
      <c r="D5" s="2" t="s">
        <v>87</v>
      </c>
      <c r="E5" s="13" t="n">
        <v>222000</v>
      </c>
      <c r="F5" s="13" t="n">
        <v>146520</v>
      </c>
      <c r="G5" s="13" t="n">
        <v>114285.6</v>
      </c>
      <c r="H5" s="13" t="n">
        <v>30622.68</v>
      </c>
      <c r="I5" s="19" t="n">
        <f aca="false">MATCH(B5,Assumptions!$H$4:$H$6,0)</f>
        <v>2</v>
      </c>
      <c r="J5" s="19" t="n">
        <f aca="false">INDEX(Assumptions!$I$4:$I$6,I5)</f>
        <v>1.04</v>
      </c>
      <c r="K5" s="19" t="n">
        <f aca="false">VLOOKUP(B5,Assumptions!$H$4:$J$6,3,FALSE())</f>
        <v>1.15</v>
      </c>
      <c r="L5" s="19" t="n">
        <f aca="false">ABS(F5-G5)</f>
        <v>32234.4</v>
      </c>
    </row>
    <row r="6" customFormat="false" ht="15" hidden="false" customHeight="false" outlineLevel="0" collapsed="false">
      <c r="A6" s="2" t="s">
        <v>106</v>
      </c>
      <c r="B6" s="2" t="s">
        <v>69</v>
      </c>
      <c r="C6" s="2" t="s">
        <v>428</v>
      </c>
      <c r="D6" s="2" t="s">
        <v>87</v>
      </c>
      <c r="E6" s="13" t="n">
        <v>62000</v>
      </c>
      <c r="F6" s="13" t="n">
        <v>44640</v>
      </c>
      <c r="G6" s="13" t="n">
        <v>34819.2</v>
      </c>
      <c r="H6" s="13" t="n">
        <v>9624.38</v>
      </c>
      <c r="I6" s="19" t="n">
        <f aca="false">MATCH(B6,Assumptions!$H$4:$H$6,0)</f>
        <v>3</v>
      </c>
      <c r="J6" s="19" t="n">
        <f aca="false">INDEX(Assumptions!$I$4:$I$6,I6)</f>
        <v>1.06</v>
      </c>
      <c r="K6" s="19" t="n">
        <f aca="false">VLOOKUP(B6,Assumptions!$H$4:$J$6,3,FALSE())</f>
        <v>1.18</v>
      </c>
      <c r="L6" s="19" t="n">
        <f aca="false">ABS(F6-G6)</f>
        <v>9820.8</v>
      </c>
    </row>
    <row r="7" customFormat="false" ht="15" hidden="false" customHeight="false" outlineLevel="0" collapsed="false">
      <c r="A7" s="2" t="s">
        <v>107</v>
      </c>
      <c r="B7" s="2" t="s">
        <v>61</v>
      </c>
      <c r="C7" s="2" t="s">
        <v>426</v>
      </c>
      <c r="D7" s="2" t="s">
        <v>87</v>
      </c>
      <c r="E7" s="13" t="n">
        <v>221000</v>
      </c>
      <c r="F7" s="13" t="n">
        <v>128180</v>
      </c>
      <c r="G7" s="13" t="n">
        <v>89726</v>
      </c>
      <c r="H7" s="13" t="n">
        <v>35377.68</v>
      </c>
      <c r="I7" s="19" t="n">
        <f aca="false">MATCH(B7,Assumptions!$H$4:$H$6,0)</f>
        <v>1</v>
      </c>
      <c r="J7" s="19" t="n">
        <f aca="false">INDEX(Assumptions!$I$4:$I$6,I7)</f>
        <v>1.02</v>
      </c>
      <c r="K7" s="19" t="n">
        <f aca="false">VLOOKUP(B7,Assumptions!$H$4:$J$6,3,FALSE())</f>
        <v>1.12</v>
      </c>
      <c r="L7" s="19" t="n">
        <f aca="false">ABS(F7-G7)</f>
        <v>38454</v>
      </c>
    </row>
    <row r="8" customFormat="false" ht="15" hidden="false" customHeight="false" outlineLevel="0" collapsed="false">
      <c r="A8" s="2" t="s">
        <v>108</v>
      </c>
      <c r="B8" s="2" t="s">
        <v>65</v>
      </c>
      <c r="C8" s="2" t="s">
        <v>427</v>
      </c>
      <c r="D8" s="2" t="s">
        <v>87</v>
      </c>
      <c r="E8" s="13" t="n">
        <v>219000</v>
      </c>
      <c r="F8" s="13" t="n">
        <v>144540</v>
      </c>
      <c r="G8" s="13" t="n">
        <v>83833.2</v>
      </c>
      <c r="H8" s="13" t="n">
        <v>60706.8</v>
      </c>
      <c r="I8" s="19" t="n">
        <f aca="false">MATCH(B8,Assumptions!$H$4:$H$6,0)</f>
        <v>2</v>
      </c>
      <c r="J8" s="19" t="n">
        <f aca="false">INDEX(Assumptions!$I$4:$I$6,I8)</f>
        <v>1.04</v>
      </c>
      <c r="K8" s="19" t="n">
        <f aca="false">VLOOKUP(B8,Assumptions!$H$4:$J$6,3,FALSE())</f>
        <v>1.15</v>
      </c>
      <c r="L8" s="19" t="n">
        <f aca="false">ABS(F8-G8)</f>
        <v>60706.8</v>
      </c>
    </row>
    <row r="9" customFormat="false" ht="15" hidden="false" customHeight="false" outlineLevel="0" collapsed="false">
      <c r="A9" s="2" t="s">
        <v>109</v>
      </c>
      <c r="B9" s="2" t="s">
        <v>69</v>
      </c>
      <c r="C9" s="2" t="s">
        <v>428</v>
      </c>
      <c r="D9" s="2" t="s">
        <v>87</v>
      </c>
      <c r="E9" s="13" t="n">
        <v>226000</v>
      </c>
      <c r="F9" s="13" t="n">
        <v>162720</v>
      </c>
      <c r="G9" s="13" t="n">
        <v>115531.2</v>
      </c>
      <c r="H9" s="13" t="n">
        <v>46716.91</v>
      </c>
      <c r="I9" s="19" t="n">
        <f aca="false">MATCH(B9,Assumptions!$H$4:$H$6,0)</f>
        <v>3</v>
      </c>
      <c r="J9" s="19" t="n">
        <f aca="false">INDEX(Assumptions!$I$4:$I$6,I9)</f>
        <v>1.06</v>
      </c>
      <c r="K9" s="19" t="n">
        <f aca="false">VLOOKUP(B9,Assumptions!$H$4:$J$6,3,FALSE())</f>
        <v>1.18</v>
      </c>
      <c r="L9" s="19" t="n">
        <f aca="false">ABS(F9-G9)</f>
        <v>47188.8</v>
      </c>
    </row>
    <row r="10" customFormat="false" ht="15" hidden="false" customHeight="false" outlineLevel="0" collapsed="false">
      <c r="A10" s="2" t="s">
        <v>110</v>
      </c>
      <c r="B10" s="2" t="s">
        <v>61</v>
      </c>
      <c r="C10" s="2" t="s">
        <v>426</v>
      </c>
      <c r="D10" s="2" t="s">
        <v>87</v>
      </c>
      <c r="E10" s="13" t="n">
        <v>129000</v>
      </c>
      <c r="F10" s="13" t="n">
        <v>74820</v>
      </c>
      <c r="G10" s="13" t="n">
        <v>56863.2</v>
      </c>
      <c r="H10" s="13" t="n">
        <v>17238.53</v>
      </c>
      <c r="I10" s="19" t="n">
        <f aca="false">MATCH(B10,Assumptions!$H$4:$H$6,0)</f>
        <v>1</v>
      </c>
      <c r="J10" s="19" t="n">
        <f aca="false">INDEX(Assumptions!$I$4:$I$6,I10)</f>
        <v>1.02</v>
      </c>
      <c r="K10" s="19" t="n">
        <f aca="false">VLOOKUP(B10,Assumptions!$H$4:$J$6,3,FALSE())</f>
        <v>1.12</v>
      </c>
      <c r="L10" s="19" t="n">
        <f aca="false">ABS(F10-G10)</f>
        <v>17956.8</v>
      </c>
    </row>
    <row r="11" customFormat="false" ht="15" hidden="false" customHeight="false" outlineLevel="0" collapsed="false">
      <c r="A11" s="2" t="s">
        <v>111</v>
      </c>
      <c r="B11" s="2" t="s">
        <v>65</v>
      </c>
      <c r="C11" s="2" t="s">
        <v>427</v>
      </c>
      <c r="D11" s="2" t="s">
        <v>87</v>
      </c>
      <c r="E11" s="13" t="n">
        <v>114000</v>
      </c>
      <c r="F11" s="13" t="n">
        <v>75240</v>
      </c>
      <c r="G11" s="13" t="n">
        <v>58687.2</v>
      </c>
      <c r="H11" s="13" t="n">
        <v>16056.22</v>
      </c>
      <c r="I11" s="19" t="n">
        <f aca="false">MATCH(B11,Assumptions!$H$4:$H$6,0)</f>
        <v>2</v>
      </c>
      <c r="J11" s="19" t="n">
        <f aca="false">INDEX(Assumptions!$I$4:$I$6,I11)</f>
        <v>1.04</v>
      </c>
      <c r="K11" s="19" t="n">
        <f aca="false">VLOOKUP(B11,Assumptions!$H$4:$J$6,3,FALSE())</f>
        <v>1.15</v>
      </c>
      <c r="L11" s="19" t="n">
        <f aca="false">ABS(F11-G11)</f>
        <v>16552.8</v>
      </c>
    </row>
    <row r="12" customFormat="false" ht="15" hidden="false" customHeight="false" outlineLevel="0" collapsed="false">
      <c r="A12" s="2" t="s">
        <v>112</v>
      </c>
      <c r="B12" s="2" t="s">
        <v>69</v>
      </c>
      <c r="C12" s="2" t="s">
        <v>428</v>
      </c>
      <c r="D12" s="2" t="s">
        <v>87</v>
      </c>
      <c r="E12" s="13" t="n">
        <v>233000</v>
      </c>
      <c r="F12" s="13" t="n">
        <v>167760</v>
      </c>
      <c r="G12" s="13" t="n">
        <v>130852.8</v>
      </c>
      <c r="H12" s="13" t="n">
        <v>34323.7</v>
      </c>
      <c r="I12" s="19" t="n">
        <f aca="false">MATCH(B12,Assumptions!$H$4:$H$6,0)</f>
        <v>3</v>
      </c>
      <c r="J12" s="19" t="n">
        <f aca="false">INDEX(Assumptions!$I$4:$I$6,I12)</f>
        <v>1.06</v>
      </c>
      <c r="K12" s="19" t="n">
        <f aca="false">VLOOKUP(B12,Assumptions!$H$4:$J$6,3,FALSE())</f>
        <v>1.18</v>
      </c>
      <c r="L12" s="19" t="n">
        <f aca="false">ABS(F12-G12)</f>
        <v>36907.2</v>
      </c>
    </row>
    <row r="13" customFormat="false" ht="15" hidden="false" customHeight="false" outlineLevel="0" collapsed="false">
      <c r="A13" s="2" t="s">
        <v>113</v>
      </c>
      <c r="B13" s="2" t="s">
        <v>61</v>
      </c>
      <c r="C13" s="2" t="s">
        <v>426</v>
      </c>
      <c r="D13" s="2" t="s">
        <v>87</v>
      </c>
      <c r="E13" s="13" t="n">
        <v>79000</v>
      </c>
      <c r="F13" s="13" t="n">
        <v>45820</v>
      </c>
      <c r="G13" s="13" t="n">
        <v>35739.6</v>
      </c>
      <c r="H13" s="13" t="n">
        <v>9475.58</v>
      </c>
      <c r="I13" s="19" t="n">
        <f aca="false">MATCH(B13,Assumptions!$H$4:$H$6,0)</f>
        <v>1</v>
      </c>
      <c r="J13" s="19" t="n">
        <f aca="false">INDEX(Assumptions!$I$4:$I$6,I13)</f>
        <v>1.02</v>
      </c>
      <c r="K13" s="19" t="n">
        <f aca="false">VLOOKUP(B13,Assumptions!$H$4:$J$6,3,FALSE())</f>
        <v>1.12</v>
      </c>
      <c r="L13" s="19" t="n">
        <f aca="false">ABS(F13-G13)</f>
        <v>10080.4</v>
      </c>
    </row>
    <row r="14" customFormat="false" ht="15" hidden="false" customHeight="false" outlineLevel="0" collapsed="false">
      <c r="A14" s="2" t="s">
        <v>114</v>
      </c>
      <c r="B14" s="2" t="s">
        <v>65</v>
      </c>
      <c r="C14" s="2" t="s">
        <v>427</v>
      </c>
      <c r="D14" s="2" t="s">
        <v>87</v>
      </c>
      <c r="E14" s="13" t="n">
        <v>163000</v>
      </c>
      <c r="F14" s="13" t="n">
        <v>107580</v>
      </c>
      <c r="G14" s="13" t="n">
        <v>63472.2</v>
      </c>
      <c r="H14" s="13" t="n">
        <v>41902.41</v>
      </c>
      <c r="I14" s="19" t="n">
        <f aca="false">MATCH(B14,Assumptions!$H$4:$H$6,0)</f>
        <v>2</v>
      </c>
      <c r="J14" s="19" t="n">
        <f aca="false">INDEX(Assumptions!$I$4:$I$6,I14)</f>
        <v>1.04</v>
      </c>
      <c r="K14" s="19" t="n">
        <f aca="false">VLOOKUP(B14,Assumptions!$H$4:$J$6,3,FALSE())</f>
        <v>1.15</v>
      </c>
      <c r="L14" s="19" t="n">
        <f aca="false">ABS(F14-G14)</f>
        <v>44107.8</v>
      </c>
    </row>
    <row r="15" customFormat="false" ht="15" hidden="false" customHeight="false" outlineLevel="0" collapsed="false">
      <c r="A15" s="2" t="s">
        <v>115</v>
      </c>
      <c r="B15" s="2" t="s">
        <v>69</v>
      </c>
      <c r="C15" s="2" t="s">
        <v>428</v>
      </c>
      <c r="D15" s="2" t="s">
        <v>87</v>
      </c>
      <c r="E15" s="13" t="n">
        <v>92000</v>
      </c>
      <c r="F15" s="13" t="n">
        <v>66240</v>
      </c>
      <c r="G15" s="13" t="n">
        <v>52992</v>
      </c>
      <c r="H15" s="13" t="n">
        <v>12320.64</v>
      </c>
      <c r="I15" s="19" t="n">
        <f aca="false">MATCH(B15,Assumptions!$H$4:$H$6,0)</f>
        <v>3</v>
      </c>
      <c r="J15" s="19" t="n">
        <f aca="false">INDEX(Assumptions!$I$4:$I$6,I15)</f>
        <v>1.06</v>
      </c>
      <c r="K15" s="19" t="n">
        <f aca="false">VLOOKUP(B15,Assumptions!$H$4:$J$6,3,FALSE())</f>
        <v>1.18</v>
      </c>
      <c r="L15" s="19" t="n">
        <f aca="false">ABS(F15-G15)</f>
        <v>13248</v>
      </c>
    </row>
    <row r="16" customFormat="false" ht="15" hidden="false" customHeight="false" outlineLevel="0" collapsed="false">
      <c r="A16" s="2" t="s">
        <v>116</v>
      </c>
      <c r="B16" s="2" t="s">
        <v>61</v>
      </c>
      <c r="C16" s="2" t="s">
        <v>426</v>
      </c>
      <c r="D16" s="2" t="s">
        <v>87</v>
      </c>
      <c r="E16" s="13" t="n">
        <v>77000</v>
      </c>
      <c r="F16" s="13" t="n">
        <v>44660</v>
      </c>
      <c r="G16" s="13" t="n">
        <v>33495</v>
      </c>
      <c r="H16" s="13" t="n">
        <v>10383.45</v>
      </c>
      <c r="I16" s="19" t="n">
        <f aca="false">MATCH(B16,Assumptions!$H$4:$H$6,0)</f>
        <v>1</v>
      </c>
      <c r="J16" s="19" t="n">
        <f aca="false">INDEX(Assumptions!$I$4:$I$6,I16)</f>
        <v>1.02</v>
      </c>
      <c r="K16" s="19" t="n">
        <f aca="false">VLOOKUP(B16,Assumptions!$H$4:$J$6,3,FALSE())</f>
        <v>1.12</v>
      </c>
      <c r="L16" s="19" t="n">
        <f aca="false">ABS(F16-G16)</f>
        <v>11165</v>
      </c>
    </row>
    <row r="17" customFormat="false" ht="15" hidden="false" customHeight="false" outlineLevel="0" collapsed="false">
      <c r="A17" s="2" t="s">
        <v>117</v>
      </c>
      <c r="B17" s="2" t="s">
        <v>65</v>
      </c>
      <c r="C17" s="2" t="s">
        <v>427</v>
      </c>
      <c r="D17" s="2" t="s">
        <v>87</v>
      </c>
      <c r="E17" s="13" t="n">
        <v>111000</v>
      </c>
      <c r="F17" s="13" t="n">
        <v>73260</v>
      </c>
      <c r="G17" s="13" t="n">
        <v>52747.2</v>
      </c>
      <c r="H17" s="13" t="n">
        <v>19692.29</v>
      </c>
      <c r="I17" s="19" t="n">
        <f aca="false">MATCH(B17,Assumptions!$H$4:$H$6,0)</f>
        <v>2</v>
      </c>
      <c r="J17" s="19" t="n">
        <f aca="false">INDEX(Assumptions!$I$4:$I$6,I17)</f>
        <v>1.04</v>
      </c>
      <c r="K17" s="19" t="n">
        <f aca="false">VLOOKUP(B17,Assumptions!$H$4:$J$6,3,FALSE())</f>
        <v>1.15</v>
      </c>
      <c r="L17" s="19" t="n">
        <f aca="false">ABS(F17-G17)</f>
        <v>20512.8</v>
      </c>
    </row>
    <row r="18" customFormat="false" ht="15" hidden="false" customHeight="false" outlineLevel="0" collapsed="false">
      <c r="A18" s="2" t="s">
        <v>118</v>
      </c>
      <c r="B18" s="2" t="s">
        <v>69</v>
      </c>
      <c r="C18" s="2" t="s">
        <v>428</v>
      </c>
      <c r="D18" s="2" t="s">
        <v>87</v>
      </c>
      <c r="E18" s="13" t="n">
        <v>65000</v>
      </c>
      <c r="F18" s="13" t="n">
        <v>46800</v>
      </c>
      <c r="G18" s="13" t="n">
        <v>26676</v>
      </c>
      <c r="H18" s="13" t="n">
        <v>19721.52</v>
      </c>
      <c r="I18" s="19" t="n">
        <f aca="false">MATCH(B18,Assumptions!$H$4:$H$6,0)</f>
        <v>3</v>
      </c>
      <c r="J18" s="19" t="n">
        <f aca="false">INDEX(Assumptions!$I$4:$I$6,I18)</f>
        <v>1.06</v>
      </c>
      <c r="K18" s="19" t="n">
        <f aca="false">VLOOKUP(B18,Assumptions!$H$4:$J$6,3,FALSE())</f>
        <v>1.18</v>
      </c>
      <c r="L18" s="19" t="n">
        <f aca="false">ABS(F18-G18)</f>
        <v>20124</v>
      </c>
    </row>
    <row r="19" customFormat="false" ht="15" hidden="false" customHeight="false" outlineLevel="0" collapsed="false">
      <c r="A19" s="2" t="s">
        <v>119</v>
      </c>
      <c r="B19" s="2" t="s">
        <v>61</v>
      </c>
      <c r="C19" s="2" t="s">
        <v>426</v>
      </c>
      <c r="D19" s="2" t="s">
        <v>87</v>
      </c>
      <c r="E19" s="13" t="n">
        <v>122000</v>
      </c>
      <c r="F19" s="13" t="n">
        <v>70760</v>
      </c>
      <c r="G19" s="13" t="n">
        <v>55192.8</v>
      </c>
      <c r="H19" s="13" t="n">
        <v>15567.2</v>
      </c>
      <c r="I19" s="19" t="n">
        <f aca="false">MATCH(B19,Assumptions!$H$4:$H$6,0)</f>
        <v>1</v>
      </c>
      <c r="J19" s="19" t="n">
        <f aca="false">INDEX(Assumptions!$I$4:$I$6,I19)</f>
        <v>1.02</v>
      </c>
      <c r="K19" s="19" t="n">
        <f aca="false">VLOOKUP(B19,Assumptions!$H$4:$J$6,3,FALSE())</f>
        <v>1.12</v>
      </c>
      <c r="L19" s="19" t="n">
        <f aca="false">ABS(F19-G19)</f>
        <v>15567.2</v>
      </c>
    </row>
    <row r="20" customFormat="false" ht="15" hidden="false" customHeight="false" outlineLevel="0" collapsed="false">
      <c r="A20" s="2" t="s">
        <v>120</v>
      </c>
      <c r="B20" s="2" t="s">
        <v>65</v>
      </c>
      <c r="C20" s="2" t="s">
        <v>427</v>
      </c>
      <c r="D20" s="2" t="s">
        <v>87</v>
      </c>
      <c r="E20" s="13" t="n">
        <v>152000</v>
      </c>
      <c r="F20" s="13" t="n">
        <v>100320</v>
      </c>
      <c r="G20" s="13" t="n">
        <v>74236.8</v>
      </c>
      <c r="H20" s="13" t="n">
        <v>23474.88</v>
      </c>
      <c r="I20" s="19" t="n">
        <f aca="false">MATCH(B20,Assumptions!$H$4:$H$6,0)</f>
        <v>2</v>
      </c>
      <c r="J20" s="19" t="n">
        <f aca="false">INDEX(Assumptions!$I$4:$I$6,I20)</f>
        <v>1.04</v>
      </c>
      <c r="K20" s="19" t="n">
        <f aca="false">VLOOKUP(B20,Assumptions!$H$4:$J$6,3,FALSE())</f>
        <v>1.15</v>
      </c>
      <c r="L20" s="19" t="n">
        <f aca="false">ABS(F20-G20)</f>
        <v>26083.2</v>
      </c>
    </row>
    <row r="21" customFormat="false" ht="15" hidden="false" customHeight="false" outlineLevel="0" collapsed="false">
      <c r="A21" s="2" t="s">
        <v>121</v>
      </c>
      <c r="B21" s="2" t="s">
        <v>69</v>
      </c>
      <c r="C21" s="2" t="s">
        <v>428</v>
      </c>
      <c r="D21" s="2" t="s">
        <v>87</v>
      </c>
      <c r="E21" s="13" t="n">
        <v>154000</v>
      </c>
      <c r="F21" s="13" t="n">
        <v>110880</v>
      </c>
      <c r="G21" s="13" t="n">
        <v>57657.6</v>
      </c>
      <c r="H21" s="13" t="n">
        <v>52157.95</v>
      </c>
      <c r="I21" s="19" t="n">
        <f aca="false">MATCH(B21,Assumptions!$H$4:$H$6,0)</f>
        <v>3</v>
      </c>
      <c r="J21" s="19" t="n">
        <f aca="false">INDEX(Assumptions!$I$4:$I$6,I21)</f>
        <v>1.06</v>
      </c>
      <c r="K21" s="19" t="n">
        <f aca="false">VLOOKUP(B21,Assumptions!$H$4:$J$6,3,FALSE())</f>
        <v>1.18</v>
      </c>
      <c r="L21" s="19" t="n">
        <f aca="false">ABS(F21-G21)</f>
        <v>53222.4</v>
      </c>
    </row>
    <row r="22" customFormat="false" ht="15" hidden="false" customHeight="false" outlineLevel="0" collapsed="false">
      <c r="A22" s="2" t="s">
        <v>122</v>
      </c>
      <c r="B22" s="2" t="s">
        <v>61</v>
      </c>
      <c r="C22" s="2" t="s">
        <v>426</v>
      </c>
      <c r="D22" s="2" t="s">
        <v>429</v>
      </c>
      <c r="E22" s="13" t="n">
        <v>181000</v>
      </c>
      <c r="F22" s="13" t="n">
        <v>104980</v>
      </c>
      <c r="G22" s="13" t="n">
        <v>64037.8</v>
      </c>
      <c r="H22" s="13" t="n">
        <v>38076.25</v>
      </c>
      <c r="I22" s="19" t="n">
        <f aca="false">MATCH(B22,Assumptions!$H$4:$H$6,0)</f>
        <v>1</v>
      </c>
      <c r="J22" s="19" t="n">
        <f aca="false">INDEX(Assumptions!$I$4:$I$6,I22)</f>
        <v>1.02</v>
      </c>
      <c r="K22" s="19" t="n">
        <f aca="false">VLOOKUP(B22,Assumptions!$H$4:$J$6,3,FALSE())</f>
        <v>1.12</v>
      </c>
      <c r="L22" s="19" t="n">
        <f aca="false">ABS(F22-G22)</f>
        <v>40942.2</v>
      </c>
    </row>
    <row r="23" customFormat="false" ht="15" hidden="false" customHeight="false" outlineLevel="0" collapsed="false">
      <c r="A23" s="2" t="s">
        <v>123</v>
      </c>
      <c r="B23" s="2" t="s">
        <v>65</v>
      </c>
      <c r="C23" s="2" t="s">
        <v>427</v>
      </c>
      <c r="D23" s="2" t="s">
        <v>87</v>
      </c>
      <c r="E23" s="13" t="n">
        <v>169000</v>
      </c>
      <c r="F23" s="13" t="n">
        <v>111540</v>
      </c>
      <c r="G23" s="13" t="n">
        <v>79193.4</v>
      </c>
      <c r="H23" s="13" t="n">
        <v>32346.6</v>
      </c>
      <c r="I23" s="19" t="n">
        <f aca="false">MATCH(B23,Assumptions!$H$4:$H$6,0)</f>
        <v>2</v>
      </c>
      <c r="J23" s="19" t="n">
        <f aca="false">INDEX(Assumptions!$I$4:$I$6,I23)</f>
        <v>1.04</v>
      </c>
      <c r="K23" s="19" t="n">
        <f aca="false">VLOOKUP(B23,Assumptions!$H$4:$J$6,3,FALSE())</f>
        <v>1.15</v>
      </c>
      <c r="L23" s="19" t="n">
        <f aca="false">ABS(F23-G23)</f>
        <v>32346.6</v>
      </c>
    </row>
    <row r="24" customFormat="false" ht="15" hidden="false" customHeight="false" outlineLevel="0" collapsed="false">
      <c r="A24" s="2" t="s">
        <v>124</v>
      </c>
      <c r="B24" s="2" t="s">
        <v>69</v>
      </c>
      <c r="C24" s="2" t="s">
        <v>428</v>
      </c>
      <c r="D24" s="2" t="s">
        <v>87</v>
      </c>
      <c r="E24" s="13" t="n">
        <v>230000</v>
      </c>
      <c r="F24" s="13" t="n">
        <v>165600</v>
      </c>
      <c r="G24" s="13" t="n">
        <v>102672</v>
      </c>
      <c r="H24" s="13" t="n">
        <v>59781.6</v>
      </c>
      <c r="I24" s="19" t="n">
        <f aca="false">MATCH(B24,Assumptions!$H$4:$H$6,0)</f>
        <v>3</v>
      </c>
      <c r="J24" s="19" t="n">
        <f aca="false">INDEX(Assumptions!$I$4:$I$6,I24)</f>
        <v>1.06</v>
      </c>
      <c r="K24" s="19" t="n">
        <f aca="false">VLOOKUP(B24,Assumptions!$H$4:$J$6,3,FALSE())</f>
        <v>1.18</v>
      </c>
      <c r="L24" s="19" t="n">
        <f aca="false">ABS(F24-G24)</f>
        <v>62928</v>
      </c>
    </row>
    <row r="25" customFormat="false" ht="15" hidden="false" customHeight="false" outlineLevel="0" collapsed="false">
      <c r="A25" s="2" t="s">
        <v>125</v>
      </c>
      <c r="B25" s="2" t="s">
        <v>61</v>
      </c>
      <c r="C25" s="2" t="s">
        <v>426</v>
      </c>
      <c r="D25" s="2" t="s">
        <v>87</v>
      </c>
      <c r="E25" s="13" t="n">
        <v>107000</v>
      </c>
      <c r="F25" s="13" t="n">
        <v>62060</v>
      </c>
      <c r="G25" s="13" t="n">
        <v>49027.4</v>
      </c>
      <c r="H25" s="13" t="n">
        <v>12902.27</v>
      </c>
      <c r="I25" s="19" t="n">
        <f aca="false">MATCH(B25,Assumptions!$H$4:$H$6,0)</f>
        <v>1</v>
      </c>
      <c r="J25" s="19" t="n">
        <f aca="false">INDEX(Assumptions!$I$4:$I$6,I25)</f>
        <v>1.02</v>
      </c>
      <c r="K25" s="19" t="n">
        <f aca="false">VLOOKUP(B25,Assumptions!$H$4:$J$6,3,FALSE())</f>
        <v>1.12</v>
      </c>
      <c r="L25" s="19" t="n">
        <f aca="false">ABS(F25-G25)</f>
        <v>13032.6</v>
      </c>
    </row>
    <row r="26" customFormat="false" ht="15" hidden="false" customHeight="false" outlineLevel="0" collapsed="false">
      <c r="A26" s="2" t="s">
        <v>126</v>
      </c>
      <c r="B26" s="2" t="s">
        <v>65</v>
      </c>
      <c r="C26" s="2" t="s">
        <v>427</v>
      </c>
      <c r="D26" s="2" t="s">
        <v>87</v>
      </c>
      <c r="E26" s="13" t="n">
        <v>115000</v>
      </c>
      <c r="F26" s="13" t="n">
        <v>75900</v>
      </c>
      <c r="G26" s="13" t="n">
        <v>56166</v>
      </c>
      <c r="H26" s="13" t="n">
        <v>17957.94</v>
      </c>
      <c r="I26" s="19" t="n">
        <f aca="false">MATCH(B26,Assumptions!$H$4:$H$6,0)</f>
        <v>2</v>
      </c>
      <c r="J26" s="19" t="n">
        <f aca="false">INDEX(Assumptions!$I$4:$I$6,I26)</f>
        <v>1.04</v>
      </c>
      <c r="K26" s="19" t="n">
        <f aca="false">VLOOKUP(B26,Assumptions!$H$4:$J$6,3,FALSE())</f>
        <v>1.15</v>
      </c>
      <c r="L26" s="19" t="n">
        <f aca="false">ABS(F26-G26)</f>
        <v>19734</v>
      </c>
    </row>
    <row r="27" customFormat="false" ht="15" hidden="false" customHeight="false" outlineLevel="0" collapsed="false">
      <c r="A27" s="2" t="s">
        <v>127</v>
      </c>
      <c r="B27" s="2" t="s">
        <v>69</v>
      </c>
      <c r="C27" s="2" t="s">
        <v>428</v>
      </c>
      <c r="D27" s="2" t="s">
        <v>87</v>
      </c>
      <c r="E27" s="13" t="n">
        <v>173000</v>
      </c>
      <c r="F27" s="13" t="n">
        <v>124560</v>
      </c>
      <c r="G27" s="13" t="n">
        <v>77227.2</v>
      </c>
      <c r="H27" s="13" t="n">
        <v>46859.47</v>
      </c>
      <c r="I27" s="19" t="n">
        <f aca="false">MATCH(B27,Assumptions!$H$4:$H$6,0)</f>
        <v>3</v>
      </c>
      <c r="J27" s="19" t="n">
        <f aca="false">INDEX(Assumptions!$I$4:$I$6,I27)</f>
        <v>1.06</v>
      </c>
      <c r="K27" s="19" t="n">
        <f aca="false">VLOOKUP(B27,Assumptions!$H$4:$J$6,3,FALSE())</f>
        <v>1.18</v>
      </c>
      <c r="L27" s="19" t="n">
        <f aca="false">ABS(F27-G27)</f>
        <v>47332.8</v>
      </c>
    </row>
    <row r="28" customFormat="false" ht="15" hidden="false" customHeight="false" outlineLevel="0" collapsed="false">
      <c r="A28" s="2" t="s">
        <v>128</v>
      </c>
      <c r="B28" s="2" t="s">
        <v>61</v>
      </c>
      <c r="C28" s="2" t="s">
        <v>426</v>
      </c>
      <c r="D28" s="2" t="s">
        <v>87</v>
      </c>
      <c r="E28" s="13" t="n">
        <v>167000</v>
      </c>
      <c r="F28" s="13" t="n">
        <v>96860</v>
      </c>
      <c r="G28" s="13" t="n">
        <v>59084.6</v>
      </c>
      <c r="H28" s="13" t="n">
        <v>34753.37</v>
      </c>
      <c r="I28" s="19" t="n">
        <f aca="false">MATCH(B28,Assumptions!$H$4:$H$6,0)</f>
        <v>1</v>
      </c>
      <c r="J28" s="19" t="n">
        <f aca="false">INDEX(Assumptions!$I$4:$I$6,I28)</f>
        <v>1.02</v>
      </c>
      <c r="K28" s="19" t="n">
        <f aca="false">VLOOKUP(B28,Assumptions!$H$4:$J$6,3,FALSE())</f>
        <v>1.12</v>
      </c>
      <c r="L28" s="19" t="n">
        <f aca="false">ABS(F28-G28)</f>
        <v>37775.4</v>
      </c>
    </row>
    <row r="29" customFormat="false" ht="15" hidden="false" customHeight="false" outlineLevel="0" collapsed="false">
      <c r="A29" s="2" t="s">
        <v>129</v>
      </c>
      <c r="B29" s="2" t="s">
        <v>65</v>
      </c>
      <c r="C29" s="2" t="s">
        <v>427</v>
      </c>
      <c r="D29" s="2" t="s">
        <v>87</v>
      </c>
      <c r="E29" s="13" t="n">
        <v>197000</v>
      </c>
      <c r="F29" s="13" t="n">
        <v>130020</v>
      </c>
      <c r="G29" s="13" t="n">
        <v>97515</v>
      </c>
      <c r="H29" s="13" t="n">
        <v>31204.8</v>
      </c>
      <c r="I29" s="19" t="n">
        <f aca="false">MATCH(B29,Assumptions!$H$4:$H$6,0)</f>
        <v>2</v>
      </c>
      <c r="J29" s="19" t="n">
        <f aca="false">INDEX(Assumptions!$I$4:$I$6,I29)</f>
        <v>1.04</v>
      </c>
      <c r="K29" s="19" t="n">
        <f aca="false">VLOOKUP(B29,Assumptions!$H$4:$J$6,3,FALSE())</f>
        <v>1.15</v>
      </c>
      <c r="L29" s="19" t="n">
        <f aca="false">ABS(F29-G29)</f>
        <v>32505</v>
      </c>
    </row>
    <row r="30" customFormat="false" ht="15" hidden="false" customHeight="false" outlineLevel="0" collapsed="false">
      <c r="A30" s="2" t="s">
        <v>130</v>
      </c>
      <c r="B30" s="2" t="s">
        <v>69</v>
      </c>
      <c r="C30" s="2" t="s">
        <v>428</v>
      </c>
      <c r="D30" s="2" t="s">
        <v>87</v>
      </c>
      <c r="E30" s="13" t="n">
        <v>191000</v>
      </c>
      <c r="F30" s="13" t="n">
        <v>137520</v>
      </c>
      <c r="G30" s="13" t="n">
        <v>77011.2</v>
      </c>
      <c r="H30" s="13" t="n">
        <v>59903.71</v>
      </c>
      <c r="I30" s="19" t="n">
        <f aca="false">MATCH(B30,Assumptions!$H$4:$H$6,0)</f>
        <v>3</v>
      </c>
      <c r="J30" s="19" t="n">
        <f aca="false">INDEX(Assumptions!$I$4:$I$6,I30)</f>
        <v>1.06</v>
      </c>
      <c r="K30" s="19" t="n">
        <f aca="false">VLOOKUP(B30,Assumptions!$H$4:$J$6,3,FALSE())</f>
        <v>1.18</v>
      </c>
      <c r="L30" s="19" t="n">
        <f aca="false">ABS(F30-G30)</f>
        <v>60508.8</v>
      </c>
    </row>
    <row r="31" customFormat="false" ht="15" hidden="false" customHeight="false" outlineLevel="0" collapsed="false">
      <c r="A31" s="2" t="s">
        <v>131</v>
      </c>
      <c r="B31" s="2" t="s">
        <v>61</v>
      </c>
      <c r="C31" s="2" t="s">
        <v>426</v>
      </c>
      <c r="D31" s="2" t="s">
        <v>87</v>
      </c>
      <c r="E31" s="13" t="n">
        <v>64000</v>
      </c>
      <c r="F31" s="13" t="n">
        <v>37120</v>
      </c>
      <c r="G31" s="13" t="n">
        <v>19302.4</v>
      </c>
      <c r="H31" s="13" t="n">
        <v>16748.54</v>
      </c>
      <c r="I31" s="19" t="n">
        <f aca="false">MATCH(B31,Assumptions!$H$4:$H$6,0)</f>
        <v>1</v>
      </c>
      <c r="J31" s="19" t="n">
        <f aca="false">INDEX(Assumptions!$I$4:$I$6,I31)</f>
        <v>1.02</v>
      </c>
      <c r="K31" s="19" t="n">
        <f aca="false">VLOOKUP(B31,Assumptions!$H$4:$J$6,3,FALSE())</f>
        <v>1.12</v>
      </c>
      <c r="L31" s="19" t="n">
        <f aca="false">ABS(F31-G31)</f>
        <v>17817.6</v>
      </c>
    </row>
    <row r="32" customFormat="false" ht="15" hidden="false" customHeight="false" outlineLevel="0" collapsed="false">
      <c r="A32" s="2" t="s">
        <v>132</v>
      </c>
      <c r="B32" s="2" t="s">
        <v>65</v>
      </c>
      <c r="C32" s="2" t="s">
        <v>427</v>
      </c>
      <c r="D32" s="2" t="s">
        <v>87</v>
      </c>
      <c r="E32" s="13" t="n">
        <v>245000</v>
      </c>
      <c r="F32" s="13" t="n">
        <v>161700</v>
      </c>
      <c r="G32" s="13" t="n">
        <v>84084</v>
      </c>
      <c r="H32" s="13" t="n">
        <v>71406.72</v>
      </c>
      <c r="I32" s="19" t="n">
        <f aca="false">MATCH(B32,Assumptions!$H$4:$H$6,0)</f>
        <v>2</v>
      </c>
      <c r="J32" s="19" t="n">
        <f aca="false">INDEX(Assumptions!$I$4:$I$6,I32)</f>
        <v>1.04</v>
      </c>
      <c r="K32" s="19" t="n">
        <f aca="false">VLOOKUP(B32,Assumptions!$H$4:$J$6,3,FALSE())</f>
        <v>1.15</v>
      </c>
      <c r="L32" s="19" t="n">
        <f aca="false">ABS(F32-G32)</f>
        <v>77616</v>
      </c>
    </row>
    <row r="33" customFormat="false" ht="15" hidden="false" customHeight="false" outlineLevel="0" collapsed="false">
      <c r="A33" s="2" t="s">
        <v>133</v>
      </c>
      <c r="B33" s="2" t="s">
        <v>69</v>
      </c>
      <c r="C33" s="2" t="s">
        <v>428</v>
      </c>
      <c r="D33" s="2" t="s">
        <v>87</v>
      </c>
      <c r="E33" s="13" t="n">
        <v>206000</v>
      </c>
      <c r="F33" s="13" t="n">
        <v>148320</v>
      </c>
      <c r="G33" s="13" t="n">
        <v>108273.6</v>
      </c>
      <c r="H33" s="13" t="n">
        <v>36041.76</v>
      </c>
      <c r="I33" s="19" t="n">
        <f aca="false">MATCH(B33,Assumptions!$H$4:$H$6,0)</f>
        <v>3</v>
      </c>
      <c r="J33" s="19" t="n">
        <f aca="false">INDEX(Assumptions!$I$4:$I$6,I33)</f>
        <v>1.06</v>
      </c>
      <c r="K33" s="19" t="n">
        <f aca="false">VLOOKUP(B33,Assumptions!$H$4:$J$6,3,FALSE())</f>
        <v>1.18</v>
      </c>
      <c r="L33" s="19" t="n">
        <f aca="false">ABS(F33-G33)</f>
        <v>40046.4</v>
      </c>
    </row>
    <row r="34" customFormat="false" ht="15" hidden="false" customHeight="false" outlineLevel="0" collapsed="false">
      <c r="A34" s="2" t="s">
        <v>134</v>
      </c>
      <c r="B34" s="2" t="s">
        <v>61</v>
      </c>
      <c r="C34" s="2" t="s">
        <v>426</v>
      </c>
      <c r="D34" s="2" t="s">
        <v>87</v>
      </c>
      <c r="E34" s="13" t="n">
        <v>97000</v>
      </c>
      <c r="F34" s="13" t="n">
        <v>56260</v>
      </c>
      <c r="G34" s="13" t="n">
        <v>41632.4</v>
      </c>
      <c r="H34" s="13" t="n">
        <v>13749.94</v>
      </c>
      <c r="I34" s="19" t="n">
        <f aca="false">MATCH(B34,Assumptions!$H$4:$H$6,0)</f>
        <v>1</v>
      </c>
      <c r="J34" s="19" t="n">
        <f aca="false">INDEX(Assumptions!$I$4:$I$6,I34)</f>
        <v>1.02</v>
      </c>
      <c r="K34" s="19" t="n">
        <f aca="false">VLOOKUP(B34,Assumptions!$H$4:$J$6,3,FALSE())</f>
        <v>1.12</v>
      </c>
      <c r="L34" s="19" t="n">
        <f aca="false">ABS(F34-G34)</f>
        <v>14627.6</v>
      </c>
    </row>
    <row r="35" customFormat="false" ht="15" hidden="false" customHeight="false" outlineLevel="0" collapsed="false">
      <c r="A35" s="2" t="s">
        <v>135</v>
      </c>
      <c r="B35" s="2" t="s">
        <v>65</v>
      </c>
      <c r="C35" s="2" t="s">
        <v>427</v>
      </c>
      <c r="D35" s="2" t="s">
        <v>87</v>
      </c>
      <c r="E35" s="13" t="n">
        <v>98000</v>
      </c>
      <c r="F35" s="13" t="n">
        <v>64680</v>
      </c>
      <c r="G35" s="13" t="n">
        <v>38808</v>
      </c>
      <c r="H35" s="13" t="n">
        <v>24319.68</v>
      </c>
      <c r="I35" s="19" t="n">
        <f aca="false">MATCH(B35,Assumptions!$H$4:$H$6,0)</f>
        <v>2</v>
      </c>
      <c r="J35" s="19" t="n">
        <f aca="false">INDEX(Assumptions!$I$4:$I$6,I35)</f>
        <v>1.04</v>
      </c>
      <c r="K35" s="19" t="n">
        <f aca="false">VLOOKUP(B35,Assumptions!$H$4:$J$6,3,FALSE())</f>
        <v>1.15</v>
      </c>
      <c r="L35" s="19" t="n">
        <f aca="false">ABS(F35-G35)</f>
        <v>25872</v>
      </c>
    </row>
    <row r="36" customFormat="false" ht="15" hidden="false" customHeight="false" outlineLevel="0" collapsed="false">
      <c r="A36" s="2" t="s">
        <v>136</v>
      </c>
      <c r="B36" s="2" t="s">
        <v>69</v>
      </c>
      <c r="C36" s="2" t="s">
        <v>428</v>
      </c>
      <c r="D36" s="2" t="s">
        <v>87</v>
      </c>
      <c r="E36" s="13" t="n">
        <v>92000</v>
      </c>
      <c r="F36" s="13" t="n">
        <v>66240</v>
      </c>
      <c r="G36" s="13" t="n">
        <v>52329.6</v>
      </c>
      <c r="H36" s="13" t="n">
        <v>13214.88</v>
      </c>
      <c r="I36" s="19" t="n">
        <f aca="false">MATCH(B36,Assumptions!$H$4:$H$6,0)</f>
        <v>3</v>
      </c>
      <c r="J36" s="19" t="n">
        <f aca="false">INDEX(Assumptions!$I$4:$I$6,I36)</f>
        <v>1.06</v>
      </c>
      <c r="K36" s="19" t="n">
        <f aca="false">VLOOKUP(B36,Assumptions!$H$4:$J$6,3,FALSE())</f>
        <v>1.18</v>
      </c>
      <c r="L36" s="19" t="n">
        <f aca="false">ABS(F36-G36)</f>
        <v>13910.4</v>
      </c>
    </row>
    <row r="37" customFormat="false" ht="15" hidden="false" customHeight="false" outlineLevel="0" collapsed="false">
      <c r="A37" s="2" t="s">
        <v>137</v>
      </c>
      <c r="B37" s="2" t="s">
        <v>61</v>
      </c>
      <c r="C37" s="2" t="s">
        <v>426</v>
      </c>
      <c r="D37" s="2" t="s">
        <v>87</v>
      </c>
      <c r="E37" s="13" t="n">
        <v>138000</v>
      </c>
      <c r="F37" s="13" t="n">
        <v>80040</v>
      </c>
      <c r="G37" s="13" t="n">
        <v>55227.6</v>
      </c>
      <c r="H37" s="13" t="n">
        <v>22827.41</v>
      </c>
      <c r="I37" s="19" t="n">
        <f aca="false">MATCH(B37,Assumptions!$H$4:$H$6,0)</f>
        <v>1</v>
      </c>
      <c r="J37" s="19" t="n">
        <f aca="false">INDEX(Assumptions!$I$4:$I$6,I37)</f>
        <v>1.02</v>
      </c>
      <c r="K37" s="19" t="n">
        <f aca="false">VLOOKUP(B37,Assumptions!$H$4:$J$6,3,FALSE())</f>
        <v>1.12</v>
      </c>
      <c r="L37" s="19" t="n">
        <f aca="false">ABS(F37-G37)</f>
        <v>24812.4</v>
      </c>
    </row>
    <row r="38" customFormat="false" ht="15" hidden="false" customHeight="false" outlineLevel="0" collapsed="false">
      <c r="A38" s="2" t="s">
        <v>138</v>
      </c>
      <c r="B38" s="2" t="s">
        <v>65</v>
      </c>
      <c r="C38" s="2" t="s">
        <v>427</v>
      </c>
      <c r="D38" s="2" t="s">
        <v>87</v>
      </c>
      <c r="E38" s="13" t="n">
        <v>76000</v>
      </c>
      <c r="F38" s="13" t="n">
        <v>50160</v>
      </c>
      <c r="G38" s="13" t="n">
        <v>30597.6</v>
      </c>
      <c r="H38" s="13" t="n">
        <v>18584.28</v>
      </c>
      <c r="I38" s="19" t="n">
        <f aca="false">MATCH(B38,Assumptions!$H$4:$H$6,0)</f>
        <v>2</v>
      </c>
      <c r="J38" s="19" t="n">
        <f aca="false">INDEX(Assumptions!$I$4:$I$6,I38)</f>
        <v>1.04</v>
      </c>
      <c r="K38" s="19" t="n">
        <f aca="false">VLOOKUP(B38,Assumptions!$H$4:$J$6,3,FALSE())</f>
        <v>1.15</v>
      </c>
      <c r="L38" s="19" t="n">
        <f aca="false">ABS(F38-G38)</f>
        <v>19562.4</v>
      </c>
    </row>
    <row r="39" customFormat="false" ht="15" hidden="false" customHeight="false" outlineLevel="0" collapsed="false">
      <c r="A39" s="2" t="s">
        <v>139</v>
      </c>
      <c r="B39" s="2" t="s">
        <v>69</v>
      </c>
      <c r="C39" s="2" t="s">
        <v>428</v>
      </c>
      <c r="D39" s="2" t="s">
        <v>87</v>
      </c>
      <c r="E39" s="13" t="n">
        <v>232000</v>
      </c>
      <c r="F39" s="13" t="n">
        <v>167040</v>
      </c>
      <c r="G39" s="13" t="n">
        <v>121939.2</v>
      </c>
      <c r="H39" s="13" t="n">
        <v>41943.74</v>
      </c>
      <c r="I39" s="19" t="n">
        <f aca="false">MATCH(B39,Assumptions!$H$4:$H$6,0)</f>
        <v>3</v>
      </c>
      <c r="J39" s="19" t="n">
        <f aca="false">INDEX(Assumptions!$I$4:$I$6,I39)</f>
        <v>1.06</v>
      </c>
      <c r="K39" s="19" t="n">
        <f aca="false">VLOOKUP(B39,Assumptions!$H$4:$J$6,3,FALSE())</f>
        <v>1.18</v>
      </c>
      <c r="L39" s="19" t="n">
        <f aca="false">ABS(F39-G39)</f>
        <v>45100.8</v>
      </c>
    </row>
    <row r="40" customFormat="false" ht="15" hidden="false" customHeight="false" outlineLevel="0" collapsed="false">
      <c r="A40" s="2" t="s">
        <v>140</v>
      </c>
      <c r="B40" s="2" t="s">
        <v>61</v>
      </c>
      <c r="C40" s="2" t="s">
        <v>426</v>
      </c>
      <c r="D40" s="2" t="s">
        <v>87</v>
      </c>
      <c r="E40" s="13" t="n">
        <v>233000</v>
      </c>
      <c r="F40" s="13" t="n">
        <v>135140</v>
      </c>
      <c r="G40" s="13" t="n">
        <v>100003.6</v>
      </c>
      <c r="H40" s="13" t="n">
        <v>33730.94</v>
      </c>
      <c r="I40" s="19" t="n">
        <f aca="false">MATCH(B40,Assumptions!$H$4:$H$6,0)</f>
        <v>1</v>
      </c>
      <c r="J40" s="19" t="n">
        <f aca="false">INDEX(Assumptions!$I$4:$I$6,I40)</f>
        <v>1.02</v>
      </c>
      <c r="K40" s="19" t="n">
        <f aca="false">VLOOKUP(B40,Assumptions!$H$4:$J$6,3,FALSE())</f>
        <v>1.12</v>
      </c>
      <c r="L40" s="19" t="n">
        <f aca="false">ABS(F40-G40)</f>
        <v>35136.4</v>
      </c>
    </row>
    <row r="41" customFormat="false" ht="15" hidden="false" customHeight="false" outlineLevel="0" collapsed="false">
      <c r="A41" s="2" t="s">
        <v>141</v>
      </c>
      <c r="B41" s="2" t="s">
        <v>65</v>
      </c>
      <c r="C41" s="2" t="s">
        <v>427</v>
      </c>
      <c r="D41" s="2" t="s">
        <v>429</v>
      </c>
      <c r="E41" s="13" t="n">
        <v>178000</v>
      </c>
      <c r="F41" s="13" t="n">
        <v>117480</v>
      </c>
      <c r="G41" s="13" t="n">
        <v>74012.4</v>
      </c>
      <c r="H41" s="13" t="n">
        <v>39555.52</v>
      </c>
      <c r="I41" s="19" t="n">
        <f aca="false">MATCH(B41,Assumptions!$H$4:$H$6,0)</f>
        <v>2</v>
      </c>
      <c r="J41" s="19" t="n">
        <f aca="false">INDEX(Assumptions!$I$4:$I$6,I41)</f>
        <v>1.04</v>
      </c>
      <c r="K41" s="19" t="n">
        <f aca="false">VLOOKUP(B41,Assumptions!$H$4:$J$6,3,FALSE())</f>
        <v>1.15</v>
      </c>
      <c r="L41" s="19" t="n">
        <f aca="false">ABS(F41-G41)</f>
        <v>43467.6</v>
      </c>
    </row>
    <row r="42" customFormat="false" ht="15" hidden="false" customHeight="false" outlineLevel="0" collapsed="false">
      <c r="A42" s="2" t="s">
        <v>142</v>
      </c>
      <c r="B42" s="2" t="s">
        <v>69</v>
      </c>
      <c r="C42" s="2" t="s">
        <v>428</v>
      </c>
      <c r="D42" s="2" t="s">
        <v>87</v>
      </c>
      <c r="E42" s="13" t="n">
        <v>87000</v>
      </c>
      <c r="F42" s="13" t="n">
        <v>62640</v>
      </c>
      <c r="G42" s="13" t="n">
        <v>38210.4</v>
      </c>
      <c r="H42" s="13" t="n">
        <v>24185.3</v>
      </c>
      <c r="I42" s="19" t="n">
        <f aca="false">MATCH(B42,Assumptions!$H$4:$H$6,0)</f>
        <v>3</v>
      </c>
      <c r="J42" s="19" t="n">
        <f aca="false">INDEX(Assumptions!$I$4:$I$6,I42)</f>
        <v>1.06</v>
      </c>
      <c r="K42" s="19" t="n">
        <f aca="false">VLOOKUP(B42,Assumptions!$H$4:$J$6,3,FALSE())</f>
        <v>1.18</v>
      </c>
      <c r="L42" s="19" t="n">
        <f aca="false">ABS(F42-G42)</f>
        <v>24429.6</v>
      </c>
    </row>
    <row r="43" customFormat="false" ht="15" hidden="false" customHeight="false" outlineLevel="0" collapsed="false">
      <c r="A43" s="2" t="s">
        <v>143</v>
      </c>
      <c r="B43" s="2" t="s">
        <v>61</v>
      </c>
      <c r="C43" s="2" t="s">
        <v>426</v>
      </c>
      <c r="D43" s="2" t="s">
        <v>87</v>
      </c>
      <c r="E43" s="13" t="n">
        <v>224000</v>
      </c>
      <c r="F43" s="13" t="n">
        <v>129920</v>
      </c>
      <c r="G43" s="13" t="n">
        <v>92243.2</v>
      </c>
      <c r="H43" s="13" t="n">
        <v>34662.66</v>
      </c>
      <c r="I43" s="19" t="n">
        <f aca="false">MATCH(B43,Assumptions!$H$4:$H$6,0)</f>
        <v>1</v>
      </c>
      <c r="J43" s="19" t="n">
        <f aca="false">INDEX(Assumptions!$I$4:$I$6,I43)</f>
        <v>1.02</v>
      </c>
      <c r="K43" s="19" t="n">
        <f aca="false">VLOOKUP(B43,Assumptions!$H$4:$J$6,3,FALSE())</f>
        <v>1.12</v>
      </c>
      <c r="L43" s="19" t="n">
        <f aca="false">ABS(F43-G43)</f>
        <v>37676.8</v>
      </c>
    </row>
    <row r="44" customFormat="false" ht="15" hidden="false" customHeight="false" outlineLevel="0" collapsed="false">
      <c r="A44" s="2" t="s">
        <v>144</v>
      </c>
      <c r="B44" s="2" t="s">
        <v>65</v>
      </c>
      <c r="C44" s="2" t="s">
        <v>427</v>
      </c>
      <c r="D44" s="2" t="s">
        <v>87</v>
      </c>
      <c r="E44" s="13" t="n">
        <v>146000</v>
      </c>
      <c r="F44" s="13" t="n">
        <v>96360</v>
      </c>
      <c r="G44" s="13" t="n">
        <v>56852.4</v>
      </c>
      <c r="H44" s="13" t="n">
        <v>38717.45</v>
      </c>
      <c r="I44" s="19" t="n">
        <f aca="false">MATCH(B44,Assumptions!$H$4:$H$6,0)</f>
        <v>2</v>
      </c>
      <c r="J44" s="19" t="n">
        <f aca="false">INDEX(Assumptions!$I$4:$I$6,I44)</f>
        <v>1.04</v>
      </c>
      <c r="K44" s="19" t="n">
        <f aca="false">VLOOKUP(B44,Assumptions!$H$4:$J$6,3,FALSE())</f>
        <v>1.15</v>
      </c>
      <c r="L44" s="19" t="n">
        <f aca="false">ABS(F44-G44)</f>
        <v>39507.6</v>
      </c>
    </row>
    <row r="45" customFormat="false" ht="15" hidden="false" customHeight="false" outlineLevel="0" collapsed="false">
      <c r="A45" s="2" t="s">
        <v>145</v>
      </c>
      <c r="B45" s="2" t="s">
        <v>69</v>
      </c>
      <c r="C45" s="2" t="s">
        <v>428</v>
      </c>
      <c r="D45" s="2" t="s">
        <v>87</v>
      </c>
      <c r="E45" s="13" t="n">
        <v>178000</v>
      </c>
      <c r="F45" s="13" t="n">
        <v>128160</v>
      </c>
      <c r="G45" s="13" t="n">
        <v>69206.4</v>
      </c>
      <c r="H45" s="13" t="n">
        <v>57184.99</v>
      </c>
      <c r="I45" s="19" t="n">
        <f aca="false">MATCH(B45,Assumptions!$H$4:$H$6,0)</f>
        <v>3</v>
      </c>
      <c r="J45" s="19" t="n">
        <f aca="false">INDEX(Assumptions!$I$4:$I$6,I45)</f>
        <v>1.06</v>
      </c>
      <c r="K45" s="19" t="n">
        <f aca="false">VLOOKUP(B45,Assumptions!$H$4:$J$6,3,FALSE())</f>
        <v>1.18</v>
      </c>
      <c r="L45" s="19" t="n">
        <f aca="false">ABS(F45-G45)</f>
        <v>58953.6</v>
      </c>
    </row>
    <row r="46" customFormat="false" ht="15" hidden="false" customHeight="false" outlineLevel="0" collapsed="false">
      <c r="A46" s="2" t="s">
        <v>146</v>
      </c>
      <c r="B46" s="2" t="s">
        <v>61</v>
      </c>
      <c r="C46" s="2" t="s">
        <v>426</v>
      </c>
      <c r="D46" s="2" t="s">
        <v>87</v>
      </c>
      <c r="E46" s="13" t="n">
        <v>148000</v>
      </c>
      <c r="F46" s="13" t="n">
        <v>85840</v>
      </c>
      <c r="G46" s="13" t="n">
        <v>66955.2</v>
      </c>
      <c r="H46" s="13" t="n">
        <v>18318.26</v>
      </c>
      <c r="I46" s="19" t="n">
        <f aca="false">MATCH(B46,Assumptions!$H$4:$H$6,0)</f>
        <v>1</v>
      </c>
      <c r="J46" s="19" t="n">
        <f aca="false">INDEX(Assumptions!$I$4:$I$6,I46)</f>
        <v>1.02</v>
      </c>
      <c r="K46" s="19" t="n">
        <f aca="false">VLOOKUP(B46,Assumptions!$H$4:$J$6,3,FALSE())</f>
        <v>1.12</v>
      </c>
      <c r="L46" s="19" t="n">
        <f aca="false">ABS(F46-G46)</f>
        <v>18884.8</v>
      </c>
    </row>
    <row r="47" customFormat="false" ht="15" hidden="false" customHeight="false" outlineLevel="0" collapsed="false">
      <c r="A47" s="2" t="s">
        <v>147</v>
      </c>
      <c r="B47" s="2" t="s">
        <v>65</v>
      </c>
      <c r="C47" s="2" t="s">
        <v>427</v>
      </c>
      <c r="D47" s="2" t="s">
        <v>87</v>
      </c>
      <c r="E47" s="13" t="n">
        <v>210000</v>
      </c>
      <c r="F47" s="13" t="n">
        <v>138600</v>
      </c>
      <c r="G47" s="13" t="n">
        <v>102564</v>
      </c>
      <c r="H47" s="13" t="n">
        <v>36036</v>
      </c>
      <c r="I47" s="19" t="n">
        <f aca="false">MATCH(B47,Assumptions!$H$4:$H$6,0)</f>
        <v>2</v>
      </c>
      <c r="J47" s="19" t="n">
        <f aca="false">INDEX(Assumptions!$I$4:$I$6,I47)</f>
        <v>1.04</v>
      </c>
      <c r="K47" s="19" t="n">
        <f aca="false">VLOOKUP(B47,Assumptions!$H$4:$J$6,3,FALSE())</f>
        <v>1.15</v>
      </c>
      <c r="L47" s="19" t="n">
        <f aca="false">ABS(F47-G47)</f>
        <v>36036</v>
      </c>
    </row>
    <row r="48" customFormat="false" ht="15" hidden="false" customHeight="false" outlineLevel="0" collapsed="false">
      <c r="A48" s="2" t="s">
        <v>148</v>
      </c>
      <c r="B48" s="2" t="s">
        <v>69</v>
      </c>
      <c r="C48" s="2" t="s">
        <v>428</v>
      </c>
      <c r="D48" s="2" t="s">
        <v>87</v>
      </c>
      <c r="E48" s="13" t="n">
        <v>202000</v>
      </c>
      <c r="F48" s="13" t="n">
        <v>145440</v>
      </c>
      <c r="G48" s="13" t="n">
        <v>110534.4</v>
      </c>
      <c r="H48" s="13" t="n">
        <v>31764.1</v>
      </c>
      <c r="I48" s="19" t="n">
        <f aca="false">MATCH(B48,Assumptions!$H$4:$H$6,0)</f>
        <v>3</v>
      </c>
      <c r="J48" s="19" t="n">
        <f aca="false">INDEX(Assumptions!$I$4:$I$6,I48)</f>
        <v>1.06</v>
      </c>
      <c r="K48" s="19" t="n">
        <f aca="false">VLOOKUP(B48,Assumptions!$H$4:$J$6,3,FALSE())</f>
        <v>1.18</v>
      </c>
      <c r="L48" s="19" t="n">
        <f aca="false">ABS(F48-G48)</f>
        <v>34905.6</v>
      </c>
    </row>
    <row r="49" customFormat="false" ht="15" hidden="false" customHeight="false" outlineLevel="0" collapsed="false">
      <c r="A49" s="2" t="s">
        <v>149</v>
      </c>
      <c r="B49" s="2" t="s">
        <v>61</v>
      </c>
      <c r="C49" s="2" t="s">
        <v>426</v>
      </c>
      <c r="D49" s="2" t="s">
        <v>87</v>
      </c>
      <c r="E49" s="13" t="n">
        <v>171000</v>
      </c>
      <c r="F49" s="13" t="n">
        <v>99180</v>
      </c>
      <c r="G49" s="13" t="n">
        <v>68434.2</v>
      </c>
      <c r="H49" s="13" t="n">
        <v>30745.8</v>
      </c>
      <c r="I49" s="19" t="n">
        <f aca="false">MATCH(B49,Assumptions!$H$4:$H$6,0)</f>
        <v>1</v>
      </c>
      <c r="J49" s="19" t="n">
        <f aca="false">INDEX(Assumptions!$I$4:$I$6,I49)</f>
        <v>1.02</v>
      </c>
      <c r="K49" s="19" t="n">
        <f aca="false">VLOOKUP(B49,Assumptions!$H$4:$J$6,3,FALSE())</f>
        <v>1.12</v>
      </c>
      <c r="L49" s="19" t="n">
        <f aca="false">ABS(F49-G49)</f>
        <v>30745.8</v>
      </c>
    </row>
    <row r="50" customFormat="false" ht="15" hidden="false" customHeight="false" outlineLevel="0" collapsed="false">
      <c r="A50" s="2" t="s">
        <v>150</v>
      </c>
      <c r="B50" s="2" t="s">
        <v>65</v>
      </c>
      <c r="C50" s="2" t="s">
        <v>427</v>
      </c>
      <c r="D50" s="2" t="s">
        <v>87</v>
      </c>
      <c r="E50" s="13" t="n">
        <v>97000</v>
      </c>
      <c r="F50" s="13" t="n">
        <v>64020</v>
      </c>
      <c r="G50" s="13" t="n">
        <v>48655.2</v>
      </c>
      <c r="H50" s="13" t="n">
        <v>14903.86</v>
      </c>
      <c r="I50" s="19" t="n">
        <f aca="false">MATCH(B50,Assumptions!$H$4:$H$6,0)</f>
        <v>2</v>
      </c>
      <c r="J50" s="19" t="n">
        <f aca="false">INDEX(Assumptions!$I$4:$I$6,I50)</f>
        <v>1.04</v>
      </c>
      <c r="K50" s="19" t="n">
        <f aca="false">VLOOKUP(B50,Assumptions!$H$4:$J$6,3,FALSE())</f>
        <v>1.15</v>
      </c>
      <c r="L50" s="19" t="n">
        <f aca="false">ABS(F50-G50)</f>
        <v>15364.8</v>
      </c>
    </row>
    <row r="51" customFormat="false" ht="15" hidden="false" customHeight="false" outlineLevel="0" collapsed="false">
      <c r="A51" s="2" t="s">
        <v>151</v>
      </c>
      <c r="B51" s="2" t="s">
        <v>69</v>
      </c>
      <c r="C51" s="2" t="s">
        <v>428</v>
      </c>
      <c r="D51" s="2" t="s">
        <v>87</v>
      </c>
      <c r="E51" s="13" t="n">
        <v>104000</v>
      </c>
      <c r="F51" s="13" t="n">
        <v>74880</v>
      </c>
      <c r="G51" s="13" t="n">
        <v>44928</v>
      </c>
      <c r="H51" s="13" t="n">
        <v>29952</v>
      </c>
      <c r="I51" s="19" t="n">
        <f aca="false">MATCH(B51,Assumptions!$H$4:$H$6,0)</f>
        <v>3</v>
      </c>
      <c r="J51" s="19" t="n">
        <f aca="false">INDEX(Assumptions!$I$4:$I$6,I51)</f>
        <v>1.06</v>
      </c>
      <c r="K51" s="19" t="n">
        <f aca="false">VLOOKUP(B51,Assumptions!$H$4:$J$6,3,FALSE())</f>
        <v>1.18</v>
      </c>
      <c r="L51" s="19" t="n">
        <f aca="false">ABS(F51-G51)</f>
        <v>29952</v>
      </c>
    </row>
    <row r="52" customFormat="false" ht="15" hidden="false" customHeight="false" outlineLevel="0" collapsed="false">
      <c r="A52" s="2" t="s">
        <v>152</v>
      </c>
      <c r="B52" s="2" t="s">
        <v>61</v>
      </c>
      <c r="C52" s="2" t="s">
        <v>426</v>
      </c>
      <c r="D52" s="2" t="s">
        <v>87</v>
      </c>
      <c r="E52" s="13" t="n">
        <v>79000</v>
      </c>
      <c r="F52" s="13" t="n">
        <v>45820</v>
      </c>
      <c r="G52" s="13" t="n">
        <v>33448.6</v>
      </c>
      <c r="H52" s="13" t="n">
        <v>11505.4</v>
      </c>
      <c r="I52" s="19" t="n">
        <f aca="false">MATCH(B52,Assumptions!$H$4:$H$6,0)</f>
        <v>1</v>
      </c>
      <c r="J52" s="19" t="n">
        <f aca="false">INDEX(Assumptions!$I$4:$I$6,I52)</f>
        <v>1.02</v>
      </c>
      <c r="K52" s="19" t="n">
        <f aca="false">VLOOKUP(B52,Assumptions!$H$4:$J$6,3,FALSE())</f>
        <v>1.12</v>
      </c>
      <c r="L52" s="19" t="n">
        <f aca="false">ABS(F52-G52)</f>
        <v>12371.4</v>
      </c>
    </row>
    <row r="53" customFormat="false" ht="15" hidden="false" customHeight="false" outlineLevel="0" collapsed="false">
      <c r="A53" s="2" t="s">
        <v>153</v>
      </c>
      <c r="B53" s="2" t="s">
        <v>65</v>
      </c>
      <c r="C53" s="2" t="s">
        <v>427</v>
      </c>
      <c r="D53" s="2" t="s">
        <v>87</v>
      </c>
      <c r="E53" s="13" t="n">
        <v>114000</v>
      </c>
      <c r="F53" s="13" t="n">
        <v>75240</v>
      </c>
      <c r="G53" s="13" t="n">
        <v>44391.6</v>
      </c>
      <c r="H53" s="13" t="n">
        <v>30231.43</v>
      </c>
      <c r="I53" s="19" t="n">
        <f aca="false">MATCH(B53,Assumptions!$H$4:$H$6,0)</f>
        <v>2</v>
      </c>
      <c r="J53" s="19" t="n">
        <f aca="false">INDEX(Assumptions!$I$4:$I$6,I53)</f>
        <v>1.04</v>
      </c>
      <c r="K53" s="19" t="n">
        <f aca="false">VLOOKUP(B53,Assumptions!$H$4:$J$6,3,FALSE())</f>
        <v>1.15</v>
      </c>
      <c r="L53" s="19" t="n">
        <f aca="false">ABS(F53-G53)</f>
        <v>30848.4</v>
      </c>
    </row>
    <row r="54" customFormat="false" ht="15" hidden="false" customHeight="false" outlineLevel="0" collapsed="false">
      <c r="A54" s="2" t="s">
        <v>154</v>
      </c>
      <c r="B54" s="2" t="s">
        <v>69</v>
      </c>
      <c r="C54" s="2" t="s">
        <v>428</v>
      </c>
      <c r="D54" s="2" t="s">
        <v>87</v>
      </c>
      <c r="E54" s="13" t="n">
        <v>140000</v>
      </c>
      <c r="F54" s="13" t="n">
        <v>100800</v>
      </c>
      <c r="G54" s="13" t="n">
        <v>60480</v>
      </c>
      <c r="H54" s="13" t="n">
        <v>38707.2</v>
      </c>
      <c r="I54" s="19" t="n">
        <f aca="false">MATCH(B54,Assumptions!$H$4:$H$6,0)</f>
        <v>3</v>
      </c>
      <c r="J54" s="19" t="n">
        <f aca="false">INDEX(Assumptions!$I$4:$I$6,I54)</f>
        <v>1.06</v>
      </c>
      <c r="K54" s="19" t="n">
        <f aca="false">VLOOKUP(B54,Assumptions!$H$4:$J$6,3,FALSE())</f>
        <v>1.18</v>
      </c>
      <c r="L54" s="19" t="n">
        <f aca="false">ABS(F54-G54)</f>
        <v>40320</v>
      </c>
    </row>
    <row r="55" customFormat="false" ht="15" hidden="false" customHeight="false" outlineLevel="0" collapsed="false">
      <c r="A55" s="2" t="s">
        <v>155</v>
      </c>
      <c r="B55" s="2" t="s">
        <v>61</v>
      </c>
      <c r="C55" s="2" t="s">
        <v>426</v>
      </c>
      <c r="D55" s="2" t="s">
        <v>87</v>
      </c>
      <c r="E55" s="13" t="n">
        <v>180000</v>
      </c>
      <c r="F55" s="13" t="n">
        <v>104400</v>
      </c>
      <c r="G55" s="13" t="n">
        <v>81432</v>
      </c>
      <c r="H55" s="13" t="n">
        <v>21360.24</v>
      </c>
      <c r="I55" s="19" t="n">
        <f aca="false">MATCH(B55,Assumptions!$H$4:$H$6,0)</f>
        <v>1</v>
      </c>
      <c r="J55" s="19" t="n">
        <f aca="false">INDEX(Assumptions!$I$4:$I$6,I55)</f>
        <v>1.02</v>
      </c>
      <c r="K55" s="19" t="n">
        <f aca="false">VLOOKUP(B55,Assumptions!$H$4:$J$6,3,FALSE())</f>
        <v>1.12</v>
      </c>
      <c r="L55" s="19" t="n">
        <f aca="false">ABS(F55-G55)</f>
        <v>22968</v>
      </c>
    </row>
    <row r="56" customFormat="false" ht="15" hidden="false" customHeight="false" outlineLevel="0" collapsed="false">
      <c r="A56" s="2" t="s">
        <v>156</v>
      </c>
      <c r="B56" s="2" t="s">
        <v>65</v>
      </c>
      <c r="C56" s="2" t="s">
        <v>427</v>
      </c>
      <c r="D56" s="2" t="s">
        <v>87</v>
      </c>
      <c r="E56" s="13" t="n">
        <v>139000</v>
      </c>
      <c r="F56" s="13" t="n">
        <v>91740</v>
      </c>
      <c r="G56" s="13" t="n">
        <v>50457</v>
      </c>
      <c r="H56" s="13" t="n">
        <v>38393.19</v>
      </c>
      <c r="I56" s="19" t="n">
        <f aca="false">MATCH(B56,Assumptions!$H$4:$H$6,0)</f>
        <v>2</v>
      </c>
      <c r="J56" s="19" t="n">
        <f aca="false">INDEX(Assumptions!$I$4:$I$6,I56)</f>
        <v>1.04</v>
      </c>
      <c r="K56" s="19" t="n">
        <f aca="false">VLOOKUP(B56,Assumptions!$H$4:$J$6,3,FALSE())</f>
        <v>1.15</v>
      </c>
      <c r="L56" s="19" t="n">
        <f aca="false">ABS(F56-G56)</f>
        <v>41283</v>
      </c>
    </row>
    <row r="57" customFormat="false" ht="15" hidden="false" customHeight="false" outlineLevel="0" collapsed="false">
      <c r="A57" s="2" t="s">
        <v>157</v>
      </c>
      <c r="B57" s="2" t="s">
        <v>69</v>
      </c>
      <c r="C57" s="2" t="s">
        <v>428</v>
      </c>
      <c r="D57" s="2" t="s">
        <v>87</v>
      </c>
      <c r="E57" s="13" t="n">
        <v>222000</v>
      </c>
      <c r="F57" s="13" t="n">
        <v>159840</v>
      </c>
      <c r="G57" s="13" t="n">
        <v>91108.8</v>
      </c>
      <c r="H57" s="13" t="n">
        <v>65981.95</v>
      </c>
      <c r="I57" s="19" t="n">
        <f aca="false">MATCH(B57,Assumptions!$H$4:$H$6,0)</f>
        <v>3</v>
      </c>
      <c r="J57" s="19" t="n">
        <f aca="false">INDEX(Assumptions!$I$4:$I$6,I57)</f>
        <v>1.06</v>
      </c>
      <c r="K57" s="19" t="n">
        <f aca="false">VLOOKUP(B57,Assumptions!$H$4:$J$6,3,FALSE())</f>
        <v>1.18</v>
      </c>
      <c r="L57" s="19" t="n">
        <f aca="false">ABS(F57-G57)</f>
        <v>68731.2</v>
      </c>
    </row>
    <row r="58" customFormat="false" ht="15" hidden="false" customHeight="false" outlineLevel="0" collapsed="false">
      <c r="A58" s="2" t="s">
        <v>158</v>
      </c>
      <c r="B58" s="2" t="s">
        <v>61</v>
      </c>
      <c r="C58" s="2" t="s">
        <v>426</v>
      </c>
      <c r="D58" s="2" t="s">
        <v>87</v>
      </c>
      <c r="E58" s="13" t="n">
        <v>165000</v>
      </c>
      <c r="F58" s="13" t="n">
        <v>95700</v>
      </c>
      <c r="G58" s="13" t="n">
        <v>55506</v>
      </c>
      <c r="H58" s="13" t="n">
        <v>39792.06</v>
      </c>
      <c r="I58" s="19" t="n">
        <f aca="false">MATCH(B58,Assumptions!$H$4:$H$6,0)</f>
        <v>1</v>
      </c>
      <c r="J58" s="19" t="n">
        <f aca="false">INDEX(Assumptions!$I$4:$I$6,I58)</f>
        <v>1.02</v>
      </c>
      <c r="K58" s="19" t="n">
        <f aca="false">VLOOKUP(B58,Assumptions!$H$4:$J$6,3,FALSE())</f>
        <v>1.12</v>
      </c>
      <c r="L58" s="19" t="n">
        <f aca="false">ABS(F58-G58)</f>
        <v>40194</v>
      </c>
    </row>
    <row r="59" customFormat="false" ht="15" hidden="false" customHeight="false" outlineLevel="0" collapsed="false">
      <c r="A59" s="2" t="s">
        <v>159</v>
      </c>
      <c r="B59" s="2" t="s">
        <v>65</v>
      </c>
      <c r="C59" s="2" t="s">
        <v>427</v>
      </c>
      <c r="D59" s="2" t="s">
        <v>87</v>
      </c>
      <c r="E59" s="13" t="n">
        <v>233000</v>
      </c>
      <c r="F59" s="13" t="n">
        <v>153780</v>
      </c>
      <c r="G59" s="13" t="n">
        <v>107646</v>
      </c>
      <c r="H59" s="13" t="n">
        <v>41520.6</v>
      </c>
      <c r="I59" s="19" t="n">
        <f aca="false">MATCH(B59,Assumptions!$H$4:$H$6,0)</f>
        <v>2</v>
      </c>
      <c r="J59" s="19" t="n">
        <f aca="false">INDEX(Assumptions!$I$4:$I$6,I59)</f>
        <v>1.04</v>
      </c>
      <c r="K59" s="19" t="n">
        <f aca="false">VLOOKUP(B59,Assumptions!$H$4:$J$6,3,FALSE())</f>
        <v>1.15</v>
      </c>
      <c r="L59" s="19" t="n">
        <f aca="false">ABS(F59-G59)</f>
        <v>46134</v>
      </c>
    </row>
    <row r="60" customFormat="false" ht="15" hidden="false" customHeight="false" outlineLevel="0" collapsed="false">
      <c r="A60" s="2" t="s">
        <v>160</v>
      </c>
      <c r="B60" s="2" t="s">
        <v>69</v>
      </c>
      <c r="C60" s="2" t="s">
        <v>428</v>
      </c>
      <c r="D60" s="2" t="s">
        <v>429</v>
      </c>
      <c r="E60" s="13" t="n">
        <v>217000</v>
      </c>
      <c r="F60" s="13" t="n">
        <v>156240</v>
      </c>
      <c r="G60" s="13" t="n">
        <v>98431.2</v>
      </c>
      <c r="H60" s="13" t="n">
        <v>53184.1</v>
      </c>
      <c r="I60" s="19" t="n">
        <f aca="false">MATCH(B60,Assumptions!$H$4:$H$6,0)</f>
        <v>3</v>
      </c>
      <c r="J60" s="19" t="n">
        <f aca="false">INDEX(Assumptions!$I$4:$I$6,I60)</f>
        <v>1.06</v>
      </c>
      <c r="K60" s="19" t="n">
        <f aca="false">VLOOKUP(B60,Assumptions!$H$4:$J$6,3,FALSE())</f>
        <v>1.18</v>
      </c>
      <c r="L60" s="19" t="n">
        <f aca="false">ABS(F60-G60)</f>
        <v>57808.8</v>
      </c>
    </row>
    <row r="61" customFormat="false" ht="15" hidden="false" customHeight="false" outlineLevel="0" collapsed="false">
      <c r="A61" s="2" t="s">
        <v>161</v>
      </c>
      <c r="B61" s="2" t="s">
        <v>61</v>
      </c>
      <c r="C61" s="2" t="s">
        <v>426</v>
      </c>
      <c r="D61" s="2" t="s">
        <v>87</v>
      </c>
      <c r="E61" s="13" t="n">
        <v>71000</v>
      </c>
      <c r="F61" s="13" t="n">
        <v>41180</v>
      </c>
      <c r="G61" s="13" t="n">
        <v>23060.8</v>
      </c>
      <c r="H61" s="13" t="n">
        <v>16850.86</v>
      </c>
      <c r="I61" s="19" t="n">
        <f aca="false">MATCH(B61,Assumptions!$H$4:$H$6,0)</f>
        <v>1</v>
      </c>
      <c r="J61" s="19" t="n">
        <f aca="false">INDEX(Assumptions!$I$4:$I$6,I61)</f>
        <v>1.02</v>
      </c>
      <c r="K61" s="19" t="n">
        <f aca="false">VLOOKUP(B61,Assumptions!$H$4:$J$6,3,FALSE())</f>
        <v>1.12</v>
      </c>
      <c r="L61" s="19" t="n">
        <f aca="false">ABS(F61-G61)</f>
        <v>18119.2</v>
      </c>
    </row>
    <row r="62" customFormat="false" ht="15" hidden="false" customHeight="false" outlineLevel="0" collapsed="false">
      <c r="A62" s="2" t="s">
        <v>162</v>
      </c>
      <c r="B62" s="2" t="s">
        <v>65</v>
      </c>
      <c r="C62" s="2" t="s">
        <v>427</v>
      </c>
      <c r="D62" s="2" t="s">
        <v>87</v>
      </c>
      <c r="E62" s="13" t="n">
        <v>167000</v>
      </c>
      <c r="F62" s="13" t="n">
        <v>110220</v>
      </c>
      <c r="G62" s="13" t="n">
        <v>71643</v>
      </c>
      <c r="H62" s="13" t="n">
        <v>38191.23</v>
      </c>
      <c r="I62" s="19" t="n">
        <f aca="false">MATCH(B62,Assumptions!$H$4:$H$6,0)</f>
        <v>2</v>
      </c>
      <c r="J62" s="19" t="n">
        <f aca="false">INDEX(Assumptions!$I$4:$I$6,I62)</f>
        <v>1.04</v>
      </c>
      <c r="K62" s="19" t="n">
        <f aca="false">VLOOKUP(B62,Assumptions!$H$4:$J$6,3,FALSE())</f>
        <v>1.15</v>
      </c>
      <c r="L62" s="19" t="n">
        <f aca="false">ABS(F62-G62)</f>
        <v>38577</v>
      </c>
    </row>
    <row r="63" customFormat="false" ht="15" hidden="false" customHeight="false" outlineLevel="0" collapsed="false">
      <c r="A63" s="2" t="s">
        <v>163</v>
      </c>
      <c r="B63" s="2" t="s">
        <v>69</v>
      </c>
      <c r="C63" s="2" t="s">
        <v>428</v>
      </c>
      <c r="D63" s="2" t="s">
        <v>87</v>
      </c>
      <c r="E63" s="13" t="n">
        <v>84000</v>
      </c>
      <c r="F63" s="13" t="n">
        <v>60480</v>
      </c>
      <c r="G63" s="13" t="n">
        <v>41126.4</v>
      </c>
      <c r="H63" s="13" t="n">
        <v>18192.38</v>
      </c>
      <c r="I63" s="19" t="n">
        <f aca="false">MATCH(B63,Assumptions!$H$4:$H$6,0)</f>
        <v>3</v>
      </c>
      <c r="J63" s="19" t="n">
        <f aca="false">INDEX(Assumptions!$I$4:$I$6,I63)</f>
        <v>1.06</v>
      </c>
      <c r="K63" s="19" t="n">
        <f aca="false">VLOOKUP(B63,Assumptions!$H$4:$J$6,3,FALSE())</f>
        <v>1.18</v>
      </c>
      <c r="L63" s="19" t="n">
        <f aca="false">ABS(F63-G63)</f>
        <v>19353.6</v>
      </c>
    </row>
    <row r="64" customFormat="false" ht="15" hidden="false" customHeight="false" outlineLevel="0" collapsed="false">
      <c r="A64" s="2" t="s">
        <v>164</v>
      </c>
      <c r="B64" s="2" t="s">
        <v>61</v>
      </c>
      <c r="C64" s="2" t="s">
        <v>426</v>
      </c>
      <c r="D64" s="2" t="s">
        <v>87</v>
      </c>
      <c r="E64" s="13" t="n">
        <v>159000</v>
      </c>
      <c r="F64" s="13" t="n">
        <v>92220</v>
      </c>
      <c r="G64" s="13" t="n">
        <v>73776</v>
      </c>
      <c r="H64" s="13" t="n">
        <v>17521.8</v>
      </c>
      <c r="I64" s="19" t="n">
        <f aca="false">MATCH(B64,Assumptions!$H$4:$H$6,0)</f>
        <v>1</v>
      </c>
      <c r="J64" s="19" t="n">
        <f aca="false">INDEX(Assumptions!$I$4:$I$6,I64)</f>
        <v>1.02</v>
      </c>
      <c r="K64" s="19" t="n">
        <f aca="false">VLOOKUP(B64,Assumptions!$H$4:$J$6,3,FALSE())</f>
        <v>1.12</v>
      </c>
      <c r="L64" s="19" t="n">
        <f aca="false">ABS(F64-G64)</f>
        <v>18444</v>
      </c>
    </row>
    <row r="65" customFormat="false" ht="15" hidden="false" customHeight="false" outlineLevel="0" collapsed="false">
      <c r="A65" s="2" t="s">
        <v>165</v>
      </c>
      <c r="B65" s="2" t="s">
        <v>65</v>
      </c>
      <c r="C65" s="2" t="s">
        <v>427</v>
      </c>
      <c r="D65" s="2" t="s">
        <v>87</v>
      </c>
      <c r="E65" s="13" t="n">
        <v>220000</v>
      </c>
      <c r="F65" s="13" t="n">
        <v>145200</v>
      </c>
      <c r="G65" s="13" t="n">
        <v>87120</v>
      </c>
      <c r="H65" s="13" t="n">
        <v>54595.2</v>
      </c>
      <c r="I65" s="19" t="n">
        <f aca="false">MATCH(B65,Assumptions!$H$4:$H$6,0)</f>
        <v>2</v>
      </c>
      <c r="J65" s="19" t="n">
        <f aca="false">INDEX(Assumptions!$I$4:$I$6,I65)</f>
        <v>1.04</v>
      </c>
      <c r="K65" s="19" t="n">
        <f aca="false">VLOOKUP(B65,Assumptions!$H$4:$J$6,3,FALSE())</f>
        <v>1.15</v>
      </c>
      <c r="L65" s="19" t="n">
        <f aca="false">ABS(F65-G65)</f>
        <v>58080</v>
      </c>
    </row>
    <row r="66" customFormat="false" ht="15" hidden="false" customHeight="false" outlineLevel="0" collapsed="false">
      <c r="A66" s="2" t="s">
        <v>166</v>
      </c>
      <c r="B66" s="2" t="s">
        <v>69</v>
      </c>
      <c r="C66" s="2" t="s">
        <v>428</v>
      </c>
      <c r="D66" s="2" t="s">
        <v>87</v>
      </c>
      <c r="E66" s="13" t="n">
        <v>197000</v>
      </c>
      <c r="F66" s="13" t="n">
        <v>141840</v>
      </c>
      <c r="G66" s="13" t="n">
        <v>83685.6</v>
      </c>
      <c r="H66" s="13" t="n">
        <v>55246.68</v>
      </c>
      <c r="I66" s="19" t="n">
        <f aca="false">MATCH(B66,Assumptions!$H$4:$H$6,0)</f>
        <v>3</v>
      </c>
      <c r="J66" s="19" t="n">
        <f aca="false">INDEX(Assumptions!$I$4:$I$6,I66)</f>
        <v>1.06</v>
      </c>
      <c r="K66" s="19" t="n">
        <f aca="false">VLOOKUP(B66,Assumptions!$H$4:$J$6,3,FALSE())</f>
        <v>1.18</v>
      </c>
      <c r="L66" s="19" t="n">
        <f aca="false">ABS(F66-G66)</f>
        <v>58154.4</v>
      </c>
    </row>
    <row r="67" customFormat="false" ht="15" hidden="false" customHeight="false" outlineLevel="0" collapsed="false">
      <c r="A67" s="2" t="s">
        <v>167</v>
      </c>
      <c r="B67" s="2" t="s">
        <v>61</v>
      </c>
      <c r="C67" s="2" t="s">
        <v>426</v>
      </c>
      <c r="D67" s="2" t="s">
        <v>87</v>
      </c>
      <c r="E67" s="13" t="n">
        <v>96000</v>
      </c>
      <c r="F67" s="13" t="n">
        <v>55680</v>
      </c>
      <c r="G67" s="13" t="n">
        <v>40646.4</v>
      </c>
      <c r="H67" s="13" t="n">
        <v>14582.59</v>
      </c>
      <c r="I67" s="19" t="n">
        <f aca="false">MATCH(B67,Assumptions!$H$4:$H$6,0)</f>
        <v>1</v>
      </c>
      <c r="J67" s="19" t="n">
        <f aca="false">INDEX(Assumptions!$I$4:$I$6,I67)</f>
        <v>1.02</v>
      </c>
      <c r="K67" s="19" t="n">
        <f aca="false">VLOOKUP(B67,Assumptions!$H$4:$J$6,3,FALSE())</f>
        <v>1.12</v>
      </c>
      <c r="L67" s="19" t="n">
        <f aca="false">ABS(F67-G67)</f>
        <v>15033.6</v>
      </c>
    </row>
    <row r="68" customFormat="false" ht="15" hidden="false" customHeight="false" outlineLevel="0" collapsed="false">
      <c r="A68" s="2" t="s">
        <v>168</v>
      </c>
      <c r="B68" s="2" t="s">
        <v>65</v>
      </c>
      <c r="C68" s="2" t="s">
        <v>427</v>
      </c>
      <c r="D68" s="2" t="s">
        <v>87</v>
      </c>
      <c r="E68" s="13" t="n">
        <v>208000</v>
      </c>
      <c r="F68" s="13" t="n">
        <v>137280</v>
      </c>
      <c r="G68" s="13" t="n">
        <v>76876.8</v>
      </c>
      <c r="H68" s="13" t="n">
        <v>57383.04</v>
      </c>
      <c r="I68" s="19" t="n">
        <f aca="false">MATCH(B68,Assumptions!$H$4:$H$6,0)</f>
        <v>2</v>
      </c>
      <c r="J68" s="19" t="n">
        <f aca="false">INDEX(Assumptions!$I$4:$I$6,I68)</f>
        <v>1.04</v>
      </c>
      <c r="K68" s="19" t="n">
        <f aca="false">VLOOKUP(B68,Assumptions!$H$4:$J$6,3,FALSE())</f>
        <v>1.15</v>
      </c>
      <c r="L68" s="19" t="n">
        <f aca="false">ABS(F68-G68)</f>
        <v>60403.2</v>
      </c>
    </row>
    <row r="69" customFormat="false" ht="15" hidden="false" customHeight="false" outlineLevel="0" collapsed="false">
      <c r="A69" s="2" t="s">
        <v>169</v>
      </c>
      <c r="B69" s="2" t="s">
        <v>69</v>
      </c>
      <c r="C69" s="2" t="s">
        <v>428</v>
      </c>
      <c r="D69" s="2" t="s">
        <v>87</v>
      </c>
      <c r="E69" s="13" t="n">
        <v>159000</v>
      </c>
      <c r="F69" s="13" t="n">
        <v>114480</v>
      </c>
      <c r="G69" s="13" t="n">
        <v>65253.6</v>
      </c>
      <c r="H69" s="13" t="n">
        <v>44796.02</v>
      </c>
      <c r="I69" s="19" t="n">
        <f aca="false">MATCH(B69,Assumptions!$H$4:$H$6,0)</f>
        <v>3</v>
      </c>
      <c r="J69" s="19" t="n">
        <f aca="false">INDEX(Assumptions!$I$4:$I$6,I69)</f>
        <v>1.06</v>
      </c>
      <c r="K69" s="19" t="n">
        <f aca="false">VLOOKUP(B69,Assumptions!$H$4:$J$6,3,FALSE())</f>
        <v>1.18</v>
      </c>
      <c r="L69" s="19" t="n">
        <f aca="false">ABS(F69-G69)</f>
        <v>49226.4</v>
      </c>
    </row>
    <row r="70" customFormat="false" ht="15" hidden="false" customHeight="false" outlineLevel="0" collapsed="false">
      <c r="A70" s="2" t="s">
        <v>170</v>
      </c>
      <c r="B70" s="2" t="s">
        <v>61</v>
      </c>
      <c r="C70" s="2" t="s">
        <v>426</v>
      </c>
      <c r="D70" s="2" t="s">
        <v>87</v>
      </c>
      <c r="E70" s="13" t="n">
        <v>87000</v>
      </c>
      <c r="F70" s="13" t="n">
        <v>50460</v>
      </c>
      <c r="G70" s="13" t="n">
        <v>38854.2</v>
      </c>
      <c r="H70" s="13" t="n">
        <v>11257.63</v>
      </c>
      <c r="I70" s="19" t="n">
        <f aca="false">MATCH(B70,Assumptions!$H$4:$H$6,0)</f>
        <v>1</v>
      </c>
      <c r="J70" s="19" t="n">
        <f aca="false">INDEX(Assumptions!$I$4:$I$6,I70)</f>
        <v>1.02</v>
      </c>
      <c r="K70" s="19" t="n">
        <f aca="false">VLOOKUP(B70,Assumptions!$H$4:$J$6,3,FALSE())</f>
        <v>1.12</v>
      </c>
      <c r="L70" s="19" t="n">
        <f aca="false">ABS(F70-G70)</f>
        <v>11605.8</v>
      </c>
    </row>
    <row r="71" customFormat="false" ht="15" hidden="false" customHeight="false" outlineLevel="0" collapsed="false">
      <c r="A71" s="2" t="s">
        <v>171</v>
      </c>
      <c r="B71" s="2" t="s">
        <v>65</v>
      </c>
      <c r="C71" s="2" t="s">
        <v>427</v>
      </c>
      <c r="D71" s="2" t="s">
        <v>87</v>
      </c>
      <c r="E71" s="13" t="n">
        <v>124000</v>
      </c>
      <c r="F71" s="13" t="n">
        <v>81840</v>
      </c>
      <c r="G71" s="13" t="n">
        <v>54014.4</v>
      </c>
      <c r="H71" s="13" t="n">
        <v>27269.09</v>
      </c>
      <c r="I71" s="19" t="n">
        <f aca="false">MATCH(B71,Assumptions!$H$4:$H$6,0)</f>
        <v>2</v>
      </c>
      <c r="J71" s="19" t="n">
        <f aca="false">INDEX(Assumptions!$I$4:$I$6,I71)</f>
        <v>1.04</v>
      </c>
      <c r="K71" s="19" t="n">
        <f aca="false">VLOOKUP(B71,Assumptions!$H$4:$J$6,3,FALSE())</f>
        <v>1.15</v>
      </c>
      <c r="L71" s="19" t="n">
        <f aca="false">ABS(F71-G71)</f>
        <v>27825.6</v>
      </c>
    </row>
    <row r="72" customFormat="false" ht="15" hidden="false" customHeight="false" outlineLevel="0" collapsed="false">
      <c r="A72" s="2" t="s">
        <v>172</v>
      </c>
      <c r="B72" s="2" t="s">
        <v>69</v>
      </c>
      <c r="C72" s="2" t="s">
        <v>428</v>
      </c>
      <c r="D72" s="2" t="s">
        <v>87</v>
      </c>
      <c r="E72" s="13" t="n">
        <v>177000</v>
      </c>
      <c r="F72" s="13" t="n">
        <v>127440</v>
      </c>
      <c r="G72" s="13" t="n">
        <v>66268.8</v>
      </c>
      <c r="H72" s="13" t="n">
        <v>56889.22</v>
      </c>
      <c r="I72" s="19" t="n">
        <f aca="false">MATCH(B72,Assumptions!$H$4:$H$6,0)</f>
        <v>3</v>
      </c>
      <c r="J72" s="19" t="n">
        <f aca="false">INDEX(Assumptions!$I$4:$I$6,I72)</f>
        <v>1.06</v>
      </c>
      <c r="K72" s="19" t="n">
        <f aca="false">VLOOKUP(B72,Assumptions!$H$4:$J$6,3,FALSE())</f>
        <v>1.18</v>
      </c>
      <c r="L72" s="19" t="n">
        <f aca="false">ABS(F72-G72)</f>
        <v>61171.2</v>
      </c>
    </row>
    <row r="73" customFormat="false" ht="15" hidden="false" customHeight="false" outlineLevel="0" collapsed="false">
      <c r="A73" s="2" t="s">
        <v>173</v>
      </c>
      <c r="B73" s="2" t="s">
        <v>61</v>
      </c>
      <c r="C73" s="2" t="s">
        <v>426</v>
      </c>
      <c r="D73" s="2" t="s">
        <v>87</v>
      </c>
      <c r="E73" s="13" t="n">
        <v>175000</v>
      </c>
      <c r="F73" s="13" t="n">
        <v>101500</v>
      </c>
      <c r="G73" s="13" t="n">
        <v>63945</v>
      </c>
      <c r="H73" s="13" t="n">
        <v>36052.8</v>
      </c>
      <c r="I73" s="19" t="n">
        <f aca="false">MATCH(B73,Assumptions!$H$4:$H$6,0)</f>
        <v>1</v>
      </c>
      <c r="J73" s="19" t="n">
        <f aca="false">INDEX(Assumptions!$I$4:$I$6,I73)</f>
        <v>1.02</v>
      </c>
      <c r="K73" s="19" t="n">
        <f aca="false">VLOOKUP(B73,Assumptions!$H$4:$J$6,3,FALSE())</f>
        <v>1.12</v>
      </c>
      <c r="L73" s="19" t="n">
        <f aca="false">ABS(F73-G73)</f>
        <v>37555</v>
      </c>
    </row>
    <row r="74" customFormat="false" ht="15" hidden="false" customHeight="false" outlineLevel="0" collapsed="false">
      <c r="A74" s="2" t="s">
        <v>174</v>
      </c>
      <c r="B74" s="2" t="s">
        <v>65</v>
      </c>
      <c r="C74" s="2" t="s">
        <v>427</v>
      </c>
      <c r="D74" s="2" t="s">
        <v>87</v>
      </c>
      <c r="E74" s="13" t="n">
        <v>235000</v>
      </c>
      <c r="F74" s="13" t="n">
        <v>155100</v>
      </c>
      <c r="G74" s="13" t="n">
        <v>99264</v>
      </c>
      <c r="H74" s="13" t="n">
        <v>54160.92</v>
      </c>
      <c r="I74" s="19" t="n">
        <f aca="false">MATCH(B74,Assumptions!$H$4:$H$6,0)</f>
        <v>2</v>
      </c>
      <c r="J74" s="19" t="n">
        <f aca="false">INDEX(Assumptions!$I$4:$I$6,I74)</f>
        <v>1.04</v>
      </c>
      <c r="K74" s="19" t="n">
        <f aca="false">VLOOKUP(B74,Assumptions!$H$4:$J$6,3,FALSE())</f>
        <v>1.15</v>
      </c>
      <c r="L74" s="19" t="n">
        <f aca="false">ABS(F74-G74)</f>
        <v>55836</v>
      </c>
    </row>
    <row r="75" customFormat="false" ht="15" hidden="false" customHeight="false" outlineLevel="0" collapsed="false">
      <c r="A75" s="2" t="s">
        <v>175</v>
      </c>
      <c r="B75" s="2" t="s">
        <v>69</v>
      </c>
      <c r="C75" s="2" t="s">
        <v>428</v>
      </c>
      <c r="D75" s="2" t="s">
        <v>87</v>
      </c>
      <c r="E75" s="13" t="n">
        <v>70000</v>
      </c>
      <c r="F75" s="13" t="n">
        <v>50400</v>
      </c>
      <c r="G75" s="13" t="n">
        <v>26208</v>
      </c>
      <c r="H75" s="13" t="n">
        <v>23950.08</v>
      </c>
      <c r="I75" s="19" t="n">
        <f aca="false">MATCH(B75,Assumptions!$H$4:$H$6,0)</f>
        <v>3</v>
      </c>
      <c r="J75" s="19" t="n">
        <f aca="false">INDEX(Assumptions!$I$4:$I$6,I75)</f>
        <v>1.06</v>
      </c>
      <c r="K75" s="19" t="n">
        <f aca="false">VLOOKUP(B75,Assumptions!$H$4:$J$6,3,FALSE())</f>
        <v>1.18</v>
      </c>
      <c r="L75" s="19" t="n">
        <f aca="false">ABS(F75-G75)</f>
        <v>24192</v>
      </c>
    </row>
    <row r="76" customFormat="false" ht="15" hidden="false" customHeight="false" outlineLevel="0" collapsed="false">
      <c r="A76" s="2" t="s">
        <v>176</v>
      </c>
      <c r="B76" s="2" t="s">
        <v>61</v>
      </c>
      <c r="C76" s="2" t="s">
        <v>426</v>
      </c>
      <c r="D76" s="2" t="s">
        <v>87</v>
      </c>
      <c r="E76" s="13" t="n">
        <v>230000</v>
      </c>
      <c r="F76" s="13" t="n">
        <v>133400</v>
      </c>
      <c r="G76" s="13" t="n">
        <v>93380</v>
      </c>
      <c r="H76" s="13" t="n">
        <v>37618.8</v>
      </c>
      <c r="I76" s="19" t="n">
        <f aca="false">MATCH(B76,Assumptions!$H$4:$H$6,0)</f>
        <v>1</v>
      </c>
      <c r="J76" s="19" t="n">
        <f aca="false">INDEX(Assumptions!$I$4:$I$6,I76)</f>
        <v>1.02</v>
      </c>
      <c r="K76" s="19" t="n">
        <f aca="false">VLOOKUP(B76,Assumptions!$H$4:$J$6,3,FALSE())</f>
        <v>1.12</v>
      </c>
      <c r="L76" s="19" t="n">
        <f aca="false">ABS(F76-G76)</f>
        <v>40020</v>
      </c>
    </row>
    <row r="77" customFormat="false" ht="15" hidden="false" customHeight="false" outlineLevel="0" collapsed="false">
      <c r="A77" s="2" t="s">
        <v>177</v>
      </c>
      <c r="B77" s="2" t="s">
        <v>65</v>
      </c>
      <c r="C77" s="2" t="s">
        <v>427</v>
      </c>
      <c r="D77" s="2" t="s">
        <v>87</v>
      </c>
      <c r="E77" s="13" t="n">
        <v>245000</v>
      </c>
      <c r="F77" s="13" t="n">
        <v>161700</v>
      </c>
      <c r="G77" s="13" t="n">
        <v>127743</v>
      </c>
      <c r="H77" s="13" t="n">
        <v>33277.86</v>
      </c>
      <c r="I77" s="19" t="n">
        <f aca="false">MATCH(B77,Assumptions!$H$4:$H$6,0)</f>
        <v>2</v>
      </c>
      <c r="J77" s="19" t="n">
        <f aca="false">INDEX(Assumptions!$I$4:$I$6,I77)</f>
        <v>1.04</v>
      </c>
      <c r="K77" s="19" t="n">
        <f aca="false">VLOOKUP(B77,Assumptions!$H$4:$J$6,3,FALSE())</f>
        <v>1.15</v>
      </c>
      <c r="L77" s="19" t="n">
        <f aca="false">ABS(F77-G77)</f>
        <v>33957</v>
      </c>
    </row>
    <row r="78" customFormat="false" ht="15" hidden="false" customHeight="false" outlineLevel="0" collapsed="false">
      <c r="A78" s="2" t="s">
        <v>178</v>
      </c>
      <c r="B78" s="2" t="s">
        <v>69</v>
      </c>
      <c r="C78" s="2" t="s">
        <v>428</v>
      </c>
      <c r="D78" s="2" t="s">
        <v>87</v>
      </c>
      <c r="E78" s="13" t="n">
        <v>214000</v>
      </c>
      <c r="F78" s="13" t="n">
        <v>154080</v>
      </c>
      <c r="G78" s="13" t="n">
        <v>83203.2</v>
      </c>
      <c r="H78" s="13" t="n">
        <v>68750.5</v>
      </c>
      <c r="I78" s="19" t="n">
        <f aca="false">MATCH(B78,Assumptions!$H$4:$H$6,0)</f>
        <v>3</v>
      </c>
      <c r="J78" s="19" t="n">
        <f aca="false">INDEX(Assumptions!$I$4:$I$6,I78)</f>
        <v>1.06</v>
      </c>
      <c r="K78" s="19" t="n">
        <f aca="false">VLOOKUP(B78,Assumptions!$H$4:$J$6,3,FALSE())</f>
        <v>1.18</v>
      </c>
      <c r="L78" s="19" t="n">
        <f aca="false">ABS(F78-G78)</f>
        <v>70876.8</v>
      </c>
    </row>
    <row r="79" customFormat="false" ht="15" hidden="false" customHeight="false" outlineLevel="0" collapsed="false">
      <c r="A79" s="2" t="s">
        <v>179</v>
      </c>
      <c r="B79" s="2" t="s">
        <v>61</v>
      </c>
      <c r="C79" s="2" t="s">
        <v>426</v>
      </c>
      <c r="D79" s="2" t="s">
        <v>429</v>
      </c>
      <c r="E79" s="13" t="n">
        <v>150000</v>
      </c>
      <c r="F79" s="13" t="n">
        <v>87000</v>
      </c>
      <c r="G79" s="13" t="n">
        <v>46980</v>
      </c>
      <c r="H79" s="13" t="n">
        <v>37618.8</v>
      </c>
      <c r="I79" s="19" t="n">
        <f aca="false">MATCH(B79,Assumptions!$H$4:$H$6,0)</f>
        <v>1</v>
      </c>
      <c r="J79" s="19" t="n">
        <f aca="false">INDEX(Assumptions!$I$4:$I$6,I79)</f>
        <v>1.02</v>
      </c>
      <c r="K79" s="19" t="n">
        <f aca="false">VLOOKUP(B79,Assumptions!$H$4:$J$6,3,FALSE())</f>
        <v>1.12</v>
      </c>
      <c r="L79" s="19" t="n">
        <f aca="false">ABS(F79-G79)</f>
        <v>40020</v>
      </c>
    </row>
    <row r="80" customFormat="false" ht="15" hidden="false" customHeight="false" outlineLevel="0" collapsed="false">
      <c r="A80" s="2" t="s">
        <v>180</v>
      </c>
      <c r="B80" s="2" t="s">
        <v>65</v>
      </c>
      <c r="C80" s="2" t="s">
        <v>427</v>
      </c>
      <c r="D80" s="2" t="s">
        <v>87</v>
      </c>
      <c r="E80" s="13" t="n">
        <v>103000</v>
      </c>
      <c r="F80" s="13" t="n">
        <v>67980</v>
      </c>
      <c r="G80" s="13" t="n">
        <v>48945.6</v>
      </c>
      <c r="H80" s="13" t="n">
        <v>18082.68</v>
      </c>
      <c r="I80" s="19" t="n">
        <f aca="false">MATCH(B80,Assumptions!$H$4:$H$6,0)</f>
        <v>2</v>
      </c>
      <c r="J80" s="19" t="n">
        <f aca="false">INDEX(Assumptions!$I$4:$I$6,I80)</f>
        <v>1.04</v>
      </c>
      <c r="K80" s="19" t="n">
        <f aca="false">VLOOKUP(B80,Assumptions!$H$4:$J$6,3,FALSE())</f>
        <v>1.15</v>
      </c>
      <c r="L80" s="19" t="n">
        <f aca="false">ABS(F80-G80)</f>
        <v>19034.4</v>
      </c>
    </row>
    <row r="81" customFormat="false" ht="15" hidden="false" customHeight="false" outlineLevel="0" collapsed="false">
      <c r="A81" s="2" t="s">
        <v>181</v>
      </c>
      <c r="B81" s="2" t="s">
        <v>69</v>
      </c>
      <c r="C81" s="2" t="s">
        <v>428</v>
      </c>
      <c r="D81" s="2" t="s">
        <v>87</v>
      </c>
      <c r="E81" s="13" t="n">
        <v>176000</v>
      </c>
      <c r="F81" s="13" t="n">
        <v>126720</v>
      </c>
      <c r="G81" s="13" t="n">
        <v>89971.2</v>
      </c>
      <c r="H81" s="13" t="n">
        <v>33073.92</v>
      </c>
      <c r="I81" s="19" t="n">
        <f aca="false">MATCH(B81,Assumptions!$H$4:$H$6,0)</f>
        <v>3</v>
      </c>
      <c r="J81" s="19" t="n">
        <f aca="false">INDEX(Assumptions!$I$4:$I$6,I81)</f>
        <v>1.06</v>
      </c>
      <c r="K81" s="19" t="n">
        <f aca="false">VLOOKUP(B81,Assumptions!$H$4:$J$6,3,FALSE())</f>
        <v>1.18</v>
      </c>
      <c r="L81" s="19" t="n">
        <f aca="false">ABS(F81-G81)</f>
        <v>36748.8</v>
      </c>
    </row>
    <row r="82" customFormat="false" ht="15" hidden="false" customHeight="false" outlineLevel="0" collapsed="false">
      <c r="A82" s="2" t="s">
        <v>182</v>
      </c>
      <c r="B82" s="2" t="s">
        <v>61</v>
      </c>
      <c r="C82" s="2" t="s">
        <v>426</v>
      </c>
      <c r="D82" s="2" t="s">
        <v>87</v>
      </c>
      <c r="E82" s="13" t="n">
        <v>227000</v>
      </c>
      <c r="F82" s="13" t="n">
        <v>131660</v>
      </c>
      <c r="G82" s="13" t="n">
        <v>97428.4</v>
      </c>
      <c r="H82" s="13" t="n">
        <v>33889.28</v>
      </c>
      <c r="I82" s="19" t="n">
        <f aca="false">MATCH(B82,Assumptions!$H$4:$H$6,0)</f>
        <v>1</v>
      </c>
      <c r="J82" s="19" t="n">
        <f aca="false">INDEX(Assumptions!$I$4:$I$6,I82)</f>
        <v>1.02</v>
      </c>
      <c r="K82" s="19" t="n">
        <f aca="false">VLOOKUP(B82,Assumptions!$H$4:$J$6,3,FALSE())</f>
        <v>1.12</v>
      </c>
      <c r="L82" s="19" t="n">
        <f aca="false">ABS(F82-G82)</f>
        <v>34231.6</v>
      </c>
    </row>
    <row r="83" customFormat="false" ht="15" hidden="false" customHeight="false" outlineLevel="0" collapsed="false">
      <c r="A83" s="2" t="s">
        <v>183</v>
      </c>
      <c r="B83" s="2" t="s">
        <v>65</v>
      </c>
      <c r="C83" s="2" t="s">
        <v>427</v>
      </c>
      <c r="D83" s="2" t="s">
        <v>87</v>
      </c>
      <c r="E83" s="13" t="n">
        <v>113000</v>
      </c>
      <c r="F83" s="13" t="n">
        <v>74580</v>
      </c>
      <c r="G83" s="13" t="n">
        <v>56680.8</v>
      </c>
      <c r="H83" s="13" t="n">
        <v>17720.21</v>
      </c>
      <c r="I83" s="19" t="n">
        <f aca="false">MATCH(B83,Assumptions!$H$4:$H$6,0)</f>
        <v>2</v>
      </c>
      <c r="J83" s="19" t="n">
        <f aca="false">INDEX(Assumptions!$I$4:$I$6,I83)</f>
        <v>1.04</v>
      </c>
      <c r="K83" s="19" t="n">
        <f aca="false">VLOOKUP(B83,Assumptions!$H$4:$J$6,3,FALSE())</f>
        <v>1.15</v>
      </c>
      <c r="L83" s="19" t="n">
        <f aca="false">ABS(F83-G83)</f>
        <v>17899.2</v>
      </c>
    </row>
    <row r="84" customFormat="false" ht="15" hidden="false" customHeight="false" outlineLevel="0" collapsed="false">
      <c r="A84" s="2" t="s">
        <v>184</v>
      </c>
      <c r="B84" s="2" t="s">
        <v>69</v>
      </c>
      <c r="C84" s="2" t="s">
        <v>428</v>
      </c>
      <c r="D84" s="2" t="s">
        <v>87</v>
      </c>
      <c r="E84" s="13" t="n">
        <v>180000</v>
      </c>
      <c r="F84" s="13" t="n">
        <v>129600</v>
      </c>
      <c r="G84" s="13" t="n">
        <v>81648</v>
      </c>
      <c r="H84" s="13" t="n">
        <v>43636.32</v>
      </c>
      <c r="I84" s="19" t="n">
        <f aca="false">MATCH(B84,Assumptions!$H$4:$H$6,0)</f>
        <v>3</v>
      </c>
      <c r="J84" s="19" t="n">
        <f aca="false">INDEX(Assumptions!$I$4:$I$6,I84)</f>
        <v>1.06</v>
      </c>
      <c r="K84" s="19" t="n">
        <f aca="false">VLOOKUP(B84,Assumptions!$H$4:$J$6,3,FALSE())</f>
        <v>1.18</v>
      </c>
      <c r="L84" s="19" t="n">
        <f aca="false">ABS(F84-G84)</f>
        <v>47952</v>
      </c>
    </row>
    <row r="85" customFormat="false" ht="15" hidden="false" customHeight="false" outlineLevel="0" collapsed="false">
      <c r="A85" s="2" t="s">
        <v>185</v>
      </c>
      <c r="B85" s="2" t="s">
        <v>61</v>
      </c>
      <c r="C85" s="2" t="s">
        <v>426</v>
      </c>
      <c r="D85" s="2" t="s">
        <v>87</v>
      </c>
      <c r="E85" s="13" t="n">
        <v>236000</v>
      </c>
      <c r="F85" s="13" t="n">
        <v>136880</v>
      </c>
      <c r="G85" s="13" t="n">
        <v>102660</v>
      </c>
      <c r="H85" s="13" t="n">
        <v>33877.8</v>
      </c>
      <c r="I85" s="19" t="n">
        <f aca="false">MATCH(B85,Assumptions!$H$4:$H$6,0)</f>
        <v>1</v>
      </c>
      <c r="J85" s="19" t="n">
        <f aca="false">INDEX(Assumptions!$I$4:$I$6,I85)</f>
        <v>1.02</v>
      </c>
      <c r="K85" s="19" t="n">
        <f aca="false">VLOOKUP(B85,Assumptions!$H$4:$J$6,3,FALSE())</f>
        <v>1.12</v>
      </c>
      <c r="L85" s="19" t="n">
        <f aca="false">ABS(F85-G85)</f>
        <v>34220</v>
      </c>
    </row>
    <row r="86" customFormat="false" ht="15" hidden="false" customHeight="false" outlineLevel="0" collapsed="false">
      <c r="A86" s="2" t="s">
        <v>186</v>
      </c>
      <c r="B86" s="2" t="s">
        <v>65</v>
      </c>
      <c r="C86" s="2" t="s">
        <v>427</v>
      </c>
      <c r="D86" s="2" t="s">
        <v>87</v>
      </c>
      <c r="E86" s="13" t="n">
        <v>64000</v>
      </c>
      <c r="F86" s="13" t="n">
        <v>42240</v>
      </c>
      <c r="G86" s="13" t="n">
        <v>27456</v>
      </c>
      <c r="H86" s="13" t="n">
        <v>14784</v>
      </c>
      <c r="I86" s="19" t="n">
        <f aca="false">MATCH(B86,Assumptions!$H$4:$H$6,0)</f>
        <v>2</v>
      </c>
      <c r="J86" s="19" t="n">
        <f aca="false">INDEX(Assumptions!$I$4:$I$6,I86)</f>
        <v>1.04</v>
      </c>
      <c r="K86" s="19" t="n">
        <f aca="false">VLOOKUP(B86,Assumptions!$H$4:$J$6,3,FALSE())</f>
        <v>1.15</v>
      </c>
      <c r="L86" s="19" t="n">
        <f aca="false">ABS(F86-G86)</f>
        <v>14784</v>
      </c>
    </row>
    <row r="87" customFormat="false" ht="15" hidden="false" customHeight="false" outlineLevel="0" collapsed="false">
      <c r="A87" s="2" t="s">
        <v>187</v>
      </c>
      <c r="B87" s="2" t="s">
        <v>69</v>
      </c>
      <c r="C87" s="2" t="s">
        <v>428</v>
      </c>
      <c r="D87" s="2" t="s">
        <v>87</v>
      </c>
      <c r="E87" s="13" t="n">
        <v>67000</v>
      </c>
      <c r="F87" s="13" t="n">
        <v>48240</v>
      </c>
      <c r="G87" s="13" t="n">
        <v>27979.2</v>
      </c>
      <c r="H87" s="13" t="n">
        <v>20260.8</v>
      </c>
      <c r="I87" s="19" t="n">
        <f aca="false">MATCH(B87,Assumptions!$H$4:$H$6,0)</f>
        <v>3</v>
      </c>
      <c r="J87" s="19" t="n">
        <f aca="false">INDEX(Assumptions!$I$4:$I$6,I87)</f>
        <v>1.06</v>
      </c>
      <c r="K87" s="19" t="n">
        <f aca="false">VLOOKUP(B87,Assumptions!$H$4:$J$6,3,FALSE())</f>
        <v>1.18</v>
      </c>
      <c r="L87" s="19" t="n">
        <f aca="false">ABS(F87-G87)</f>
        <v>20260.8</v>
      </c>
    </row>
    <row r="88" customFormat="false" ht="15" hidden="false" customHeight="false" outlineLevel="0" collapsed="false">
      <c r="A88" s="2" t="s">
        <v>188</v>
      </c>
      <c r="B88" s="2" t="s">
        <v>61</v>
      </c>
      <c r="C88" s="2" t="s">
        <v>426</v>
      </c>
      <c r="D88" s="2" t="s">
        <v>87</v>
      </c>
      <c r="E88" s="13" t="n">
        <v>133000</v>
      </c>
      <c r="F88" s="13" t="n">
        <v>77140</v>
      </c>
      <c r="G88" s="13" t="n">
        <v>48598.2</v>
      </c>
      <c r="H88" s="13" t="n">
        <v>27114.71</v>
      </c>
      <c r="I88" s="19" t="n">
        <f aca="false">MATCH(B88,Assumptions!$H$4:$H$6,0)</f>
        <v>1</v>
      </c>
      <c r="J88" s="19" t="n">
        <f aca="false">INDEX(Assumptions!$I$4:$I$6,I88)</f>
        <v>1.02</v>
      </c>
      <c r="K88" s="19" t="n">
        <f aca="false">VLOOKUP(B88,Assumptions!$H$4:$J$6,3,FALSE())</f>
        <v>1.12</v>
      </c>
      <c r="L88" s="19" t="n">
        <f aca="false">ABS(F88-G88)</f>
        <v>28541.8</v>
      </c>
    </row>
    <row r="89" customFormat="false" ht="15" hidden="false" customHeight="false" outlineLevel="0" collapsed="false">
      <c r="A89" s="2" t="s">
        <v>189</v>
      </c>
      <c r="B89" s="2" t="s">
        <v>65</v>
      </c>
      <c r="C89" s="2" t="s">
        <v>427</v>
      </c>
      <c r="D89" s="2" t="s">
        <v>87</v>
      </c>
      <c r="E89" s="13" t="n">
        <v>96000</v>
      </c>
      <c r="F89" s="13" t="n">
        <v>63360</v>
      </c>
      <c r="G89" s="13" t="n">
        <v>50688</v>
      </c>
      <c r="H89" s="13" t="n">
        <v>11404.8</v>
      </c>
      <c r="I89" s="19" t="n">
        <f aca="false">MATCH(B89,Assumptions!$H$4:$H$6,0)</f>
        <v>2</v>
      </c>
      <c r="J89" s="19" t="n">
        <f aca="false">INDEX(Assumptions!$I$4:$I$6,I89)</f>
        <v>1.04</v>
      </c>
      <c r="K89" s="19" t="n">
        <f aca="false">VLOOKUP(B89,Assumptions!$H$4:$J$6,3,FALSE())</f>
        <v>1.15</v>
      </c>
      <c r="L89" s="19" t="n">
        <f aca="false">ABS(F89-G89)</f>
        <v>12672</v>
      </c>
    </row>
    <row r="90" customFormat="false" ht="15" hidden="false" customHeight="false" outlineLevel="0" collapsed="false">
      <c r="A90" s="2" t="s">
        <v>190</v>
      </c>
      <c r="B90" s="2" t="s">
        <v>69</v>
      </c>
      <c r="C90" s="2" t="s">
        <v>428</v>
      </c>
      <c r="D90" s="2" t="s">
        <v>87</v>
      </c>
      <c r="E90" s="13" t="n">
        <v>121000</v>
      </c>
      <c r="F90" s="13" t="n">
        <v>87120</v>
      </c>
      <c r="G90" s="13" t="n">
        <v>59241.6</v>
      </c>
      <c r="H90" s="13" t="n">
        <v>27878.4</v>
      </c>
      <c r="I90" s="19" t="n">
        <f aca="false">MATCH(B90,Assumptions!$H$4:$H$6,0)</f>
        <v>3</v>
      </c>
      <c r="J90" s="19" t="n">
        <f aca="false">INDEX(Assumptions!$I$4:$I$6,I90)</f>
        <v>1.06</v>
      </c>
      <c r="K90" s="19" t="n">
        <f aca="false">VLOOKUP(B90,Assumptions!$H$4:$J$6,3,FALSE())</f>
        <v>1.18</v>
      </c>
      <c r="L90" s="19" t="n">
        <f aca="false">ABS(F90-G90)</f>
        <v>27878.4</v>
      </c>
    </row>
    <row r="91" customFormat="false" ht="15" hidden="false" customHeight="false" outlineLevel="0" collapsed="false">
      <c r="A91" s="2" t="s">
        <v>191</v>
      </c>
      <c r="B91" s="2" t="s">
        <v>61</v>
      </c>
      <c r="C91" s="2" t="s">
        <v>426</v>
      </c>
      <c r="D91" s="2" t="s">
        <v>87</v>
      </c>
      <c r="E91" s="13" t="n">
        <v>191000</v>
      </c>
      <c r="F91" s="13" t="n">
        <v>110780</v>
      </c>
      <c r="G91" s="13" t="n">
        <v>83085</v>
      </c>
      <c r="H91" s="13" t="n">
        <v>26864.15</v>
      </c>
      <c r="I91" s="19" t="n">
        <f aca="false">MATCH(B91,Assumptions!$H$4:$H$6,0)</f>
        <v>1</v>
      </c>
      <c r="J91" s="19" t="n">
        <f aca="false">INDEX(Assumptions!$I$4:$I$6,I91)</f>
        <v>1.02</v>
      </c>
      <c r="K91" s="19" t="n">
        <f aca="false">VLOOKUP(B91,Assumptions!$H$4:$J$6,3,FALSE())</f>
        <v>1.12</v>
      </c>
      <c r="L91" s="19" t="n">
        <f aca="false">ABS(F91-G91)</f>
        <v>27695</v>
      </c>
    </row>
    <row r="92" customFormat="false" ht="15" hidden="false" customHeight="false" outlineLevel="0" collapsed="false">
      <c r="A92" s="2" t="s">
        <v>192</v>
      </c>
      <c r="B92" s="2" t="s">
        <v>65</v>
      </c>
      <c r="C92" s="2" t="s">
        <v>427</v>
      </c>
      <c r="D92" s="2" t="s">
        <v>87</v>
      </c>
      <c r="E92" s="13" t="n">
        <v>105000</v>
      </c>
      <c r="F92" s="13" t="n">
        <v>69300</v>
      </c>
      <c r="G92" s="13" t="n">
        <v>44352</v>
      </c>
      <c r="H92" s="13" t="n">
        <v>24199.56</v>
      </c>
      <c r="I92" s="19" t="n">
        <f aca="false">MATCH(B92,Assumptions!$H$4:$H$6,0)</f>
        <v>2</v>
      </c>
      <c r="J92" s="19" t="n">
        <f aca="false">INDEX(Assumptions!$I$4:$I$6,I92)</f>
        <v>1.04</v>
      </c>
      <c r="K92" s="19" t="n">
        <f aca="false">VLOOKUP(B92,Assumptions!$H$4:$J$6,3,FALSE())</f>
        <v>1.15</v>
      </c>
      <c r="L92" s="19" t="n">
        <f aca="false">ABS(F92-G92)</f>
        <v>24948</v>
      </c>
    </row>
    <row r="93" customFormat="false" ht="15" hidden="false" customHeight="false" outlineLevel="0" collapsed="false">
      <c r="A93" s="2" t="s">
        <v>193</v>
      </c>
      <c r="B93" s="2" t="s">
        <v>69</v>
      </c>
      <c r="C93" s="2" t="s">
        <v>428</v>
      </c>
      <c r="D93" s="2" t="s">
        <v>87</v>
      </c>
      <c r="E93" s="13" t="n">
        <v>110000</v>
      </c>
      <c r="F93" s="13" t="n">
        <v>79200</v>
      </c>
      <c r="G93" s="13" t="n">
        <v>59400</v>
      </c>
      <c r="H93" s="13" t="n">
        <v>18414</v>
      </c>
      <c r="I93" s="19" t="n">
        <f aca="false">MATCH(B93,Assumptions!$H$4:$H$6,0)</f>
        <v>3</v>
      </c>
      <c r="J93" s="19" t="n">
        <f aca="false">INDEX(Assumptions!$I$4:$I$6,I93)</f>
        <v>1.06</v>
      </c>
      <c r="K93" s="19" t="n">
        <f aca="false">VLOOKUP(B93,Assumptions!$H$4:$J$6,3,FALSE())</f>
        <v>1.18</v>
      </c>
      <c r="L93" s="19" t="n">
        <f aca="false">ABS(F93-G93)</f>
        <v>19800</v>
      </c>
    </row>
    <row r="94" customFormat="false" ht="15" hidden="false" customHeight="false" outlineLevel="0" collapsed="false">
      <c r="A94" s="2" t="s">
        <v>194</v>
      </c>
      <c r="B94" s="2" t="s">
        <v>61</v>
      </c>
      <c r="C94" s="2" t="s">
        <v>426</v>
      </c>
      <c r="D94" s="2" t="s">
        <v>87</v>
      </c>
      <c r="E94" s="13" t="n">
        <v>201000</v>
      </c>
      <c r="F94" s="13" t="n">
        <v>116580</v>
      </c>
      <c r="G94" s="13" t="n">
        <v>79274.4</v>
      </c>
      <c r="H94" s="13" t="n">
        <v>33948.1</v>
      </c>
      <c r="I94" s="19" t="n">
        <f aca="false">MATCH(B94,Assumptions!$H$4:$H$6,0)</f>
        <v>1</v>
      </c>
      <c r="J94" s="19" t="n">
        <f aca="false">INDEX(Assumptions!$I$4:$I$6,I94)</f>
        <v>1.02</v>
      </c>
      <c r="K94" s="19" t="n">
        <f aca="false">VLOOKUP(B94,Assumptions!$H$4:$J$6,3,FALSE())</f>
        <v>1.12</v>
      </c>
      <c r="L94" s="19" t="n">
        <f aca="false">ABS(F94-G94)</f>
        <v>37305.6</v>
      </c>
    </row>
    <row r="95" customFormat="false" ht="15" hidden="false" customHeight="false" outlineLevel="0" collapsed="false">
      <c r="A95" s="2" t="s">
        <v>195</v>
      </c>
      <c r="B95" s="2" t="s">
        <v>65</v>
      </c>
      <c r="C95" s="2" t="s">
        <v>427</v>
      </c>
      <c r="D95" s="2" t="s">
        <v>87</v>
      </c>
      <c r="E95" s="13" t="n">
        <v>84000</v>
      </c>
      <c r="F95" s="13" t="n">
        <v>55440</v>
      </c>
      <c r="G95" s="13" t="n">
        <v>28828.8</v>
      </c>
      <c r="H95" s="13" t="n">
        <v>24216.19</v>
      </c>
      <c r="I95" s="19" t="n">
        <f aca="false">MATCH(B95,Assumptions!$H$4:$H$6,0)</f>
        <v>2</v>
      </c>
      <c r="J95" s="19" t="n">
        <f aca="false">INDEX(Assumptions!$I$4:$I$6,I95)</f>
        <v>1.04</v>
      </c>
      <c r="K95" s="19" t="n">
        <f aca="false">VLOOKUP(B95,Assumptions!$H$4:$J$6,3,FALSE())</f>
        <v>1.15</v>
      </c>
      <c r="L95" s="19" t="n">
        <f aca="false">ABS(F95-G95)</f>
        <v>26611.2</v>
      </c>
    </row>
    <row r="96" customFormat="false" ht="15" hidden="false" customHeight="false" outlineLevel="0" collapsed="false">
      <c r="A96" s="2" t="s">
        <v>196</v>
      </c>
      <c r="B96" s="2" t="s">
        <v>69</v>
      </c>
      <c r="C96" s="2" t="s">
        <v>428</v>
      </c>
      <c r="D96" s="2" t="s">
        <v>87</v>
      </c>
      <c r="E96" s="13" t="n">
        <v>167000</v>
      </c>
      <c r="F96" s="13" t="n">
        <v>120240</v>
      </c>
      <c r="G96" s="13" t="n">
        <v>69739.2</v>
      </c>
      <c r="H96" s="13" t="n">
        <v>45450.72</v>
      </c>
      <c r="I96" s="19" t="n">
        <f aca="false">MATCH(B96,Assumptions!$H$4:$H$6,0)</f>
        <v>3</v>
      </c>
      <c r="J96" s="19" t="n">
        <f aca="false">INDEX(Assumptions!$I$4:$I$6,I96)</f>
        <v>1.06</v>
      </c>
      <c r="K96" s="19" t="n">
        <f aca="false">VLOOKUP(B96,Assumptions!$H$4:$J$6,3,FALSE())</f>
        <v>1.18</v>
      </c>
      <c r="L96" s="19" t="n">
        <f aca="false">ABS(F96-G96)</f>
        <v>50500.8</v>
      </c>
    </row>
    <row r="97" customFormat="false" ht="15" hidden="false" customHeight="false" outlineLevel="0" collapsed="false">
      <c r="A97" s="2" t="s">
        <v>197</v>
      </c>
      <c r="B97" s="2" t="s">
        <v>61</v>
      </c>
      <c r="C97" s="2" t="s">
        <v>426</v>
      </c>
      <c r="D97" s="2" t="s">
        <v>87</v>
      </c>
      <c r="E97" s="13" t="n">
        <v>117000</v>
      </c>
      <c r="F97" s="13" t="n">
        <v>67860</v>
      </c>
      <c r="G97" s="13" t="n">
        <v>47502</v>
      </c>
      <c r="H97" s="13" t="n">
        <v>20154.42</v>
      </c>
      <c r="I97" s="19" t="n">
        <f aca="false">MATCH(B97,Assumptions!$H$4:$H$6,0)</f>
        <v>1</v>
      </c>
      <c r="J97" s="19" t="n">
        <f aca="false">INDEX(Assumptions!$I$4:$I$6,I97)</f>
        <v>1.02</v>
      </c>
      <c r="K97" s="19" t="n">
        <f aca="false">VLOOKUP(B97,Assumptions!$H$4:$J$6,3,FALSE())</f>
        <v>1.12</v>
      </c>
      <c r="L97" s="19" t="n">
        <f aca="false">ABS(F97-G97)</f>
        <v>20358</v>
      </c>
    </row>
    <row r="98" customFormat="false" ht="15" hidden="false" customHeight="false" outlineLevel="0" collapsed="false">
      <c r="A98" s="2" t="s">
        <v>198</v>
      </c>
      <c r="B98" s="2" t="s">
        <v>65</v>
      </c>
      <c r="C98" s="2" t="s">
        <v>427</v>
      </c>
      <c r="D98" s="2" t="s">
        <v>429</v>
      </c>
      <c r="E98" s="13" t="n">
        <v>239000</v>
      </c>
      <c r="F98" s="13" t="n">
        <v>157740</v>
      </c>
      <c r="G98" s="13" t="n">
        <v>111995.4</v>
      </c>
      <c r="H98" s="13" t="n">
        <v>42542.48</v>
      </c>
      <c r="I98" s="19" t="n">
        <f aca="false">MATCH(B98,Assumptions!$H$4:$H$6,0)</f>
        <v>2</v>
      </c>
      <c r="J98" s="19" t="n">
        <f aca="false">INDEX(Assumptions!$I$4:$I$6,I98)</f>
        <v>1.04</v>
      </c>
      <c r="K98" s="19" t="n">
        <f aca="false">VLOOKUP(B98,Assumptions!$H$4:$J$6,3,FALSE())</f>
        <v>1.15</v>
      </c>
      <c r="L98" s="19" t="n">
        <f aca="false">ABS(F98-G98)</f>
        <v>45744.6</v>
      </c>
    </row>
    <row r="99" customFormat="false" ht="15" hidden="false" customHeight="false" outlineLevel="0" collapsed="false">
      <c r="A99" s="2" t="s">
        <v>199</v>
      </c>
      <c r="B99" s="2" t="s">
        <v>69</v>
      </c>
      <c r="C99" s="2" t="s">
        <v>428</v>
      </c>
      <c r="D99" s="2" t="s">
        <v>87</v>
      </c>
      <c r="E99" s="13" t="n">
        <v>181000</v>
      </c>
      <c r="F99" s="13" t="n">
        <v>130320</v>
      </c>
      <c r="G99" s="13" t="n">
        <v>101649.6</v>
      </c>
      <c r="H99" s="13" t="n">
        <v>26090.06</v>
      </c>
      <c r="I99" s="19" t="n">
        <f aca="false">MATCH(B99,Assumptions!$H$4:$H$6,0)</f>
        <v>3</v>
      </c>
      <c r="J99" s="19" t="n">
        <f aca="false">INDEX(Assumptions!$I$4:$I$6,I99)</f>
        <v>1.06</v>
      </c>
      <c r="K99" s="19" t="n">
        <f aca="false">VLOOKUP(B99,Assumptions!$H$4:$J$6,3,FALSE())</f>
        <v>1.18</v>
      </c>
      <c r="L99" s="19" t="n">
        <f aca="false">ABS(F99-G99)</f>
        <v>28670.4</v>
      </c>
    </row>
    <row r="100" customFormat="false" ht="15" hidden="false" customHeight="false" outlineLevel="0" collapsed="false">
      <c r="A100" s="2" t="s">
        <v>200</v>
      </c>
      <c r="B100" s="2" t="s">
        <v>61</v>
      </c>
      <c r="C100" s="2" t="s">
        <v>426</v>
      </c>
      <c r="D100" s="2" t="s">
        <v>87</v>
      </c>
      <c r="E100" s="13" t="n">
        <v>142000</v>
      </c>
      <c r="F100" s="13" t="n">
        <v>82360</v>
      </c>
      <c r="G100" s="13" t="n">
        <v>53534</v>
      </c>
      <c r="H100" s="13" t="n">
        <v>26808.18</v>
      </c>
      <c r="I100" s="19" t="n">
        <f aca="false">MATCH(B100,Assumptions!$H$4:$H$6,0)</f>
        <v>1</v>
      </c>
      <c r="J100" s="19" t="n">
        <f aca="false">INDEX(Assumptions!$I$4:$I$6,I100)</f>
        <v>1.02</v>
      </c>
      <c r="K100" s="19" t="n">
        <f aca="false">VLOOKUP(B100,Assumptions!$H$4:$J$6,3,FALSE())</f>
        <v>1.12</v>
      </c>
      <c r="L100" s="19" t="n">
        <f aca="false">ABS(F100-G100)</f>
        <v>28826</v>
      </c>
    </row>
    <row r="101" customFormat="false" ht="15" hidden="false" customHeight="false" outlineLevel="0" collapsed="false">
      <c r="A101" s="2" t="s">
        <v>201</v>
      </c>
      <c r="B101" s="2" t="s">
        <v>65</v>
      </c>
      <c r="C101" s="2" t="s">
        <v>427</v>
      </c>
      <c r="D101" s="2" t="s">
        <v>87</v>
      </c>
      <c r="E101" s="13" t="n">
        <v>76000</v>
      </c>
      <c r="F101" s="13" t="n">
        <v>50160</v>
      </c>
      <c r="G101" s="13" t="n">
        <v>31099.2</v>
      </c>
      <c r="H101" s="13" t="n">
        <v>17917.15</v>
      </c>
      <c r="I101" s="19" t="n">
        <f aca="false">MATCH(B101,Assumptions!$H$4:$H$6,0)</f>
        <v>2</v>
      </c>
      <c r="J101" s="19" t="n">
        <f aca="false">INDEX(Assumptions!$I$4:$I$6,I101)</f>
        <v>1.04</v>
      </c>
      <c r="K101" s="19" t="n">
        <f aca="false">VLOOKUP(B101,Assumptions!$H$4:$J$6,3,FALSE())</f>
        <v>1.15</v>
      </c>
      <c r="L101" s="19" t="n">
        <f aca="false">ABS(F101-G101)</f>
        <v>19060.8</v>
      </c>
    </row>
    <row r="102" customFormat="false" ht="15" hidden="false" customHeight="false" outlineLevel="0" collapsed="false">
      <c r="A102" s="2" t="s">
        <v>202</v>
      </c>
      <c r="B102" s="2" t="s">
        <v>69</v>
      </c>
      <c r="C102" s="2" t="s">
        <v>428</v>
      </c>
      <c r="D102" s="2" t="s">
        <v>87</v>
      </c>
      <c r="E102" s="13" t="n">
        <v>250000</v>
      </c>
      <c r="F102" s="13" t="n">
        <v>180000</v>
      </c>
      <c r="G102" s="13" t="n">
        <v>120600</v>
      </c>
      <c r="H102" s="13" t="n">
        <v>55242</v>
      </c>
      <c r="I102" s="19" t="n">
        <f aca="false">MATCH(B102,Assumptions!$H$4:$H$6,0)</f>
        <v>3</v>
      </c>
      <c r="J102" s="19" t="n">
        <f aca="false">INDEX(Assumptions!$I$4:$I$6,I102)</f>
        <v>1.06</v>
      </c>
      <c r="K102" s="19" t="n">
        <f aca="false">VLOOKUP(B102,Assumptions!$H$4:$J$6,3,FALSE())</f>
        <v>1.18</v>
      </c>
      <c r="L102" s="19" t="n">
        <f aca="false">ABS(F102-G102)</f>
        <v>59400</v>
      </c>
    </row>
    <row r="103" customFormat="false" ht="15" hidden="false" customHeight="false" outlineLevel="0" collapsed="false">
      <c r="A103" s="2" t="s">
        <v>203</v>
      </c>
      <c r="B103" s="2" t="s">
        <v>61</v>
      </c>
      <c r="C103" s="2" t="s">
        <v>426</v>
      </c>
      <c r="D103" s="2" t="s">
        <v>87</v>
      </c>
      <c r="E103" s="13" t="n">
        <v>131000</v>
      </c>
      <c r="F103" s="13" t="n">
        <v>75980</v>
      </c>
      <c r="G103" s="13" t="n">
        <v>50146.8</v>
      </c>
      <c r="H103" s="13" t="n">
        <v>24541.54</v>
      </c>
      <c r="I103" s="19" t="n">
        <f aca="false">MATCH(B103,Assumptions!$H$4:$H$6,0)</f>
        <v>1</v>
      </c>
      <c r="J103" s="19" t="n">
        <f aca="false">INDEX(Assumptions!$I$4:$I$6,I103)</f>
        <v>1.02</v>
      </c>
      <c r="K103" s="19" t="n">
        <f aca="false">VLOOKUP(B103,Assumptions!$H$4:$J$6,3,FALSE())</f>
        <v>1.12</v>
      </c>
      <c r="L103" s="19" t="n">
        <f aca="false">ABS(F103-G103)</f>
        <v>25833.2</v>
      </c>
    </row>
    <row r="104" customFormat="false" ht="15" hidden="false" customHeight="false" outlineLevel="0" collapsed="false">
      <c r="A104" s="2" t="s">
        <v>204</v>
      </c>
      <c r="B104" s="2" t="s">
        <v>65</v>
      </c>
      <c r="C104" s="2" t="s">
        <v>427</v>
      </c>
      <c r="D104" s="2" t="s">
        <v>87</v>
      </c>
      <c r="E104" s="13" t="n">
        <v>249000</v>
      </c>
      <c r="F104" s="13" t="n">
        <v>164340</v>
      </c>
      <c r="G104" s="13" t="n">
        <v>110107.8</v>
      </c>
      <c r="H104" s="13" t="n">
        <v>53689.88</v>
      </c>
      <c r="I104" s="19" t="n">
        <f aca="false">MATCH(B104,Assumptions!$H$4:$H$6,0)</f>
        <v>2</v>
      </c>
      <c r="J104" s="19" t="n">
        <f aca="false">INDEX(Assumptions!$I$4:$I$6,I104)</f>
        <v>1.04</v>
      </c>
      <c r="K104" s="19" t="n">
        <f aca="false">VLOOKUP(B104,Assumptions!$H$4:$J$6,3,FALSE())</f>
        <v>1.15</v>
      </c>
      <c r="L104" s="19" t="n">
        <f aca="false">ABS(F104-G104)</f>
        <v>54232.2</v>
      </c>
    </row>
    <row r="105" customFormat="false" ht="15" hidden="false" customHeight="false" outlineLevel="0" collapsed="false">
      <c r="A105" s="2" t="s">
        <v>205</v>
      </c>
      <c r="B105" s="2" t="s">
        <v>69</v>
      </c>
      <c r="C105" s="2" t="s">
        <v>428</v>
      </c>
      <c r="D105" s="2" t="s">
        <v>87</v>
      </c>
      <c r="E105" s="13" t="n">
        <v>63000</v>
      </c>
      <c r="F105" s="13" t="n">
        <v>45360</v>
      </c>
      <c r="G105" s="13" t="n">
        <v>30844.8</v>
      </c>
      <c r="H105" s="13" t="n">
        <v>14224.9</v>
      </c>
      <c r="I105" s="19" t="n">
        <f aca="false">MATCH(B105,Assumptions!$H$4:$H$6,0)</f>
        <v>3</v>
      </c>
      <c r="J105" s="19" t="n">
        <f aca="false">INDEX(Assumptions!$I$4:$I$6,I105)</f>
        <v>1.06</v>
      </c>
      <c r="K105" s="19" t="n">
        <f aca="false">VLOOKUP(B105,Assumptions!$H$4:$J$6,3,FALSE())</f>
        <v>1.18</v>
      </c>
      <c r="L105" s="19" t="n">
        <f aca="false">ABS(F105-G105)</f>
        <v>14515.2</v>
      </c>
    </row>
    <row r="106" customFormat="false" ht="15" hidden="false" customHeight="false" outlineLevel="0" collapsed="false">
      <c r="A106" s="2" t="s">
        <v>206</v>
      </c>
      <c r="B106" s="2" t="s">
        <v>61</v>
      </c>
      <c r="C106" s="2" t="s">
        <v>426</v>
      </c>
      <c r="D106" s="2" t="s">
        <v>87</v>
      </c>
      <c r="E106" s="13" t="n">
        <v>168000</v>
      </c>
      <c r="F106" s="13" t="n">
        <v>97440</v>
      </c>
      <c r="G106" s="13" t="n">
        <v>75028.8</v>
      </c>
      <c r="H106" s="13" t="n">
        <v>21962.98</v>
      </c>
      <c r="I106" s="19" t="n">
        <f aca="false">MATCH(B106,Assumptions!$H$4:$H$6,0)</f>
        <v>1</v>
      </c>
      <c r="J106" s="19" t="n">
        <f aca="false">INDEX(Assumptions!$I$4:$I$6,I106)</f>
        <v>1.02</v>
      </c>
      <c r="K106" s="19" t="n">
        <f aca="false">VLOOKUP(B106,Assumptions!$H$4:$J$6,3,FALSE())</f>
        <v>1.12</v>
      </c>
      <c r="L106" s="19" t="n">
        <f aca="false">ABS(F106-G106)</f>
        <v>22411.2</v>
      </c>
    </row>
    <row r="107" customFormat="false" ht="15" hidden="false" customHeight="false" outlineLevel="0" collapsed="false">
      <c r="A107" s="2" t="s">
        <v>207</v>
      </c>
      <c r="B107" s="2" t="s">
        <v>65</v>
      </c>
      <c r="C107" s="2" t="s">
        <v>427</v>
      </c>
      <c r="D107" s="2" t="s">
        <v>87</v>
      </c>
      <c r="E107" s="13" t="n">
        <v>131000</v>
      </c>
      <c r="F107" s="13" t="n">
        <v>86460</v>
      </c>
      <c r="G107" s="13" t="n">
        <v>57928.2</v>
      </c>
      <c r="H107" s="13" t="n">
        <v>28531.8</v>
      </c>
      <c r="I107" s="19" t="n">
        <f aca="false">MATCH(B107,Assumptions!$H$4:$H$6,0)</f>
        <v>2</v>
      </c>
      <c r="J107" s="19" t="n">
        <f aca="false">INDEX(Assumptions!$I$4:$I$6,I107)</f>
        <v>1.04</v>
      </c>
      <c r="K107" s="19" t="n">
        <f aca="false">VLOOKUP(B107,Assumptions!$H$4:$J$6,3,FALSE())</f>
        <v>1.15</v>
      </c>
      <c r="L107" s="19" t="n">
        <f aca="false">ABS(F107-G107)</f>
        <v>28531.8</v>
      </c>
    </row>
    <row r="108" customFormat="false" ht="15" hidden="false" customHeight="false" outlineLevel="0" collapsed="false">
      <c r="A108" s="2" t="s">
        <v>208</v>
      </c>
      <c r="B108" s="2" t="s">
        <v>69</v>
      </c>
      <c r="C108" s="2" t="s">
        <v>428</v>
      </c>
      <c r="D108" s="2" t="s">
        <v>87</v>
      </c>
      <c r="E108" s="13" t="n">
        <v>246000</v>
      </c>
      <c r="F108" s="13" t="n">
        <v>177120</v>
      </c>
      <c r="G108" s="13" t="n">
        <v>138153.6</v>
      </c>
      <c r="H108" s="13" t="n">
        <v>35069.76</v>
      </c>
      <c r="I108" s="19" t="n">
        <f aca="false">MATCH(B108,Assumptions!$H$4:$H$6,0)</f>
        <v>3</v>
      </c>
      <c r="J108" s="19" t="n">
        <f aca="false">INDEX(Assumptions!$I$4:$I$6,I108)</f>
        <v>1.06</v>
      </c>
      <c r="K108" s="19" t="n">
        <f aca="false">VLOOKUP(B108,Assumptions!$H$4:$J$6,3,FALSE())</f>
        <v>1.18</v>
      </c>
      <c r="L108" s="19" t="n">
        <f aca="false">ABS(F108-G108)</f>
        <v>38966.4</v>
      </c>
    </row>
    <row r="109" customFormat="false" ht="15" hidden="false" customHeight="false" outlineLevel="0" collapsed="false">
      <c r="A109" s="2" t="s">
        <v>209</v>
      </c>
      <c r="B109" s="2" t="s">
        <v>61</v>
      </c>
      <c r="C109" s="2" t="s">
        <v>426</v>
      </c>
      <c r="D109" s="2" t="s">
        <v>87</v>
      </c>
      <c r="E109" s="13" t="n">
        <v>129000</v>
      </c>
      <c r="F109" s="13" t="n">
        <v>74820</v>
      </c>
      <c r="G109" s="13" t="n">
        <v>44143.8</v>
      </c>
      <c r="H109" s="13" t="n">
        <v>30369.44</v>
      </c>
      <c r="I109" s="19" t="n">
        <f aca="false">MATCH(B109,Assumptions!$H$4:$H$6,0)</f>
        <v>1</v>
      </c>
      <c r="J109" s="19" t="n">
        <f aca="false">INDEX(Assumptions!$I$4:$I$6,I109)</f>
        <v>1.02</v>
      </c>
      <c r="K109" s="19" t="n">
        <f aca="false">VLOOKUP(B109,Assumptions!$H$4:$J$6,3,FALSE())</f>
        <v>1.12</v>
      </c>
      <c r="L109" s="19" t="n">
        <f aca="false">ABS(F109-G109)</f>
        <v>30676.2</v>
      </c>
    </row>
    <row r="110" customFormat="false" ht="15" hidden="false" customHeight="false" outlineLevel="0" collapsed="false">
      <c r="A110" s="2" t="s">
        <v>210</v>
      </c>
      <c r="B110" s="2" t="s">
        <v>65</v>
      </c>
      <c r="C110" s="2" t="s">
        <v>427</v>
      </c>
      <c r="D110" s="2" t="s">
        <v>87</v>
      </c>
      <c r="E110" s="13" t="n">
        <v>187000</v>
      </c>
      <c r="F110" s="13" t="n">
        <v>123420</v>
      </c>
      <c r="G110" s="13" t="n">
        <v>86394</v>
      </c>
      <c r="H110" s="13" t="n">
        <v>34804.44</v>
      </c>
      <c r="I110" s="19" t="n">
        <f aca="false">MATCH(B110,Assumptions!$H$4:$H$6,0)</f>
        <v>2</v>
      </c>
      <c r="J110" s="19" t="n">
        <f aca="false">INDEX(Assumptions!$I$4:$I$6,I110)</f>
        <v>1.04</v>
      </c>
      <c r="K110" s="19" t="n">
        <f aca="false">VLOOKUP(B110,Assumptions!$H$4:$J$6,3,FALSE())</f>
        <v>1.15</v>
      </c>
      <c r="L110" s="19" t="n">
        <f aca="false">ABS(F110-G110)</f>
        <v>37026</v>
      </c>
    </row>
    <row r="111" customFormat="false" ht="15" hidden="false" customHeight="false" outlineLevel="0" collapsed="false">
      <c r="A111" s="2" t="s">
        <v>211</v>
      </c>
      <c r="B111" s="2" t="s">
        <v>69</v>
      </c>
      <c r="C111" s="2" t="s">
        <v>428</v>
      </c>
      <c r="D111" s="2" t="s">
        <v>87</v>
      </c>
      <c r="E111" s="13" t="n">
        <v>191000</v>
      </c>
      <c r="F111" s="13" t="n">
        <v>137520</v>
      </c>
      <c r="G111" s="13" t="n">
        <v>74260.8</v>
      </c>
      <c r="H111" s="13" t="n">
        <v>56933.28</v>
      </c>
      <c r="I111" s="19" t="n">
        <f aca="false">MATCH(B111,Assumptions!$H$4:$H$6,0)</f>
        <v>3</v>
      </c>
      <c r="J111" s="19" t="n">
        <f aca="false">INDEX(Assumptions!$I$4:$I$6,I111)</f>
        <v>1.06</v>
      </c>
      <c r="K111" s="19" t="n">
        <f aca="false">VLOOKUP(B111,Assumptions!$H$4:$J$6,3,FALSE())</f>
        <v>1.18</v>
      </c>
      <c r="L111" s="19" t="n">
        <f aca="false">ABS(F111-G111)</f>
        <v>63259.2</v>
      </c>
    </row>
    <row r="112" customFormat="false" ht="15" hidden="false" customHeight="false" outlineLevel="0" collapsed="false">
      <c r="A112" s="2" t="s">
        <v>212</v>
      </c>
      <c r="B112" s="2" t="s">
        <v>61</v>
      </c>
      <c r="C112" s="2" t="s">
        <v>426</v>
      </c>
      <c r="D112" s="2" t="s">
        <v>87</v>
      </c>
      <c r="E112" s="13" t="n">
        <v>104000</v>
      </c>
      <c r="F112" s="13" t="n">
        <v>60320</v>
      </c>
      <c r="G112" s="13" t="n">
        <v>43430.4</v>
      </c>
      <c r="H112" s="13" t="n">
        <v>16382.91</v>
      </c>
      <c r="I112" s="19" t="n">
        <f aca="false">MATCH(B112,Assumptions!$H$4:$H$6,0)</f>
        <v>1</v>
      </c>
      <c r="J112" s="19" t="n">
        <f aca="false">INDEX(Assumptions!$I$4:$I$6,I112)</f>
        <v>1.02</v>
      </c>
      <c r="K112" s="19" t="n">
        <f aca="false">VLOOKUP(B112,Assumptions!$H$4:$J$6,3,FALSE())</f>
        <v>1.12</v>
      </c>
      <c r="L112" s="19" t="n">
        <f aca="false">ABS(F112-G112)</f>
        <v>16889.6</v>
      </c>
    </row>
    <row r="113" customFormat="false" ht="15" hidden="false" customHeight="false" outlineLevel="0" collapsed="false">
      <c r="A113" s="2" t="s">
        <v>213</v>
      </c>
      <c r="B113" s="2" t="s">
        <v>65</v>
      </c>
      <c r="C113" s="2" t="s">
        <v>427</v>
      </c>
      <c r="D113" s="2" t="s">
        <v>87</v>
      </c>
      <c r="E113" s="13" t="n">
        <v>110000</v>
      </c>
      <c r="F113" s="13" t="n">
        <v>72600</v>
      </c>
      <c r="G113" s="13" t="n">
        <v>42834</v>
      </c>
      <c r="H113" s="13" t="n">
        <v>27087.06</v>
      </c>
      <c r="I113" s="19" t="n">
        <f aca="false">MATCH(B113,Assumptions!$H$4:$H$6,0)</f>
        <v>2</v>
      </c>
      <c r="J113" s="19" t="n">
        <f aca="false">INDEX(Assumptions!$I$4:$I$6,I113)</f>
        <v>1.04</v>
      </c>
      <c r="K113" s="19" t="n">
        <f aca="false">VLOOKUP(B113,Assumptions!$H$4:$J$6,3,FALSE())</f>
        <v>1.15</v>
      </c>
      <c r="L113" s="19" t="n">
        <f aca="false">ABS(F113-G113)</f>
        <v>29766</v>
      </c>
    </row>
    <row r="114" customFormat="false" ht="15" hidden="false" customHeight="false" outlineLevel="0" collapsed="false">
      <c r="A114" s="2" t="s">
        <v>214</v>
      </c>
      <c r="B114" s="2" t="s">
        <v>69</v>
      </c>
      <c r="C114" s="2" t="s">
        <v>428</v>
      </c>
      <c r="D114" s="2" t="s">
        <v>87</v>
      </c>
      <c r="E114" s="13" t="n">
        <v>238000</v>
      </c>
      <c r="F114" s="13" t="n">
        <v>171360</v>
      </c>
      <c r="G114" s="13" t="n">
        <v>135374.4</v>
      </c>
      <c r="H114" s="13" t="n">
        <v>33106.75</v>
      </c>
      <c r="I114" s="19" t="n">
        <f aca="false">MATCH(B114,Assumptions!$H$4:$H$6,0)</f>
        <v>3</v>
      </c>
      <c r="J114" s="19" t="n">
        <f aca="false">INDEX(Assumptions!$I$4:$I$6,I114)</f>
        <v>1.06</v>
      </c>
      <c r="K114" s="19" t="n">
        <f aca="false">VLOOKUP(B114,Assumptions!$H$4:$J$6,3,FALSE())</f>
        <v>1.18</v>
      </c>
      <c r="L114" s="19" t="n">
        <f aca="false">ABS(F114-G114)</f>
        <v>35985.6</v>
      </c>
    </row>
    <row r="115" customFormat="false" ht="15" hidden="false" customHeight="false" outlineLevel="0" collapsed="false">
      <c r="A115" s="2" t="s">
        <v>215</v>
      </c>
      <c r="B115" s="2" t="s">
        <v>61</v>
      </c>
      <c r="C115" s="2" t="s">
        <v>426</v>
      </c>
      <c r="D115" s="2" t="s">
        <v>87</v>
      </c>
      <c r="E115" s="13" t="n">
        <v>231000</v>
      </c>
      <c r="F115" s="13" t="n">
        <v>133980</v>
      </c>
      <c r="G115" s="13" t="n">
        <v>101824.8</v>
      </c>
      <c r="H115" s="13" t="n">
        <v>28939.68</v>
      </c>
      <c r="I115" s="19" t="n">
        <f aca="false">MATCH(B115,Assumptions!$H$4:$H$6,0)</f>
        <v>1</v>
      </c>
      <c r="J115" s="19" t="n">
        <f aca="false">INDEX(Assumptions!$I$4:$I$6,I115)</f>
        <v>1.02</v>
      </c>
      <c r="K115" s="19" t="n">
        <f aca="false">VLOOKUP(B115,Assumptions!$H$4:$J$6,3,FALSE())</f>
        <v>1.12</v>
      </c>
      <c r="L115" s="19" t="n">
        <f aca="false">ABS(F115-G115)</f>
        <v>32155.2</v>
      </c>
    </row>
    <row r="116" customFormat="false" ht="15" hidden="false" customHeight="false" outlineLevel="0" collapsed="false">
      <c r="A116" s="2" t="s">
        <v>216</v>
      </c>
      <c r="B116" s="2" t="s">
        <v>65</v>
      </c>
      <c r="C116" s="2" t="s">
        <v>427</v>
      </c>
      <c r="D116" s="2" t="s">
        <v>87</v>
      </c>
      <c r="E116" s="13" t="n">
        <v>205000</v>
      </c>
      <c r="F116" s="13" t="n">
        <v>135300</v>
      </c>
      <c r="G116" s="13" t="n">
        <v>85239</v>
      </c>
      <c r="H116" s="13" t="n">
        <v>46556.73</v>
      </c>
      <c r="I116" s="19" t="n">
        <f aca="false">MATCH(B116,Assumptions!$H$4:$H$6,0)</f>
        <v>2</v>
      </c>
      <c r="J116" s="19" t="n">
        <f aca="false">INDEX(Assumptions!$I$4:$I$6,I116)</f>
        <v>1.04</v>
      </c>
      <c r="K116" s="19" t="n">
        <f aca="false">VLOOKUP(B116,Assumptions!$H$4:$J$6,3,FALSE())</f>
        <v>1.15</v>
      </c>
      <c r="L116" s="19" t="n">
        <f aca="false">ABS(F116-G116)</f>
        <v>50061</v>
      </c>
    </row>
    <row r="117" customFormat="false" ht="15" hidden="false" customHeight="false" outlineLevel="0" collapsed="false">
      <c r="A117" s="2" t="s">
        <v>217</v>
      </c>
      <c r="B117" s="2" t="s">
        <v>69</v>
      </c>
      <c r="C117" s="2" t="s">
        <v>428</v>
      </c>
      <c r="D117" s="2" t="s">
        <v>429</v>
      </c>
      <c r="E117" s="13" t="n">
        <v>205000</v>
      </c>
      <c r="F117" s="13" t="n">
        <v>147600</v>
      </c>
      <c r="G117" s="13" t="n">
        <v>101844</v>
      </c>
      <c r="H117" s="13" t="n">
        <v>45298.44</v>
      </c>
      <c r="I117" s="19" t="n">
        <f aca="false">MATCH(B117,Assumptions!$H$4:$H$6,0)</f>
        <v>3</v>
      </c>
      <c r="J117" s="19" t="n">
        <f aca="false">INDEX(Assumptions!$I$4:$I$6,I117)</f>
        <v>1.06</v>
      </c>
      <c r="K117" s="19" t="n">
        <f aca="false">VLOOKUP(B117,Assumptions!$H$4:$J$6,3,FALSE())</f>
        <v>1.18</v>
      </c>
      <c r="L117" s="19" t="n">
        <f aca="false">ABS(F117-G117)</f>
        <v>45756</v>
      </c>
    </row>
    <row r="118" customFormat="false" ht="15" hidden="false" customHeight="false" outlineLevel="0" collapsed="false">
      <c r="A118" s="2" t="s">
        <v>218</v>
      </c>
      <c r="B118" s="2" t="s">
        <v>61</v>
      </c>
      <c r="C118" s="2" t="s">
        <v>426</v>
      </c>
      <c r="D118" s="2" t="s">
        <v>87</v>
      </c>
      <c r="E118" s="13" t="n">
        <v>234000</v>
      </c>
      <c r="F118" s="13" t="n">
        <v>135720</v>
      </c>
      <c r="G118" s="13" t="n">
        <v>90932.4</v>
      </c>
      <c r="H118" s="13" t="n">
        <v>43891.85</v>
      </c>
      <c r="I118" s="19" t="n">
        <f aca="false">MATCH(B118,Assumptions!$H$4:$H$6,0)</f>
        <v>1</v>
      </c>
      <c r="J118" s="19" t="n">
        <f aca="false">INDEX(Assumptions!$I$4:$I$6,I118)</f>
        <v>1.02</v>
      </c>
      <c r="K118" s="19" t="n">
        <f aca="false">VLOOKUP(B118,Assumptions!$H$4:$J$6,3,FALSE())</f>
        <v>1.12</v>
      </c>
      <c r="L118" s="19" t="n">
        <f aca="false">ABS(F118-G118)</f>
        <v>44787.6</v>
      </c>
    </row>
    <row r="119" customFormat="false" ht="15" hidden="false" customHeight="false" outlineLevel="0" collapsed="false">
      <c r="A119" s="2" t="s">
        <v>219</v>
      </c>
      <c r="B119" s="2" t="s">
        <v>65</v>
      </c>
      <c r="C119" s="2" t="s">
        <v>427</v>
      </c>
      <c r="D119" s="2" t="s">
        <v>87</v>
      </c>
      <c r="E119" s="13" t="n">
        <v>240000</v>
      </c>
      <c r="F119" s="13" t="n">
        <v>158400</v>
      </c>
      <c r="G119" s="13" t="n">
        <v>102960</v>
      </c>
      <c r="H119" s="13" t="n">
        <v>54885.6</v>
      </c>
      <c r="I119" s="19" t="n">
        <f aca="false">MATCH(B119,Assumptions!$H$4:$H$6,0)</f>
        <v>2</v>
      </c>
      <c r="J119" s="19" t="n">
        <f aca="false">INDEX(Assumptions!$I$4:$I$6,I119)</f>
        <v>1.04</v>
      </c>
      <c r="K119" s="19" t="n">
        <f aca="false">VLOOKUP(B119,Assumptions!$H$4:$J$6,3,FALSE())</f>
        <v>1.15</v>
      </c>
      <c r="L119" s="19" t="n">
        <f aca="false">ABS(F119-G119)</f>
        <v>55440</v>
      </c>
    </row>
    <row r="120" customFormat="false" ht="15" hidden="false" customHeight="false" outlineLevel="0" collapsed="false">
      <c r="A120" s="2" t="s">
        <v>220</v>
      </c>
      <c r="B120" s="2" t="s">
        <v>69</v>
      </c>
      <c r="C120" s="2" t="s">
        <v>428</v>
      </c>
      <c r="D120" s="2" t="s">
        <v>87</v>
      </c>
      <c r="E120" s="13" t="n">
        <v>109000</v>
      </c>
      <c r="F120" s="13" t="n">
        <v>78480</v>
      </c>
      <c r="G120" s="13" t="n">
        <v>41594.4</v>
      </c>
      <c r="H120" s="13" t="n">
        <v>35779.03</v>
      </c>
      <c r="I120" s="19" t="n">
        <f aca="false">MATCH(B120,Assumptions!$H$4:$H$6,0)</f>
        <v>3</v>
      </c>
      <c r="J120" s="19" t="n">
        <f aca="false">INDEX(Assumptions!$I$4:$I$6,I120)</f>
        <v>1.06</v>
      </c>
      <c r="K120" s="19" t="n">
        <f aca="false">VLOOKUP(B120,Assumptions!$H$4:$J$6,3,FALSE())</f>
        <v>1.18</v>
      </c>
      <c r="L120" s="19" t="n">
        <f aca="false">ABS(F120-G120)</f>
        <v>36885.6</v>
      </c>
    </row>
    <row r="121" customFormat="false" ht="15" hidden="false" customHeight="false" outlineLevel="0" collapsed="false">
      <c r="A121" s="2" t="s">
        <v>221</v>
      </c>
      <c r="B121" s="2" t="s">
        <v>61</v>
      </c>
      <c r="C121" s="2" t="s">
        <v>426</v>
      </c>
      <c r="D121" s="2" t="s">
        <v>87</v>
      </c>
      <c r="E121" s="13" t="n">
        <v>187000</v>
      </c>
      <c r="F121" s="13" t="n">
        <v>108460</v>
      </c>
      <c r="G121" s="13" t="n">
        <v>80260.4</v>
      </c>
      <c r="H121" s="13" t="n">
        <v>26225.63</v>
      </c>
      <c r="I121" s="19" t="n">
        <f aca="false">MATCH(B121,Assumptions!$H$4:$H$6,0)</f>
        <v>1</v>
      </c>
      <c r="J121" s="19" t="n">
        <f aca="false">INDEX(Assumptions!$I$4:$I$6,I121)</f>
        <v>1.02</v>
      </c>
      <c r="K121" s="19" t="n">
        <f aca="false">VLOOKUP(B121,Assumptions!$H$4:$J$6,3,FALSE())</f>
        <v>1.12</v>
      </c>
      <c r="L121" s="19" t="n">
        <f aca="false">ABS(F121-G121)</f>
        <v>28199.6</v>
      </c>
    </row>
    <row r="122" customFormat="false" ht="15" hidden="false" customHeight="false" outlineLevel="0" collapsed="false">
      <c r="A122" s="2" t="s">
        <v>222</v>
      </c>
      <c r="B122" s="2" t="s">
        <v>65</v>
      </c>
      <c r="C122" s="2" t="s">
        <v>427</v>
      </c>
      <c r="D122" s="2" t="s">
        <v>87</v>
      </c>
      <c r="E122" s="13" t="n">
        <v>62000</v>
      </c>
      <c r="F122" s="13" t="n">
        <v>40920</v>
      </c>
      <c r="G122" s="13" t="n">
        <v>23324.4</v>
      </c>
      <c r="H122" s="13" t="n">
        <v>16715.82</v>
      </c>
      <c r="I122" s="19" t="n">
        <f aca="false">MATCH(B122,Assumptions!$H$4:$H$6,0)</f>
        <v>2</v>
      </c>
      <c r="J122" s="19" t="n">
        <f aca="false">INDEX(Assumptions!$I$4:$I$6,I122)</f>
        <v>1.04</v>
      </c>
      <c r="K122" s="19" t="n">
        <f aca="false">VLOOKUP(B122,Assumptions!$H$4:$J$6,3,FALSE())</f>
        <v>1.15</v>
      </c>
      <c r="L122" s="19" t="n">
        <f aca="false">ABS(F122-G122)</f>
        <v>17595.6</v>
      </c>
    </row>
    <row r="123" customFormat="false" ht="15" hidden="false" customHeight="false" outlineLevel="0" collapsed="false">
      <c r="A123" s="2" t="s">
        <v>223</v>
      </c>
      <c r="B123" s="2" t="s">
        <v>69</v>
      </c>
      <c r="C123" s="2" t="s">
        <v>428</v>
      </c>
      <c r="D123" s="2" t="s">
        <v>87</v>
      </c>
      <c r="E123" s="13" t="n">
        <v>171000</v>
      </c>
      <c r="F123" s="13" t="n">
        <v>123120</v>
      </c>
      <c r="G123" s="13" t="n">
        <v>84952.8</v>
      </c>
      <c r="H123" s="13" t="n">
        <v>35495.5</v>
      </c>
      <c r="I123" s="19" t="n">
        <f aca="false">MATCH(B123,Assumptions!$H$4:$H$6,0)</f>
        <v>3</v>
      </c>
      <c r="J123" s="19" t="n">
        <f aca="false">INDEX(Assumptions!$I$4:$I$6,I123)</f>
        <v>1.06</v>
      </c>
      <c r="K123" s="19" t="n">
        <f aca="false">VLOOKUP(B123,Assumptions!$H$4:$J$6,3,FALSE())</f>
        <v>1.18</v>
      </c>
      <c r="L123" s="19" t="n">
        <f aca="false">ABS(F123-G123)</f>
        <v>38167.2</v>
      </c>
    </row>
    <row r="124" customFormat="false" ht="15" hidden="false" customHeight="false" outlineLevel="0" collapsed="false">
      <c r="A124" s="2" t="s">
        <v>224</v>
      </c>
      <c r="B124" s="2" t="s">
        <v>61</v>
      </c>
      <c r="C124" s="2" t="s">
        <v>426</v>
      </c>
      <c r="D124" s="2" t="s">
        <v>87</v>
      </c>
      <c r="E124" s="13" t="n">
        <v>119000</v>
      </c>
      <c r="F124" s="13" t="n">
        <v>69020</v>
      </c>
      <c r="G124" s="13" t="n">
        <v>47623.8</v>
      </c>
      <c r="H124" s="13" t="n">
        <v>20754.31</v>
      </c>
      <c r="I124" s="19" t="n">
        <f aca="false">MATCH(B124,Assumptions!$H$4:$H$6,0)</f>
        <v>1</v>
      </c>
      <c r="J124" s="19" t="n">
        <f aca="false">INDEX(Assumptions!$I$4:$I$6,I124)</f>
        <v>1.02</v>
      </c>
      <c r="K124" s="19" t="n">
        <f aca="false">VLOOKUP(B124,Assumptions!$H$4:$J$6,3,FALSE())</f>
        <v>1.12</v>
      </c>
      <c r="L124" s="19" t="n">
        <f aca="false">ABS(F124-G124)</f>
        <v>21396.2</v>
      </c>
    </row>
    <row r="125" customFormat="false" ht="15" hidden="false" customHeight="false" outlineLevel="0" collapsed="false">
      <c r="A125" s="2" t="s">
        <v>225</v>
      </c>
      <c r="B125" s="2" t="s">
        <v>65</v>
      </c>
      <c r="C125" s="2" t="s">
        <v>427</v>
      </c>
      <c r="D125" s="2" t="s">
        <v>87</v>
      </c>
      <c r="E125" s="13" t="n">
        <v>83000</v>
      </c>
      <c r="F125" s="13" t="n">
        <v>54780</v>
      </c>
      <c r="G125" s="13" t="n">
        <v>36702.6</v>
      </c>
      <c r="H125" s="13" t="n">
        <v>16992.76</v>
      </c>
      <c r="I125" s="19" t="n">
        <f aca="false">MATCH(B125,Assumptions!$H$4:$H$6,0)</f>
        <v>2</v>
      </c>
      <c r="J125" s="19" t="n">
        <f aca="false">INDEX(Assumptions!$I$4:$I$6,I125)</f>
        <v>1.04</v>
      </c>
      <c r="K125" s="19" t="n">
        <f aca="false">VLOOKUP(B125,Assumptions!$H$4:$J$6,3,FALSE())</f>
        <v>1.15</v>
      </c>
      <c r="L125" s="19" t="n">
        <f aca="false">ABS(F125-G125)</f>
        <v>18077.4</v>
      </c>
    </row>
    <row r="126" customFormat="false" ht="15" hidden="false" customHeight="false" outlineLevel="0" collapsed="false">
      <c r="A126" s="2" t="s">
        <v>226</v>
      </c>
      <c r="B126" s="2" t="s">
        <v>69</v>
      </c>
      <c r="C126" s="2" t="s">
        <v>428</v>
      </c>
      <c r="D126" s="2" t="s">
        <v>87</v>
      </c>
      <c r="E126" s="13" t="n">
        <v>109000</v>
      </c>
      <c r="F126" s="13" t="n">
        <v>78480</v>
      </c>
      <c r="G126" s="13" t="n">
        <v>51012</v>
      </c>
      <c r="H126" s="13" t="n">
        <v>24995.88</v>
      </c>
      <c r="I126" s="19" t="n">
        <f aca="false">MATCH(B126,Assumptions!$H$4:$H$6,0)</f>
        <v>3</v>
      </c>
      <c r="J126" s="19" t="n">
        <f aca="false">INDEX(Assumptions!$I$4:$I$6,I126)</f>
        <v>1.06</v>
      </c>
      <c r="K126" s="19" t="n">
        <f aca="false">VLOOKUP(B126,Assumptions!$H$4:$J$6,3,FALSE())</f>
        <v>1.18</v>
      </c>
      <c r="L126" s="19" t="n">
        <f aca="false">ABS(F126-G126)</f>
        <v>27468</v>
      </c>
    </row>
    <row r="127" customFormat="false" ht="15" hidden="false" customHeight="false" outlineLevel="0" collapsed="false">
      <c r="A127" s="2" t="s">
        <v>227</v>
      </c>
      <c r="B127" s="2" t="s">
        <v>61</v>
      </c>
      <c r="C127" s="2" t="s">
        <v>426</v>
      </c>
      <c r="D127" s="2" t="s">
        <v>87</v>
      </c>
      <c r="E127" s="13" t="n">
        <v>89000</v>
      </c>
      <c r="F127" s="13" t="n">
        <v>51620</v>
      </c>
      <c r="G127" s="13" t="n">
        <v>38198.8</v>
      </c>
      <c r="H127" s="13" t="n">
        <v>12347.5</v>
      </c>
      <c r="I127" s="19" t="n">
        <f aca="false">MATCH(B127,Assumptions!$H$4:$H$6,0)</f>
        <v>1</v>
      </c>
      <c r="J127" s="19" t="n">
        <f aca="false">INDEX(Assumptions!$I$4:$I$6,I127)</f>
        <v>1.02</v>
      </c>
      <c r="K127" s="19" t="n">
        <f aca="false">VLOOKUP(B127,Assumptions!$H$4:$J$6,3,FALSE())</f>
        <v>1.12</v>
      </c>
      <c r="L127" s="19" t="n">
        <f aca="false">ABS(F127-G127)</f>
        <v>13421.2</v>
      </c>
    </row>
    <row r="128" customFormat="false" ht="15" hidden="false" customHeight="false" outlineLevel="0" collapsed="false">
      <c r="A128" s="2" t="s">
        <v>228</v>
      </c>
      <c r="B128" s="2" t="s">
        <v>65</v>
      </c>
      <c r="C128" s="2" t="s">
        <v>427</v>
      </c>
      <c r="D128" s="2" t="s">
        <v>87</v>
      </c>
      <c r="E128" s="13" t="n">
        <v>68000</v>
      </c>
      <c r="F128" s="13" t="n">
        <v>44880</v>
      </c>
      <c r="G128" s="13" t="n">
        <v>32762.4</v>
      </c>
      <c r="H128" s="13" t="n">
        <v>12117.6</v>
      </c>
      <c r="I128" s="19" t="n">
        <f aca="false">MATCH(B128,Assumptions!$H$4:$H$6,0)</f>
        <v>2</v>
      </c>
      <c r="J128" s="19" t="n">
        <f aca="false">INDEX(Assumptions!$I$4:$I$6,I128)</f>
        <v>1.04</v>
      </c>
      <c r="K128" s="19" t="n">
        <f aca="false">VLOOKUP(B128,Assumptions!$H$4:$J$6,3,FALSE())</f>
        <v>1.15</v>
      </c>
      <c r="L128" s="19" t="n">
        <f aca="false">ABS(F128-G128)</f>
        <v>12117.6</v>
      </c>
    </row>
    <row r="129" customFormat="false" ht="15" hidden="false" customHeight="false" outlineLevel="0" collapsed="false">
      <c r="A129" s="2" t="s">
        <v>229</v>
      </c>
      <c r="B129" s="2" t="s">
        <v>69</v>
      </c>
      <c r="C129" s="2" t="s">
        <v>428</v>
      </c>
      <c r="D129" s="2" t="s">
        <v>87</v>
      </c>
      <c r="E129" s="13" t="n">
        <v>93000</v>
      </c>
      <c r="F129" s="13" t="n">
        <v>66960</v>
      </c>
      <c r="G129" s="13" t="n">
        <v>53568</v>
      </c>
      <c r="H129" s="13" t="n">
        <v>13124.16</v>
      </c>
      <c r="I129" s="19" t="n">
        <f aca="false">MATCH(B129,Assumptions!$H$4:$H$6,0)</f>
        <v>3</v>
      </c>
      <c r="J129" s="19" t="n">
        <f aca="false">INDEX(Assumptions!$I$4:$I$6,I129)</f>
        <v>1.06</v>
      </c>
      <c r="K129" s="19" t="n">
        <f aca="false">VLOOKUP(B129,Assumptions!$H$4:$J$6,3,FALSE())</f>
        <v>1.18</v>
      </c>
      <c r="L129" s="19" t="n">
        <f aca="false">ABS(F129-G129)</f>
        <v>13392</v>
      </c>
    </row>
    <row r="130" customFormat="false" ht="15" hidden="false" customHeight="false" outlineLevel="0" collapsed="false">
      <c r="A130" s="2" t="s">
        <v>230</v>
      </c>
      <c r="B130" s="2" t="s">
        <v>61</v>
      </c>
      <c r="C130" s="2" t="s">
        <v>426</v>
      </c>
      <c r="D130" s="2" t="s">
        <v>87</v>
      </c>
      <c r="E130" s="13" t="n">
        <v>60000</v>
      </c>
      <c r="F130" s="13" t="n">
        <v>34800</v>
      </c>
      <c r="G130" s="13" t="n">
        <v>22968</v>
      </c>
      <c r="H130" s="13" t="n">
        <v>10648.8</v>
      </c>
      <c r="I130" s="19" t="n">
        <f aca="false">MATCH(B130,Assumptions!$H$4:$H$6,0)</f>
        <v>1</v>
      </c>
      <c r="J130" s="19" t="n">
        <f aca="false">INDEX(Assumptions!$I$4:$I$6,I130)</f>
        <v>1.02</v>
      </c>
      <c r="K130" s="19" t="n">
        <f aca="false">VLOOKUP(B130,Assumptions!$H$4:$J$6,3,FALSE())</f>
        <v>1.12</v>
      </c>
      <c r="L130" s="19" t="n">
        <f aca="false">ABS(F130-G130)</f>
        <v>11832</v>
      </c>
    </row>
    <row r="131" customFormat="false" ht="15" hidden="false" customHeight="false" outlineLevel="0" collapsed="false">
      <c r="A131" s="2" t="s">
        <v>231</v>
      </c>
      <c r="B131" s="2" t="s">
        <v>65</v>
      </c>
      <c r="C131" s="2" t="s">
        <v>427</v>
      </c>
      <c r="D131" s="2" t="s">
        <v>87</v>
      </c>
      <c r="E131" s="13" t="n">
        <v>238000</v>
      </c>
      <c r="F131" s="13" t="n">
        <v>157080</v>
      </c>
      <c r="G131" s="13" t="n">
        <v>109956</v>
      </c>
      <c r="H131" s="13" t="n">
        <v>45239.04</v>
      </c>
      <c r="I131" s="19" t="n">
        <f aca="false">MATCH(B131,Assumptions!$H$4:$H$6,0)</f>
        <v>2</v>
      </c>
      <c r="J131" s="19" t="n">
        <f aca="false">INDEX(Assumptions!$I$4:$I$6,I131)</f>
        <v>1.04</v>
      </c>
      <c r="K131" s="19" t="n">
        <f aca="false">VLOOKUP(B131,Assumptions!$H$4:$J$6,3,FALSE())</f>
        <v>1.15</v>
      </c>
      <c r="L131" s="19" t="n">
        <f aca="false">ABS(F131-G131)</f>
        <v>47124</v>
      </c>
    </row>
    <row r="132" customFormat="false" ht="15" hidden="false" customHeight="false" outlineLevel="0" collapsed="false">
      <c r="A132" s="2" t="s">
        <v>232</v>
      </c>
      <c r="B132" s="2" t="s">
        <v>69</v>
      </c>
      <c r="C132" s="2" t="s">
        <v>428</v>
      </c>
      <c r="D132" s="2" t="s">
        <v>87</v>
      </c>
      <c r="E132" s="13" t="n">
        <v>94000</v>
      </c>
      <c r="F132" s="13" t="n">
        <v>67680</v>
      </c>
      <c r="G132" s="13" t="n">
        <v>37900.8</v>
      </c>
      <c r="H132" s="13" t="n">
        <v>29779.2</v>
      </c>
      <c r="I132" s="19" t="n">
        <f aca="false">MATCH(B132,Assumptions!$H$4:$H$6,0)</f>
        <v>3</v>
      </c>
      <c r="J132" s="19" t="n">
        <f aca="false">INDEX(Assumptions!$I$4:$I$6,I132)</f>
        <v>1.06</v>
      </c>
      <c r="K132" s="19" t="n">
        <f aca="false">VLOOKUP(B132,Assumptions!$H$4:$J$6,3,FALSE())</f>
        <v>1.18</v>
      </c>
      <c r="L132" s="19" t="n">
        <f aca="false">ABS(F132-G132)</f>
        <v>29779.2</v>
      </c>
    </row>
    <row r="133" customFormat="false" ht="15" hidden="false" customHeight="false" outlineLevel="0" collapsed="false">
      <c r="A133" s="2" t="s">
        <v>233</v>
      </c>
      <c r="B133" s="2" t="s">
        <v>61</v>
      </c>
      <c r="C133" s="2" t="s">
        <v>426</v>
      </c>
      <c r="D133" s="2" t="s">
        <v>87</v>
      </c>
      <c r="E133" s="13" t="n">
        <v>210000</v>
      </c>
      <c r="F133" s="13" t="n">
        <v>121800</v>
      </c>
      <c r="G133" s="13" t="n">
        <v>86478</v>
      </c>
      <c r="H133" s="13" t="n">
        <v>32143.02</v>
      </c>
      <c r="I133" s="19" t="n">
        <f aca="false">MATCH(B133,Assumptions!$H$4:$H$6,0)</f>
        <v>1</v>
      </c>
      <c r="J133" s="19" t="n">
        <f aca="false">INDEX(Assumptions!$I$4:$I$6,I133)</f>
        <v>1.02</v>
      </c>
      <c r="K133" s="19" t="n">
        <f aca="false">VLOOKUP(B133,Assumptions!$H$4:$J$6,3,FALSE())</f>
        <v>1.12</v>
      </c>
      <c r="L133" s="19" t="n">
        <f aca="false">ABS(F133-G133)</f>
        <v>35322</v>
      </c>
    </row>
    <row r="134" customFormat="false" ht="15" hidden="false" customHeight="false" outlineLevel="0" collapsed="false">
      <c r="A134" s="2" t="s">
        <v>234</v>
      </c>
      <c r="B134" s="2" t="s">
        <v>65</v>
      </c>
      <c r="C134" s="2" t="s">
        <v>427</v>
      </c>
      <c r="D134" s="2" t="s">
        <v>87</v>
      </c>
      <c r="E134" s="13" t="n">
        <v>186000</v>
      </c>
      <c r="F134" s="13" t="n">
        <v>122760</v>
      </c>
      <c r="G134" s="13" t="n">
        <v>89614.8</v>
      </c>
      <c r="H134" s="13" t="n">
        <v>30825.04</v>
      </c>
      <c r="I134" s="19" t="n">
        <f aca="false">MATCH(B134,Assumptions!$H$4:$H$6,0)</f>
        <v>2</v>
      </c>
      <c r="J134" s="19" t="n">
        <f aca="false">INDEX(Assumptions!$I$4:$I$6,I134)</f>
        <v>1.04</v>
      </c>
      <c r="K134" s="19" t="n">
        <f aca="false">VLOOKUP(B134,Assumptions!$H$4:$J$6,3,FALSE())</f>
        <v>1.15</v>
      </c>
      <c r="L134" s="19" t="n">
        <f aca="false">ABS(F134-G134)</f>
        <v>33145.2</v>
      </c>
    </row>
    <row r="135" customFormat="false" ht="15" hidden="false" customHeight="false" outlineLevel="0" collapsed="false">
      <c r="A135" s="2" t="s">
        <v>235</v>
      </c>
      <c r="B135" s="2" t="s">
        <v>69</v>
      </c>
      <c r="C135" s="2" t="s">
        <v>428</v>
      </c>
      <c r="D135" s="2" t="s">
        <v>87</v>
      </c>
      <c r="E135" s="13" t="n">
        <v>244000</v>
      </c>
      <c r="F135" s="13" t="n">
        <v>175680</v>
      </c>
      <c r="G135" s="13" t="n">
        <v>131760</v>
      </c>
      <c r="H135" s="13" t="n">
        <v>40845.6</v>
      </c>
      <c r="I135" s="19" t="n">
        <f aca="false">MATCH(B135,Assumptions!$H$4:$H$6,0)</f>
        <v>3</v>
      </c>
      <c r="J135" s="19" t="n">
        <f aca="false">INDEX(Assumptions!$I$4:$I$6,I135)</f>
        <v>1.06</v>
      </c>
      <c r="K135" s="19" t="n">
        <f aca="false">VLOOKUP(B135,Assumptions!$H$4:$J$6,3,FALSE())</f>
        <v>1.18</v>
      </c>
      <c r="L135" s="19" t="n">
        <f aca="false">ABS(F135-G135)</f>
        <v>43920</v>
      </c>
    </row>
    <row r="136" customFormat="false" ht="15" hidden="false" customHeight="false" outlineLevel="0" collapsed="false">
      <c r="A136" s="2" t="s">
        <v>236</v>
      </c>
      <c r="B136" s="2" t="s">
        <v>61</v>
      </c>
      <c r="C136" s="2" t="s">
        <v>426</v>
      </c>
      <c r="D136" s="2" t="s">
        <v>429</v>
      </c>
      <c r="E136" s="13" t="n">
        <v>67000</v>
      </c>
      <c r="F136" s="13" t="n">
        <v>38860</v>
      </c>
      <c r="G136" s="13" t="n">
        <v>30699.4</v>
      </c>
      <c r="H136" s="13" t="n">
        <v>7589.36</v>
      </c>
      <c r="I136" s="19" t="n">
        <f aca="false">MATCH(B136,Assumptions!$H$4:$H$6,0)</f>
        <v>1</v>
      </c>
      <c r="J136" s="19" t="n">
        <f aca="false">INDEX(Assumptions!$I$4:$I$6,I136)</f>
        <v>1.02</v>
      </c>
      <c r="K136" s="19" t="n">
        <f aca="false">VLOOKUP(B136,Assumptions!$H$4:$J$6,3,FALSE())</f>
        <v>1.12</v>
      </c>
      <c r="L136" s="19" t="n">
        <f aca="false">ABS(F136-G136)</f>
        <v>8160.6</v>
      </c>
    </row>
    <row r="137" customFormat="false" ht="15" hidden="false" customHeight="false" outlineLevel="0" collapsed="false">
      <c r="A137" s="2" t="s">
        <v>237</v>
      </c>
      <c r="B137" s="2" t="s">
        <v>65</v>
      </c>
      <c r="C137" s="2" t="s">
        <v>427</v>
      </c>
      <c r="D137" s="2" t="s">
        <v>87</v>
      </c>
      <c r="E137" s="13" t="n">
        <v>229000</v>
      </c>
      <c r="F137" s="13" t="n">
        <v>151140</v>
      </c>
      <c r="G137" s="13" t="n">
        <v>101263.8</v>
      </c>
      <c r="H137" s="13" t="n">
        <v>49377.44</v>
      </c>
      <c r="I137" s="19" t="n">
        <f aca="false">MATCH(B137,Assumptions!$H$4:$H$6,0)</f>
        <v>2</v>
      </c>
      <c r="J137" s="19" t="n">
        <f aca="false">INDEX(Assumptions!$I$4:$I$6,I137)</f>
        <v>1.04</v>
      </c>
      <c r="K137" s="19" t="n">
        <f aca="false">VLOOKUP(B137,Assumptions!$H$4:$J$6,3,FALSE())</f>
        <v>1.15</v>
      </c>
      <c r="L137" s="19" t="n">
        <f aca="false">ABS(F137-G137)</f>
        <v>49876.2</v>
      </c>
    </row>
    <row r="138" customFormat="false" ht="15" hidden="false" customHeight="false" outlineLevel="0" collapsed="false">
      <c r="A138" s="2" t="s">
        <v>238</v>
      </c>
      <c r="B138" s="2" t="s">
        <v>69</v>
      </c>
      <c r="C138" s="2" t="s">
        <v>428</v>
      </c>
      <c r="D138" s="2" t="s">
        <v>87</v>
      </c>
      <c r="E138" s="13" t="n">
        <v>236000</v>
      </c>
      <c r="F138" s="13" t="n">
        <v>169920</v>
      </c>
      <c r="G138" s="13" t="n">
        <v>113846.4</v>
      </c>
      <c r="H138" s="13" t="n">
        <v>52148.45</v>
      </c>
      <c r="I138" s="19" t="n">
        <f aca="false">MATCH(B138,Assumptions!$H$4:$H$6,0)</f>
        <v>3</v>
      </c>
      <c r="J138" s="19" t="n">
        <f aca="false">INDEX(Assumptions!$I$4:$I$6,I138)</f>
        <v>1.06</v>
      </c>
      <c r="K138" s="19" t="n">
        <f aca="false">VLOOKUP(B138,Assumptions!$H$4:$J$6,3,FALSE())</f>
        <v>1.18</v>
      </c>
      <c r="L138" s="19" t="n">
        <f aca="false">ABS(F138-G138)</f>
        <v>56073.6</v>
      </c>
    </row>
    <row r="139" customFormat="false" ht="15" hidden="false" customHeight="false" outlineLevel="0" collapsed="false">
      <c r="A139" s="2" t="s">
        <v>239</v>
      </c>
      <c r="B139" s="2" t="s">
        <v>61</v>
      </c>
      <c r="C139" s="2" t="s">
        <v>426</v>
      </c>
      <c r="D139" s="2" t="s">
        <v>87</v>
      </c>
      <c r="E139" s="13" t="n">
        <v>213000</v>
      </c>
      <c r="F139" s="13" t="n">
        <v>123540</v>
      </c>
      <c r="G139" s="13" t="n">
        <v>88948.8</v>
      </c>
      <c r="H139" s="13" t="n">
        <v>33553.46</v>
      </c>
      <c r="I139" s="19" t="n">
        <f aca="false">MATCH(B139,Assumptions!$H$4:$H$6,0)</f>
        <v>1</v>
      </c>
      <c r="J139" s="19" t="n">
        <f aca="false">INDEX(Assumptions!$I$4:$I$6,I139)</f>
        <v>1.02</v>
      </c>
      <c r="K139" s="19" t="n">
        <f aca="false">VLOOKUP(B139,Assumptions!$H$4:$J$6,3,FALSE())</f>
        <v>1.12</v>
      </c>
      <c r="L139" s="19" t="n">
        <f aca="false">ABS(F139-G139)</f>
        <v>34591.2</v>
      </c>
    </row>
    <row r="140" customFormat="false" ht="15" hidden="false" customHeight="false" outlineLevel="0" collapsed="false">
      <c r="A140" s="2" t="s">
        <v>240</v>
      </c>
      <c r="B140" s="2" t="s">
        <v>65</v>
      </c>
      <c r="C140" s="2" t="s">
        <v>427</v>
      </c>
      <c r="D140" s="2" t="s">
        <v>87</v>
      </c>
      <c r="E140" s="13" t="n">
        <v>135000</v>
      </c>
      <c r="F140" s="13" t="n">
        <v>89100</v>
      </c>
      <c r="G140" s="13" t="n">
        <v>67716</v>
      </c>
      <c r="H140" s="13" t="n">
        <v>19673.28</v>
      </c>
      <c r="I140" s="19" t="n">
        <f aca="false">MATCH(B140,Assumptions!$H$4:$H$6,0)</f>
        <v>2</v>
      </c>
      <c r="J140" s="19" t="n">
        <f aca="false">INDEX(Assumptions!$I$4:$I$6,I140)</f>
        <v>1.04</v>
      </c>
      <c r="K140" s="19" t="n">
        <f aca="false">VLOOKUP(B140,Assumptions!$H$4:$J$6,3,FALSE())</f>
        <v>1.15</v>
      </c>
      <c r="L140" s="19" t="n">
        <f aca="false">ABS(F140-G140)</f>
        <v>21384</v>
      </c>
    </row>
    <row r="141" customFormat="false" ht="15" hidden="false" customHeight="false" outlineLevel="0" collapsed="false">
      <c r="A141" s="2" t="s">
        <v>241</v>
      </c>
      <c r="B141" s="2" t="s">
        <v>69</v>
      </c>
      <c r="C141" s="2" t="s">
        <v>428</v>
      </c>
      <c r="D141" s="2" t="s">
        <v>87</v>
      </c>
      <c r="E141" s="13" t="n">
        <v>246000</v>
      </c>
      <c r="F141" s="13" t="n">
        <v>177120</v>
      </c>
      <c r="G141" s="13" t="n">
        <v>127526.4</v>
      </c>
      <c r="H141" s="13" t="n">
        <v>47113.92</v>
      </c>
      <c r="I141" s="19" t="n">
        <f aca="false">MATCH(B141,Assumptions!$H$4:$H$6,0)</f>
        <v>3</v>
      </c>
      <c r="J141" s="19" t="n">
        <f aca="false">INDEX(Assumptions!$I$4:$I$6,I141)</f>
        <v>1.06</v>
      </c>
      <c r="K141" s="19" t="n">
        <f aca="false">VLOOKUP(B141,Assumptions!$H$4:$J$6,3,FALSE())</f>
        <v>1.18</v>
      </c>
      <c r="L141" s="19" t="n">
        <f aca="false">ABS(F141-G141)</f>
        <v>49593.6</v>
      </c>
    </row>
    <row r="142" customFormat="false" ht="15" hidden="false" customHeight="false" outlineLevel="0" collapsed="false">
      <c r="A142" s="2" t="s">
        <v>242</v>
      </c>
      <c r="B142" s="2" t="s">
        <v>61</v>
      </c>
      <c r="C142" s="2" t="s">
        <v>426</v>
      </c>
      <c r="D142" s="2" t="s">
        <v>87</v>
      </c>
      <c r="E142" s="13" t="n">
        <v>130000</v>
      </c>
      <c r="F142" s="13" t="n">
        <v>75400</v>
      </c>
      <c r="G142" s="13" t="n">
        <v>40716</v>
      </c>
      <c r="H142" s="13" t="n">
        <v>31562.44</v>
      </c>
      <c r="I142" s="19" t="n">
        <f aca="false">MATCH(B142,Assumptions!$H$4:$H$6,0)</f>
        <v>1</v>
      </c>
      <c r="J142" s="19" t="n">
        <f aca="false">INDEX(Assumptions!$I$4:$I$6,I142)</f>
        <v>1.02</v>
      </c>
      <c r="K142" s="19" t="n">
        <f aca="false">VLOOKUP(B142,Assumptions!$H$4:$J$6,3,FALSE())</f>
        <v>1.12</v>
      </c>
      <c r="L142" s="19" t="n">
        <f aca="false">ABS(F142-G142)</f>
        <v>34684</v>
      </c>
    </row>
    <row r="143" customFormat="false" ht="15" hidden="false" customHeight="false" outlineLevel="0" collapsed="false">
      <c r="A143" s="2" t="s">
        <v>243</v>
      </c>
      <c r="B143" s="2" t="s">
        <v>65</v>
      </c>
      <c r="C143" s="2" t="s">
        <v>427</v>
      </c>
      <c r="D143" s="2" t="s">
        <v>87</v>
      </c>
      <c r="E143" s="13" t="n">
        <v>229000</v>
      </c>
      <c r="F143" s="13" t="n">
        <v>151140</v>
      </c>
      <c r="G143" s="13" t="n">
        <v>113355</v>
      </c>
      <c r="H143" s="13" t="n">
        <v>34762.2</v>
      </c>
      <c r="I143" s="19" t="n">
        <f aca="false">MATCH(B143,Assumptions!$H$4:$H$6,0)</f>
        <v>2</v>
      </c>
      <c r="J143" s="19" t="n">
        <f aca="false">INDEX(Assumptions!$I$4:$I$6,I143)</f>
        <v>1.04</v>
      </c>
      <c r="K143" s="19" t="n">
        <f aca="false">VLOOKUP(B143,Assumptions!$H$4:$J$6,3,FALSE())</f>
        <v>1.15</v>
      </c>
      <c r="L143" s="19" t="n">
        <f aca="false">ABS(F143-G143)</f>
        <v>37785</v>
      </c>
    </row>
    <row r="144" customFormat="false" ht="15" hidden="false" customHeight="false" outlineLevel="0" collapsed="false">
      <c r="A144" s="2" t="s">
        <v>244</v>
      </c>
      <c r="B144" s="2" t="s">
        <v>69</v>
      </c>
      <c r="C144" s="2" t="s">
        <v>428</v>
      </c>
      <c r="D144" s="2" t="s">
        <v>87</v>
      </c>
      <c r="E144" s="13" t="n">
        <v>250000</v>
      </c>
      <c r="F144" s="13" t="n">
        <v>180000</v>
      </c>
      <c r="G144" s="13" t="n">
        <v>140400</v>
      </c>
      <c r="H144" s="13" t="n">
        <v>37224</v>
      </c>
      <c r="I144" s="19" t="n">
        <f aca="false">MATCH(B144,Assumptions!$H$4:$H$6,0)</f>
        <v>3</v>
      </c>
      <c r="J144" s="19" t="n">
        <f aca="false">INDEX(Assumptions!$I$4:$I$6,I144)</f>
        <v>1.06</v>
      </c>
      <c r="K144" s="19" t="n">
        <f aca="false">VLOOKUP(B144,Assumptions!$H$4:$J$6,3,FALSE())</f>
        <v>1.18</v>
      </c>
      <c r="L144" s="19" t="n">
        <f aca="false">ABS(F144-G144)</f>
        <v>39600</v>
      </c>
    </row>
    <row r="145" customFormat="false" ht="15" hidden="false" customHeight="false" outlineLevel="0" collapsed="false">
      <c r="A145" s="2" t="s">
        <v>245</v>
      </c>
      <c r="B145" s="2" t="s">
        <v>61</v>
      </c>
      <c r="C145" s="2" t="s">
        <v>426</v>
      </c>
      <c r="D145" s="2" t="s">
        <v>87</v>
      </c>
      <c r="E145" s="13" t="n">
        <v>241000</v>
      </c>
      <c r="F145" s="13" t="n">
        <v>139780</v>
      </c>
      <c r="G145" s="13" t="n">
        <v>110426.2</v>
      </c>
      <c r="H145" s="13" t="n">
        <v>29353.8</v>
      </c>
      <c r="I145" s="19" t="n">
        <f aca="false">MATCH(B145,Assumptions!$H$4:$H$6,0)</f>
        <v>1</v>
      </c>
      <c r="J145" s="19" t="n">
        <f aca="false">INDEX(Assumptions!$I$4:$I$6,I145)</f>
        <v>1.02</v>
      </c>
      <c r="K145" s="19" t="n">
        <f aca="false">VLOOKUP(B145,Assumptions!$H$4:$J$6,3,FALSE())</f>
        <v>1.12</v>
      </c>
      <c r="L145" s="19" t="n">
        <f aca="false">ABS(F145-G145)</f>
        <v>29353.8</v>
      </c>
    </row>
    <row r="146" customFormat="false" ht="15" hidden="false" customHeight="false" outlineLevel="0" collapsed="false">
      <c r="A146" s="2" t="s">
        <v>246</v>
      </c>
      <c r="B146" s="2" t="s">
        <v>65</v>
      </c>
      <c r="C146" s="2" t="s">
        <v>427</v>
      </c>
      <c r="D146" s="2" t="s">
        <v>87</v>
      </c>
      <c r="E146" s="13" t="n">
        <v>102000</v>
      </c>
      <c r="F146" s="13" t="n">
        <v>67320</v>
      </c>
      <c r="G146" s="13" t="n">
        <v>36352.8</v>
      </c>
      <c r="H146" s="13" t="n">
        <v>30038.18</v>
      </c>
      <c r="I146" s="19" t="n">
        <f aca="false">MATCH(B146,Assumptions!$H$4:$H$6,0)</f>
        <v>2</v>
      </c>
      <c r="J146" s="19" t="n">
        <f aca="false">INDEX(Assumptions!$I$4:$I$6,I146)</f>
        <v>1.04</v>
      </c>
      <c r="K146" s="19" t="n">
        <f aca="false">VLOOKUP(B146,Assumptions!$H$4:$J$6,3,FALSE())</f>
        <v>1.15</v>
      </c>
      <c r="L146" s="19" t="n">
        <f aca="false">ABS(F146-G146)</f>
        <v>30967.2</v>
      </c>
    </row>
    <row r="147" customFormat="false" ht="15" hidden="false" customHeight="false" outlineLevel="0" collapsed="false">
      <c r="A147" s="2" t="s">
        <v>247</v>
      </c>
      <c r="B147" s="2" t="s">
        <v>69</v>
      </c>
      <c r="C147" s="2" t="s">
        <v>428</v>
      </c>
      <c r="D147" s="2" t="s">
        <v>87</v>
      </c>
      <c r="E147" s="13" t="n">
        <v>139000</v>
      </c>
      <c r="F147" s="13" t="n">
        <v>100080</v>
      </c>
      <c r="G147" s="13" t="n">
        <v>73058.4</v>
      </c>
      <c r="H147" s="13" t="n">
        <v>26751.38</v>
      </c>
      <c r="I147" s="19" t="n">
        <f aca="false">MATCH(B147,Assumptions!$H$4:$H$6,0)</f>
        <v>3</v>
      </c>
      <c r="J147" s="19" t="n">
        <f aca="false">INDEX(Assumptions!$I$4:$I$6,I147)</f>
        <v>1.06</v>
      </c>
      <c r="K147" s="19" t="n">
        <f aca="false">VLOOKUP(B147,Assumptions!$H$4:$J$6,3,FALSE())</f>
        <v>1.18</v>
      </c>
      <c r="L147" s="19" t="n">
        <f aca="false">ABS(F147-G147)</f>
        <v>27021.6</v>
      </c>
    </row>
    <row r="148" customFormat="false" ht="15" hidden="false" customHeight="false" outlineLevel="0" collapsed="false">
      <c r="A148" s="2" t="s">
        <v>248</v>
      </c>
      <c r="B148" s="2" t="s">
        <v>61</v>
      </c>
      <c r="C148" s="2" t="s">
        <v>426</v>
      </c>
      <c r="D148" s="2" t="s">
        <v>87</v>
      </c>
      <c r="E148" s="13" t="n">
        <v>106000</v>
      </c>
      <c r="F148" s="13" t="n">
        <v>61480</v>
      </c>
      <c r="G148" s="13" t="n">
        <v>31969.6</v>
      </c>
      <c r="H148" s="13" t="n">
        <v>29215.3</v>
      </c>
      <c r="I148" s="19" t="n">
        <f aca="false">MATCH(B148,Assumptions!$H$4:$H$6,0)</f>
        <v>1</v>
      </c>
      <c r="J148" s="19" t="n">
        <f aca="false">INDEX(Assumptions!$I$4:$I$6,I148)</f>
        <v>1.02</v>
      </c>
      <c r="K148" s="19" t="n">
        <f aca="false">VLOOKUP(B148,Assumptions!$H$4:$J$6,3,FALSE())</f>
        <v>1.12</v>
      </c>
      <c r="L148" s="19" t="n">
        <f aca="false">ABS(F148-G148)</f>
        <v>29510.4</v>
      </c>
    </row>
    <row r="149" customFormat="false" ht="15" hidden="false" customHeight="false" outlineLevel="0" collapsed="false">
      <c r="A149" s="2" t="s">
        <v>249</v>
      </c>
      <c r="B149" s="2" t="s">
        <v>65</v>
      </c>
      <c r="C149" s="2" t="s">
        <v>427</v>
      </c>
      <c r="D149" s="2" t="s">
        <v>87</v>
      </c>
      <c r="E149" s="13" t="n">
        <v>148000</v>
      </c>
      <c r="F149" s="13" t="n">
        <v>97680</v>
      </c>
      <c r="G149" s="13" t="n">
        <v>75213.6</v>
      </c>
      <c r="H149" s="13" t="n">
        <v>20219.76</v>
      </c>
      <c r="I149" s="19" t="n">
        <f aca="false">MATCH(B149,Assumptions!$H$4:$H$6,0)</f>
        <v>2</v>
      </c>
      <c r="J149" s="19" t="n">
        <f aca="false">INDEX(Assumptions!$I$4:$I$6,I149)</f>
        <v>1.04</v>
      </c>
      <c r="K149" s="19" t="n">
        <f aca="false">VLOOKUP(B149,Assumptions!$H$4:$J$6,3,FALSE())</f>
        <v>1.15</v>
      </c>
      <c r="L149" s="19" t="n">
        <f aca="false">ABS(F149-G149)</f>
        <v>22466.4</v>
      </c>
    </row>
    <row r="150" customFormat="false" ht="15" hidden="false" customHeight="false" outlineLevel="0" collapsed="false">
      <c r="A150" s="2" t="s">
        <v>250</v>
      </c>
      <c r="B150" s="2" t="s">
        <v>69</v>
      </c>
      <c r="C150" s="2" t="s">
        <v>428</v>
      </c>
      <c r="D150" s="2" t="s">
        <v>87</v>
      </c>
      <c r="E150" s="13" t="n">
        <v>103000</v>
      </c>
      <c r="F150" s="13" t="n">
        <v>74160</v>
      </c>
      <c r="G150" s="13" t="n">
        <v>54878.4</v>
      </c>
      <c r="H150" s="13" t="n">
        <v>17931.89</v>
      </c>
      <c r="I150" s="19" t="n">
        <f aca="false">MATCH(B150,Assumptions!$H$4:$H$6,0)</f>
        <v>3</v>
      </c>
      <c r="J150" s="19" t="n">
        <f aca="false">INDEX(Assumptions!$I$4:$I$6,I150)</f>
        <v>1.06</v>
      </c>
      <c r="K150" s="19" t="n">
        <f aca="false">VLOOKUP(B150,Assumptions!$H$4:$J$6,3,FALSE())</f>
        <v>1.18</v>
      </c>
      <c r="L150" s="19" t="n">
        <f aca="false">ABS(F150-G150)</f>
        <v>19281.6</v>
      </c>
    </row>
    <row r="151" customFormat="false" ht="15" hidden="false" customHeight="false" outlineLevel="0" collapsed="false">
      <c r="A151" s="2" t="s">
        <v>251</v>
      </c>
      <c r="B151" s="2" t="s">
        <v>61</v>
      </c>
      <c r="C151" s="2" t="s">
        <v>426</v>
      </c>
      <c r="D151" s="2" t="s">
        <v>87</v>
      </c>
      <c r="E151" s="13" t="n">
        <v>146000</v>
      </c>
      <c r="F151" s="13" t="n">
        <v>84680</v>
      </c>
      <c r="G151" s="13" t="n">
        <v>53348.4</v>
      </c>
      <c r="H151" s="13" t="n">
        <v>29765.02</v>
      </c>
      <c r="I151" s="19" t="n">
        <f aca="false">MATCH(B151,Assumptions!$H$4:$H$6,0)</f>
        <v>1</v>
      </c>
      <c r="J151" s="19" t="n">
        <f aca="false">INDEX(Assumptions!$I$4:$I$6,I151)</f>
        <v>1.02</v>
      </c>
      <c r="K151" s="19" t="n">
        <f aca="false">VLOOKUP(B151,Assumptions!$H$4:$J$6,3,FALSE())</f>
        <v>1.12</v>
      </c>
      <c r="L151" s="19" t="n">
        <f aca="false">ABS(F151-G151)</f>
        <v>31331.6</v>
      </c>
    </row>
    <row r="152" customFormat="false" ht="15" hidden="false" customHeight="false" outlineLevel="0" collapsed="false">
      <c r="A152" s="2" t="s">
        <v>252</v>
      </c>
      <c r="B152" s="2" t="s">
        <v>65</v>
      </c>
      <c r="C152" s="2" t="s">
        <v>427</v>
      </c>
      <c r="D152" s="2" t="s">
        <v>87</v>
      </c>
      <c r="E152" s="13" t="n">
        <v>236000</v>
      </c>
      <c r="F152" s="13" t="n">
        <v>155760</v>
      </c>
      <c r="G152" s="13" t="n">
        <v>113704.8</v>
      </c>
      <c r="H152" s="13" t="n">
        <v>40372.99</v>
      </c>
      <c r="I152" s="19" t="n">
        <f aca="false">MATCH(B152,Assumptions!$H$4:$H$6,0)</f>
        <v>2</v>
      </c>
      <c r="J152" s="19" t="n">
        <f aca="false">INDEX(Assumptions!$I$4:$I$6,I152)</f>
        <v>1.04</v>
      </c>
      <c r="K152" s="19" t="n">
        <f aca="false">VLOOKUP(B152,Assumptions!$H$4:$J$6,3,FALSE())</f>
        <v>1.15</v>
      </c>
      <c r="L152" s="19" t="n">
        <f aca="false">ABS(F152-G152)</f>
        <v>42055.2</v>
      </c>
    </row>
    <row r="153" customFormat="false" ht="15" hidden="false" customHeight="false" outlineLevel="0" collapsed="false">
      <c r="A153" s="2" t="s">
        <v>253</v>
      </c>
      <c r="B153" s="2" t="s">
        <v>69</v>
      </c>
      <c r="C153" s="2" t="s">
        <v>428</v>
      </c>
      <c r="D153" s="2" t="s">
        <v>87</v>
      </c>
      <c r="E153" s="13" t="n">
        <v>128000</v>
      </c>
      <c r="F153" s="13" t="n">
        <v>92160</v>
      </c>
      <c r="G153" s="13" t="n">
        <v>61747.2</v>
      </c>
      <c r="H153" s="13" t="n">
        <v>28588.03</v>
      </c>
      <c r="I153" s="19" t="n">
        <f aca="false">MATCH(B153,Assumptions!$H$4:$H$6,0)</f>
        <v>3</v>
      </c>
      <c r="J153" s="19" t="n">
        <f aca="false">INDEX(Assumptions!$I$4:$I$6,I153)</f>
        <v>1.06</v>
      </c>
      <c r="K153" s="19" t="n">
        <f aca="false">VLOOKUP(B153,Assumptions!$H$4:$J$6,3,FALSE())</f>
        <v>1.18</v>
      </c>
      <c r="L153" s="19" t="n">
        <f aca="false">ABS(F153-G153)</f>
        <v>30412.8</v>
      </c>
    </row>
    <row r="154" customFormat="false" ht="15" hidden="false" customHeight="false" outlineLevel="0" collapsed="false">
      <c r="A154" s="2" t="s">
        <v>254</v>
      </c>
      <c r="B154" s="2" t="s">
        <v>61</v>
      </c>
      <c r="C154" s="2" t="s">
        <v>426</v>
      </c>
      <c r="D154" s="2" t="s">
        <v>87</v>
      </c>
      <c r="E154" s="13" t="n">
        <v>249000</v>
      </c>
      <c r="F154" s="13" t="n">
        <v>144420</v>
      </c>
      <c r="G154" s="13" t="n">
        <v>89540.4</v>
      </c>
      <c r="H154" s="13" t="n">
        <v>53233.21</v>
      </c>
      <c r="I154" s="19" t="n">
        <f aca="false">MATCH(B154,Assumptions!$H$4:$H$6,0)</f>
        <v>1</v>
      </c>
      <c r="J154" s="19" t="n">
        <f aca="false">INDEX(Assumptions!$I$4:$I$6,I154)</f>
        <v>1.02</v>
      </c>
      <c r="K154" s="19" t="n">
        <f aca="false">VLOOKUP(B154,Assumptions!$H$4:$J$6,3,FALSE())</f>
        <v>1.12</v>
      </c>
      <c r="L154" s="19" t="n">
        <f aca="false">ABS(F154-G154)</f>
        <v>54879.6</v>
      </c>
    </row>
    <row r="155" customFormat="false" ht="15" hidden="false" customHeight="false" outlineLevel="0" collapsed="false">
      <c r="A155" s="2" t="s">
        <v>255</v>
      </c>
      <c r="B155" s="2" t="s">
        <v>65</v>
      </c>
      <c r="C155" s="2" t="s">
        <v>427</v>
      </c>
      <c r="D155" s="2" t="s">
        <v>429</v>
      </c>
      <c r="E155" s="13" t="n">
        <v>124000</v>
      </c>
      <c r="F155" s="13" t="n">
        <v>81840</v>
      </c>
      <c r="G155" s="13" t="n">
        <v>57288</v>
      </c>
      <c r="H155" s="13" t="n">
        <v>22833.36</v>
      </c>
      <c r="I155" s="19" t="n">
        <f aca="false">MATCH(B155,Assumptions!$H$4:$H$6,0)</f>
        <v>2</v>
      </c>
      <c r="J155" s="19" t="n">
        <f aca="false">INDEX(Assumptions!$I$4:$I$6,I155)</f>
        <v>1.04</v>
      </c>
      <c r="K155" s="19" t="n">
        <f aca="false">VLOOKUP(B155,Assumptions!$H$4:$J$6,3,FALSE())</f>
        <v>1.15</v>
      </c>
      <c r="L155" s="19" t="n">
        <f aca="false">ABS(F155-G155)</f>
        <v>24552</v>
      </c>
    </row>
    <row r="156" customFormat="false" ht="15" hidden="false" customHeight="false" outlineLevel="0" collapsed="false">
      <c r="A156" s="2" t="s">
        <v>256</v>
      </c>
      <c r="B156" s="2" t="s">
        <v>69</v>
      </c>
      <c r="C156" s="2" t="s">
        <v>428</v>
      </c>
      <c r="D156" s="2" t="s">
        <v>87</v>
      </c>
      <c r="E156" s="13" t="n">
        <v>169000</v>
      </c>
      <c r="F156" s="13" t="n">
        <v>121680</v>
      </c>
      <c r="G156" s="13" t="n">
        <v>69357.6</v>
      </c>
      <c r="H156" s="13" t="n">
        <v>50229.5</v>
      </c>
      <c r="I156" s="19" t="n">
        <f aca="false">MATCH(B156,Assumptions!$H$4:$H$6,0)</f>
        <v>3</v>
      </c>
      <c r="J156" s="19" t="n">
        <f aca="false">INDEX(Assumptions!$I$4:$I$6,I156)</f>
        <v>1.06</v>
      </c>
      <c r="K156" s="19" t="n">
        <f aca="false">VLOOKUP(B156,Assumptions!$H$4:$J$6,3,FALSE())</f>
        <v>1.18</v>
      </c>
      <c r="L156" s="19" t="n">
        <f aca="false">ABS(F156-G156)</f>
        <v>52322.4</v>
      </c>
    </row>
    <row r="157" customFormat="false" ht="15" hidden="false" customHeight="false" outlineLevel="0" collapsed="false">
      <c r="A157" s="2" t="s">
        <v>257</v>
      </c>
      <c r="B157" s="2" t="s">
        <v>61</v>
      </c>
      <c r="C157" s="2" t="s">
        <v>426</v>
      </c>
      <c r="D157" s="2" t="s">
        <v>87</v>
      </c>
      <c r="E157" s="13" t="n">
        <v>120000</v>
      </c>
      <c r="F157" s="13" t="n">
        <v>69600</v>
      </c>
      <c r="G157" s="13" t="n">
        <v>51504</v>
      </c>
      <c r="H157" s="13" t="n">
        <v>16467.36</v>
      </c>
      <c r="I157" s="19" t="n">
        <f aca="false">MATCH(B157,Assumptions!$H$4:$H$6,0)</f>
        <v>1</v>
      </c>
      <c r="J157" s="19" t="n">
        <f aca="false">INDEX(Assumptions!$I$4:$I$6,I157)</f>
        <v>1.02</v>
      </c>
      <c r="K157" s="19" t="n">
        <f aca="false">VLOOKUP(B157,Assumptions!$H$4:$J$6,3,FALSE())</f>
        <v>1.12</v>
      </c>
      <c r="L157" s="19" t="n">
        <f aca="false">ABS(F157-G157)</f>
        <v>18096</v>
      </c>
    </row>
    <row r="158" customFormat="false" ht="15" hidden="false" customHeight="false" outlineLevel="0" collapsed="false">
      <c r="A158" s="2" t="s">
        <v>258</v>
      </c>
      <c r="B158" s="2" t="s">
        <v>65</v>
      </c>
      <c r="C158" s="2" t="s">
        <v>427</v>
      </c>
      <c r="D158" s="2" t="s">
        <v>87</v>
      </c>
      <c r="E158" s="13" t="n">
        <v>135000</v>
      </c>
      <c r="F158" s="13" t="n">
        <v>89100</v>
      </c>
      <c r="G158" s="13" t="n">
        <v>69498</v>
      </c>
      <c r="H158" s="13" t="n">
        <v>18621.9</v>
      </c>
      <c r="I158" s="19" t="n">
        <f aca="false">MATCH(B158,Assumptions!$H$4:$H$6,0)</f>
        <v>2</v>
      </c>
      <c r="J158" s="19" t="n">
        <f aca="false">INDEX(Assumptions!$I$4:$I$6,I158)</f>
        <v>1.04</v>
      </c>
      <c r="K158" s="19" t="n">
        <f aca="false">VLOOKUP(B158,Assumptions!$H$4:$J$6,3,FALSE())</f>
        <v>1.15</v>
      </c>
      <c r="L158" s="19" t="n">
        <f aca="false">ABS(F158-G158)</f>
        <v>19602</v>
      </c>
    </row>
    <row r="159" customFormat="false" ht="15" hidden="false" customHeight="false" outlineLevel="0" collapsed="false">
      <c r="A159" s="2" t="s">
        <v>259</v>
      </c>
      <c r="B159" s="2" t="s">
        <v>69</v>
      </c>
      <c r="C159" s="2" t="s">
        <v>428</v>
      </c>
      <c r="D159" s="2" t="s">
        <v>87</v>
      </c>
      <c r="E159" s="13" t="n">
        <v>241000</v>
      </c>
      <c r="F159" s="13" t="n">
        <v>173520</v>
      </c>
      <c r="G159" s="13" t="n">
        <v>105847.2</v>
      </c>
      <c r="H159" s="13" t="n">
        <v>60905.52</v>
      </c>
      <c r="I159" s="19" t="n">
        <f aca="false">MATCH(B159,Assumptions!$H$4:$H$6,0)</f>
        <v>3</v>
      </c>
      <c r="J159" s="19" t="n">
        <f aca="false">INDEX(Assumptions!$I$4:$I$6,I159)</f>
        <v>1.06</v>
      </c>
      <c r="K159" s="19" t="n">
        <f aca="false">VLOOKUP(B159,Assumptions!$H$4:$J$6,3,FALSE())</f>
        <v>1.18</v>
      </c>
      <c r="L159" s="19" t="n">
        <f aca="false">ABS(F159-G159)</f>
        <v>67672.8</v>
      </c>
    </row>
    <row r="160" customFormat="false" ht="15" hidden="false" customHeight="false" outlineLevel="0" collapsed="false">
      <c r="A160" s="2" t="s">
        <v>260</v>
      </c>
      <c r="B160" s="2" t="s">
        <v>61</v>
      </c>
      <c r="C160" s="2" t="s">
        <v>426</v>
      </c>
      <c r="D160" s="2" t="s">
        <v>87</v>
      </c>
      <c r="E160" s="13" t="n">
        <v>87000</v>
      </c>
      <c r="F160" s="13" t="n">
        <v>50460</v>
      </c>
      <c r="G160" s="13" t="n">
        <v>26743.8</v>
      </c>
      <c r="H160" s="13" t="n">
        <v>21581.74</v>
      </c>
      <c r="I160" s="19" t="n">
        <f aca="false">MATCH(B160,Assumptions!$H$4:$H$6,0)</f>
        <v>1</v>
      </c>
      <c r="J160" s="19" t="n">
        <f aca="false">INDEX(Assumptions!$I$4:$I$6,I160)</f>
        <v>1.02</v>
      </c>
      <c r="K160" s="19" t="n">
        <f aca="false">VLOOKUP(B160,Assumptions!$H$4:$J$6,3,FALSE())</f>
        <v>1.12</v>
      </c>
      <c r="L160" s="19" t="n">
        <f aca="false">ABS(F160-G160)</f>
        <v>23716.2</v>
      </c>
    </row>
    <row r="161" customFormat="false" ht="15" hidden="false" customHeight="false" outlineLevel="0" collapsed="false">
      <c r="A161" s="2" t="s">
        <v>261</v>
      </c>
      <c r="B161" s="2" t="s">
        <v>65</v>
      </c>
      <c r="C161" s="2" t="s">
        <v>427</v>
      </c>
      <c r="D161" s="2" t="s">
        <v>87</v>
      </c>
      <c r="E161" s="13" t="n">
        <v>84000</v>
      </c>
      <c r="F161" s="13" t="n">
        <v>55440</v>
      </c>
      <c r="G161" s="13" t="n">
        <v>33818.4</v>
      </c>
      <c r="H161" s="13" t="n">
        <v>20756.74</v>
      </c>
      <c r="I161" s="19" t="n">
        <f aca="false">MATCH(B161,Assumptions!$H$4:$H$6,0)</f>
        <v>2</v>
      </c>
      <c r="J161" s="19" t="n">
        <f aca="false">INDEX(Assumptions!$I$4:$I$6,I161)</f>
        <v>1.04</v>
      </c>
      <c r="K161" s="19" t="n">
        <f aca="false">VLOOKUP(B161,Assumptions!$H$4:$J$6,3,FALSE())</f>
        <v>1.15</v>
      </c>
      <c r="L161" s="19" t="n">
        <f aca="false">ABS(F161-G161)</f>
        <v>21621.6</v>
      </c>
    </row>
    <row r="162" customFormat="false" ht="15" hidden="false" customHeight="false" outlineLevel="0" collapsed="false">
      <c r="A162" s="2" t="s">
        <v>262</v>
      </c>
      <c r="B162" s="2" t="s">
        <v>69</v>
      </c>
      <c r="C162" s="2" t="s">
        <v>428</v>
      </c>
      <c r="D162" s="2" t="s">
        <v>87</v>
      </c>
      <c r="E162" s="13" t="n">
        <v>98000</v>
      </c>
      <c r="F162" s="13" t="n">
        <v>70560</v>
      </c>
      <c r="G162" s="13" t="n">
        <v>42336</v>
      </c>
      <c r="H162" s="13" t="n">
        <v>25683.84</v>
      </c>
      <c r="I162" s="19" t="n">
        <f aca="false">MATCH(B162,Assumptions!$H$4:$H$6,0)</f>
        <v>3</v>
      </c>
      <c r="J162" s="19" t="n">
        <f aca="false">INDEX(Assumptions!$I$4:$I$6,I162)</f>
        <v>1.06</v>
      </c>
      <c r="K162" s="19" t="n">
        <f aca="false">VLOOKUP(B162,Assumptions!$H$4:$J$6,3,FALSE())</f>
        <v>1.18</v>
      </c>
      <c r="L162" s="19" t="n">
        <f aca="false">ABS(F162-G162)</f>
        <v>28224</v>
      </c>
    </row>
    <row r="163" customFormat="false" ht="15" hidden="false" customHeight="false" outlineLevel="0" collapsed="false">
      <c r="A163" s="2" t="s">
        <v>263</v>
      </c>
      <c r="B163" s="2" t="s">
        <v>61</v>
      </c>
      <c r="C163" s="2" t="s">
        <v>426</v>
      </c>
      <c r="D163" s="2" t="s">
        <v>87</v>
      </c>
      <c r="E163" s="13" t="n">
        <v>148000</v>
      </c>
      <c r="F163" s="13" t="n">
        <v>85840</v>
      </c>
      <c r="G163" s="13" t="n">
        <v>55796</v>
      </c>
      <c r="H163" s="13" t="n">
        <v>28541.8</v>
      </c>
      <c r="I163" s="19" t="n">
        <f aca="false">MATCH(B163,Assumptions!$H$4:$H$6,0)</f>
        <v>1</v>
      </c>
      <c r="J163" s="19" t="n">
        <f aca="false">INDEX(Assumptions!$I$4:$I$6,I163)</f>
        <v>1.02</v>
      </c>
      <c r="K163" s="19" t="n">
        <f aca="false">VLOOKUP(B163,Assumptions!$H$4:$J$6,3,FALSE())</f>
        <v>1.12</v>
      </c>
      <c r="L163" s="19" t="n">
        <f aca="false">ABS(F163-G163)</f>
        <v>30044</v>
      </c>
    </row>
    <row r="164" customFormat="false" ht="15" hidden="false" customHeight="false" outlineLevel="0" collapsed="false">
      <c r="A164" s="2" t="s">
        <v>264</v>
      </c>
      <c r="B164" s="2" t="s">
        <v>65</v>
      </c>
      <c r="C164" s="2" t="s">
        <v>427</v>
      </c>
      <c r="D164" s="2" t="s">
        <v>87</v>
      </c>
      <c r="E164" s="13" t="n">
        <v>187000</v>
      </c>
      <c r="F164" s="13" t="n">
        <v>123420</v>
      </c>
      <c r="G164" s="13" t="n">
        <v>87628.2</v>
      </c>
      <c r="H164" s="13" t="n">
        <v>34002.21</v>
      </c>
      <c r="I164" s="19" t="n">
        <f aca="false">MATCH(B164,Assumptions!$H$4:$H$6,0)</f>
        <v>2</v>
      </c>
      <c r="J164" s="19" t="n">
        <f aca="false">INDEX(Assumptions!$I$4:$I$6,I164)</f>
        <v>1.04</v>
      </c>
      <c r="K164" s="19" t="n">
        <f aca="false">VLOOKUP(B164,Assumptions!$H$4:$J$6,3,FALSE())</f>
        <v>1.15</v>
      </c>
      <c r="L164" s="19" t="n">
        <f aca="false">ABS(F164-G164)</f>
        <v>35791.8</v>
      </c>
    </row>
    <row r="165" customFormat="false" ht="15" hidden="false" customHeight="false" outlineLevel="0" collapsed="false">
      <c r="A165" s="2" t="s">
        <v>265</v>
      </c>
      <c r="B165" s="2" t="s">
        <v>69</v>
      </c>
      <c r="C165" s="2" t="s">
        <v>428</v>
      </c>
      <c r="D165" s="2" t="s">
        <v>87</v>
      </c>
      <c r="E165" s="13" t="n">
        <v>134000</v>
      </c>
      <c r="F165" s="13" t="n">
        <v>96480</v>
      </c>
      <c r="G165" s="13" t="n">
        <v>55958.4</v>
      </c>
      <c r="H165" s="13" t="n">
        <v>38090.3</v>
      </c>
      <c r="I165" s="19" t="n">
        <f aca="false">MATCH(B165,Assumptions!$H$4:$H$6,0)</f>
        <v>3</v>
      </c>
      <c r="J165" s="19" t="n">
        <f aca="false">INDEX(Assumptions!$I$4:$I$6,I165)</f>
        <v>1.06</v>
      </c>
      <c r="K165" s="19" t="n">
        <f aca="false">VLOOKUP(B165,Assumptions!$H$4:$J$6,3,FALSE())</f>
        <v>1.18</v>
      </c>
      <c r="L165" s="19" t="n">
        <f aca="false">ABS(F165-G165)</f>
        <v>40521.6</v>
      </c>
    </row>
    <row r="166" customFormat="false" ht="15" hidden="false" customHeight="false" outlineLevel="0" collapsed="false">
      <c r="A166" s="2" t="s">
        <v>266</v>
      </c>
      <c r="B166" s="2" t="s">
        <v>61</v>
      </c>
      <c r="C166" s="2" t="s">
        <v>426</v>
      </c>
      <c r="D166" s="2" t="s">
        <v>87</v>
      </c>
      <c r="E166" s="13" t="n">
        <v>113000</v>
      </c>
      <c r="F166" s="13" t="n">
        <v>65540</v>
      </c>
      <c r="G166" s="13" t="n">
        <v>36047</v>
      </c>
      <c r="H166" s="13" t="n">
        <v>28018.35</v>
      </c>
      <c r="I166" s="19" t="n">
        <f aca="false">MATCH(B166,Assumptions!$H$4:$H$6,0)</f>
        <v>1</v>
      </c>
      <c r="J166" s="19" t="n">
        <f aca="false">INDEX(Assumptions!$I$4:$I$6,I166)</f>
        <v>1.02</v>
      </c>
      <c r="K166" s="19" t="n">
        <f aca="false">VLOOKUP(B166,Assumptions!$H$4:$J$6,3,FALSE())</f>
        <v>1.12</v>
      </c>
      <c r="L166" s="19" t="n">
        <f aca="false">ABS(F166-G166)</f>
        <v>29493</v>
      </c>
    </row>
    <row r="167" customFormat="false" ht="15" hidden="false" customHeight="false" outlineLevel="0" collapsed="false">
      <c r="A167" s="2" t="s">
        <v>267</v>
      </c>
      <c r="B167" s="2" t="s">
        <v>65</v>
      </c>
      <c r="C167" s="2" t="s">
        <v>427</v>
      </c>
      <c r="D167" s="2" t="s">
        <v>87</v>
      </c>
      <c r="E167" s="13" t="n">
        <v>108000</v>
      </c>
      <c r="F167" s="13" t="n">
        <v>71280</v>
      </c>
      <c r="G167" s="13" t="n">
        <v>44906.4</v>
      </c>
      <c r="H167" s="13" t="n">
        <v>26373.6</v>
      </c>
      <c r="I167" s="19" t="n">
        <f aca="false">MATCH(B167,Assumptions!$H$4:$H$6,0)</f>
        <v>2</v>
      </c>
      <c r="J167" s="19" t="n">
        <f aca="false">INDEX(Assumptions!$I$4:$I$6,I167)</f>
        <v>1.04</v>
      </c>
      <c r="K167" s="19" t="n">
        <f aca="false">VLOOKUP(B167,Assumptions!$H$4:$J$6,3,FALSE())</f>
        <v>1.15</v>
      </c>
      <c r="L167" s="19" t="n">
        <f aca="false">ABS(F167-G167)</f>
        <v>26373.6</v>
      </c>
    </row>
    <row r="168" customFormat="false" ht="15" hidden="false" customHeight="false" outlineLevel="0" collapsed="false">
      <c r="A168" s="2" t="s">
        <v>268</v>
      </c>
      <c r="B168" s="2" t="s">
        <v>69</v>
      </c>
      <c r="C168" s="2" t="s">
        <v>428</v>
      </c>
      <c r="D168" s="2" t="s">
        <v>87</v>
      </c>
      <c r="E168" s="13" t="n">
        <v>241000</v>
      </c>
      <c r="F168" s="13" t="n">
        <v>173520</v>
      </c>
      <c r="G168" s="13" t="n">
        <v>112788</v>
      </c>
      <c r="H168" s="13" t="n">
        <v>55266.12</v>
      </c>
      <c r="I168" s="19" t="n">
        <f aca="false">MATCH(B168,Assumptions!$H$4:$H$6,0)</f>
        <v>3</v>
      </c>
      <c r="J168" s="19" t="n">
        <f aca="false">INDEX(Assumptions!$I$4:$I$6,I168)</f>
        <v>1.06</v>
      </c>
      <c r="K168" s="19" t="n">
        <f aca="false">VLOOKUP(B168,Assumptions!$H$4:$J$6,3,FALSE())</f>
        <v>1.18</v>
      </c>
      <c r="L168" s="19" t="n">
        <f aca="false">ABS(F168-G168)</f>
        <v>60732</v>
      </c>
    </row>
    <row r="169" customFormat="false" ht="15" hidden="false" customHeight="false" outlineLevel="0" collapsed="false">
      <c r="A169" s="2" t="s">
        <v>269</v>
      </c>
      <c r="B169" s="2" t="s">
        <v>61</v>
      </c>
      <c r="C169" s="2" t="s">
        <v>426</v>
      </c>
      <c r="D169" s="2" t="s">
        <v>87</v>
      </c>
      <c r="E169" s="13" t="n">
        <v>88000</v>
      </c>
      <c r="F169" s="13" t="n">
        <v>51040</v>
      </c>
      <c r="G169" s="13" t="n">
        <v>40832</v>
      </c>
      <c r="H169" s="13" t="n">
        <v>9697.6</v>
      </c>
      <c r="I169" s="19" t="n">
        <f aca="false">MATCH(B169,Assumptions!$H$4:$H$6,0)</f>
        <v>1</v>
      </c>
      <c r="J169" s="19" t="n">
        <f aca="false">INDEX(Assumptions!$I$4:$I$6,I169)</f>
        <v>1.02</v>
      </c>
      <c r="K169" s="19" t="n">
        <f aca="false">VLOOKUP(B169,Assumptions!$H$4:$J$6,3,FALSE())</f>
        <v>1.12</v>
      </c>
      <c r="L169" s="19" t="n">
        <f aca="false">ABS(F169-G169)</f>
        <v>10208</v>
      </c>
    </row>
    <row r="170" customFormat="false" ht="15" hidden="false" customHeight="false" outlineLevel="0" collapsed="false">
      <c r="A170" s="2" t="s">
        <v>270</v>
      </c>
      <c r="B170" s="2" t="s">
        <v>65</v>
      </c>
      <c r="C170" s="2" t="s">
        <v>427</v>
      </c>
      <c r="D170" s="2" t="s">
        <v>87</v>
      </c>
      <c r="E170" s="13" t="n">
        <v>207000</v>
      </c>
      <c r="F170" s="13" t="n">
        <v>136620</v>
      </c>
      <c r="G170" s="13" t="n">
        <v>98366.4</v>
      </c>
      <c r="H170" s="13" t="n">
        <v>34428.24</v>
      </c>
      <c r="I170" s="19" t="n">
        <f aca="false">MATCH(B170,Assumptions!$H$4:$H$6,0)</f>
        <v>2</v>
      </c>
      <c r="J170" s="19" t="n">
        <f aca="false">INDEX(Assumptions!$I$4:$I$6,I170)</f>
        <v>1.04</v>
      </c>
      <c r="K170" s="19" t="n">
        <f aca="false">VLOOKUP(B170,Assumptions!$H$4:$J$6,3,FALSE())</f>
        <v>1.15</v>
      </c>
      <c r="L170" s="19" t="n">
        <f aca="false">ABS(F170-G170)</f>
        <v>38253.6</v>
      </c>
    </row>
    <row r="171" customFormat="false" ht="15" hidden="false" customHeight="false" outlineLevel="0" collapsed="false">
      <c r="A171" s="2" t="s">
        <v>271</v>
      </c>
      <c r="B171" s="2" t="s">
        <v>69</v>
      </c>
      <c r="C171" s="2" t="s">
        <v>428</v>
      </c>
      <c r="D171" s="2" t="s">
        <v>87</v>
      </c>
      <c r="E171" s="13" t="n">
        <v>125000</v>
      </c>
      <c r="F171" s="13" t="n">
        <v>90000</v>
      </c>
      <c r="G171" s="13" t="n">
        <v>49500</v>
      </c>
      <c r="H171" s="13" t="n">
        <v>39690</v>
      </c>
      <c r="I171" s="19" t="n">
        <f aca="false">MATCH(B171,Assumptions!$H$4:$H$6,0)</f>
        <v>3</v>
      </c>
      <c r="J171" s="19" t="n">
        <f aca="false">INDEX(Assumptions!$I$4:$I$6,I171)</f>
        <v>1.06</v>
      </c>
      <c r="K171" s="19" t="n">
        <f aca="false">VLOOKUP(B171,Assumptions!$H$4:$J$6,3,FALSE())</f>
        <v>1.18</v>
      </c>
      <c r="L171" s="19" t="n">
        <f aca="false">ABS(F171-G171)</f>
        <v>40500</v>
      </c>
    </row>
    <row r="172" customFormat="false" ht="15" hidden="false" customHeight="false" outlineLevel="0" collapsed="false">
      <c r="A172" s="2" t="s">
        <v>272</v>
      </c>
      <c r="B172" s="2" t="s">
        <v>61</v>
      </c>
      <c r="C172" s="2" t="s">
        <v>426</v>
      </c>
      <c r="D172" s="2" t="s">
        <v>87</v>
      </c>
      <c r="E172" s="13" t="n">
        <v>121000</v>
      </c>
      <c r="F172" s="13" t="n">
        <v>70180</v>
      </c>
      <c r="G172" s="13" t="n">
        <v>53336.8</v>
      </c>
      <c r="H172" s="13" t="n">
        <v>15158.88</v>
      </c>
      <c r="I172" s="19" t="n">
        <f aca="false">MATCH(B172,Assumptions!$H$4:$H$6,0)</f>
        <v>1</v>
      </c>
      <c r="J172" s="19" t="n">
        <f aca="false">INDEX(Assumptions!$I$4:$I$6,I172)</f>
        <v>1.02</v>
      </c>
      <c r="K172" s="19" t="n">
        <f aca="false">VLOOKUP(B172,Assumptions!$H$4:$J$6,3,FALSE())</f>
        <v>1.12</v>
      </c>
      <c r="L172" s="19" t="n">
        <f aca="false">ABS(F172-G172)</f>
        <v>16843.2</v>
      </c>
    </row>
    <row r="173" customFormat="false" ht="15" hidden="false" customHeight="false" outlineLevel="0" collapsed="false">
      <c r="A173" s="2" t="s">
        <v>273</v>
      </c>
      <c r="B173" s="2" t="s">
        <v>65</v>
      </c>
      <c r="C173" s="2" t="s">
        <v>427</v>
      </c>
      <c r="D173" s="2" t="s">
        <v>87</v>
      </c>
      <c r="E173" s="13" t="n">
        <v>227000</v>
      </c>
      <c r="F173" s="13" t="n">
        <v>149820</v>
      </c>
      <c r="G173" s="13" t="n">
        <v>82401</v>
      </c>
      <c r="H173" s="13" t="n">
        <v>63373.86</v>
      </c>
      <c r="I173" s="19" t="n">
        <f aca="false">MATCH(B173,Assumptions!$H$4:$H$6,0)</f>
        <v>2</v>
      </c>
      <c r="J173" s="19" t="n">
        <f aca="false">INDEX(Assumptions!$I$4:$I$6,I173)</f>
        <v>1.04</v>
      </c>
      <c r="K173" s="19" t="n">
        <f aca="false">VLOOKUP(B173,Assumptions!$H$4:$J$6,3,FALSE())</f>
        <v>1.15</v>
      </c>
      <c r="L173" s="19" t="n">
        <f aca="false">ABS(F173-G173)</f>
        <v>67419</v>
      </c>
    </row>
    <row r="174" customFormat="false" ht="15" hidden="false" customHeight="false" outlineLevel="0" collapsed="false">
      <c r="A174" s="2" t="s">
        <v>274</v>
      </c>
      <c r="B174" s="2" t="s">
        <v>69</v>
      </c>
      <c r="C174" s="2" t="s">
        <v>428</v>
      </c>
      <c r="D174" s="2" t="s">
        <v>429</v>
      </c>
      <c r="E174" s="13" t="n">
        <v>167000</v>
      </c>
      <c r="F174" s="13" t="n">
        <v>120240</v>
      </c>
      <c r="G174" s="13" t="n">
        <v>86572.8</v>
      </c>
      <c r="H174" s="13" t="n">
        <v>33330.53</v>
      </c>
      <c r="I174" s="19" t="n">
        <f aca="false">MATCH(B174,Assumptions!$H$4:$H$6,0)</f>
        <v>3</v>
      </c>
      <c r="J174" s="19" t="n">
        <f aca="false">INDEX(Assumptions!$I$4:$I$6,I174)</f>
        <v>1.06</v>
      </c>
      <c r="K174" s="19" t="n">
        <f aca="false">VLOOKUP(B174,Assumptions!$H$4:$J$6,3,FALSE())</f>
        <v>1.18</v>
      </c>
      <c r="L174" s="19" t="n">
        <f aca="false">ABS(F174-G174)</f>
        <v>33667.2</v>
      </c>
    </row>
    <row r="175" customFormat="false" ht="15" hidden="false" customHeight="false" outlineLevel="0" collapsed="false">
      <c r="A175" s="2" t="s">
        <v>275</v>
      </c>
      <c r="B175" s="2" t="s">
        <v>61</v>
      </c>
      <c r="C175" s="2" t="s">
        <v>426</v>
      </c>
      <c r="D175" s="2" t="s">
        <v>87</v>
      </c>
      <c r="E175" s="13" t="n">
        <v>145000</v>
      </c>
      <c r="F175" s="13" t="n">
        <v>84100</v>
      </c>
      <c r="G175" s="13" t="n">
        <v>52142</v>
      </c>
      <c r="H175" s="13" t="n">
        <v>29401.36</v>
      </c>
      <c r="I175" s="19" t="n">
        <f aca="false">MATCH(B175,Assumptions!$H$4:$H$6,0)</f>
        <v>1</v>
      </c>
      <c r="J175" s="19" t="n">
        <f aca="false">INDEX(Assumptions!$I$4:$I$6,I175)</f>
        <v>1.02</v>
      </c>
      <c r="K175" s="19" t="n">
        <f aca="false">VLOOKUP(B175,Assumptions!$H$4:$J$6,3,FALSE())</f>
        <v>1.12</v>
      </c>
      <c r="L175" s="19" t="n">
        <f aca="false">ABS(F175-G175)</f>
        <v>31958</v>
      </c>
    </row>
    <row r="176" customFormat="false" ht="15" hidden="false" customHeight="false" outlineLevel="0" collapsed="false">
      <c r="A176" s="2" t="s">
        <v>276</v>
      </c>
      <c r="B176" s="2" t="s">
        <v>65</v>
      </c>
      <c r="C176" s="2" t="s">
        <v>427</v>
      </c>
      <c r="D176" s="2" t="s">
        <v>87</v>
      </c>
      <c r="E176" s="13" t="n">
        <v>219000</v>
      </c>
      <c r="F176" s="13" t="n">
        <v>144540</v>
      </c>
      <c r="G176" s="13" t="n">
        <v>89614.8</v>
      </c>
      <c r="H176" s="13" t="n">
        <v>50531.18</v>
      </c>
      <c r="I176" s="19" t="n">
        <f aca="false">MATCH(B176,Assumptions!$H$4:$H$6,0)</f>
        <v>2</v>
      </c>
      <c r="J176" s="19" t="n">
        <f aca="false">INDEX(Assumptions!$I$4:$I$6,I176)</f>
        <v>1.04</v>
      </c>
      <c r="K176" s="19" t="n">
        <f aca="false">VLOOKUP(B176,Assumptions!$H$4:$J$6,3,FALSE())</f>
        <v>1.15</v>
      </c>
      <c r="L176" s="19" t="n">
        <f aca="false">ABS(F176-G176)</f>
        <v>54925.2</v>
      </c>
    </row>
    <row r="177" customFormat="false" ht="15" hidden="false" customHeight="false" outlineLevel="0" collapsed="false">
      <c r="A177" s="2" t="s">
        <v>277</v>
      </c>
      <c r="B177" s="2" t="s">
        <v>69</v>
      </c>
      <c r="C177" s="2" t="s">
        <v>428</v>
      </c>
      <c r="D177" s="2" t="s">
        <v>87</v>
      </c>
      <c r="E177" s="13" t="n">
        <v>166000</v>
      </c>
      <c r="F177" s="13" t="n">
        <v>119520</v>
      </c>
      <c r="G177" s="13" t="n">
        <v>95616</v>
      </c>
      <c r="H177" s="13" t="n">
        <v>21752.64</v>
      </c>
      <c r="I177" s="19" t="n">
        <f aca="false">MATCH(B177,Assumptions!$H$4:$H$6,0)</f>
        <v>3</v>
      </c>
      <c r="J177" s="19" t="n">
        <f aca="false">INDEX(Assumptions!$I$4:$I$6,I177)</f>
        <v>1.06</v>
      </c>
      <c r="K177" s="19" t="n">
        <f aca="false">VLOOKUP(B177,Assumptions!$H$4:$J$6,3,FALSE())</f>
        <v>1.18</v>
      </c>
      <c r="L177" s="19" t="n">
        <f aca="false">ABS(F177-G177)</f>
        <v>23904</v>
      </c>
    </row>
    <row r="178" customFormat="false" ht="15" hidden="false" customHeight="false" outlineLevel="0" collapsed="false">
      <c r="A178" s="2" t="s">
        <v>278</v>
      </c>
      <c r="B178" s="2" t="s">
        <v>61</v>
      </c>
      <c r="C178" s="2" t="s">
        <v>426</v>
      </c>
      <c r="D178" s="2" t="s">
        <v>87</v>
      </c>
      <c r="E178" s="13" t="n">
        <v>69000</v>
      </c>
      <c r="F178" s="13" t="n">
        <v>40020</v>
      </c>
      <c r="G178" s="13" t="n">
        <v>29214.6</v>
      </c>
      <c r="H178" s="13" t="n">
        <v>9832.91</v>
      </c>
      <c r="I178" s="19" t="n">
        <f aca="false">MATCH(B178,Assumptions!$H$4:$H$6,0)</f>
        <v>1</v>
      </c>
      <c r="J178" s="19" t="n">
        <f aca="false">INDEX(Assumptions!$I$4:$I$6,I178)</f>
        <v>1.02</v>
      </c>
      <c r="K178" s="19" t="n">
        <f aca="false">VLOOKUP(B178,Assumptions!$H$4:$J$6,3,FALSE())</f>
        <v>1.12</v>
      </c>
      <c r="L178" s="19" t="n">
        <f aca="false">ABS(F178-G178)</f>
        <v>10805.4</v>
      </c>
    </row>
    <row r="179" customFormat="false" ht="15" hidden="false" customHeight="false" outlineLevel="0" collapsed="false">
      <c r="A179" s="2" t="s">
        <v>279</v>
      </c>
      <c r="B179" s="2" t="s">
        <v>65</v>
      </c>
      <c r="C179" s="2" t="s">
        <v>427</v>
      </c>
      <c r="D179" s="2" t="s">
        <v>87</v>
      </c>
      <c r="E179" s="13" t="n">
        <v>72000</v>
      </c>
      <c r="F179" s="13" t="n">
        <v>47520</v>
      </c>
      <c r="G179" s="13" t="n">
        <v>30888</v>
      </c>
      <c r="H179" s="13" t="n">
        <v>14968.8</v>
      </c>
      <c r="I179" s="19" t="n">
        <f aca="false">MATCH(B179,Assumptions!$H$4:$H$6,0)</f>
        <v>2</v>
      </c>
      <c r="J179" s="19" t="n">
        <f aca="false">INDEX(Assumptions!$I$4:$I$6,I179)</f>
        <v>1.04</v>
      </c>
      <c r="K179" s="19" t="n">
        <f aca="false">VLOOKUP(B179,Assumptions!$H$4:$J$6,3,FALSE())</f>
        <v>1.15</v>
      </c>
      <c r="L179" s="19" t="n">
        <f aca="false">ABS(F179-G179)</f>
        <v>16632</v>
      </c>
    </row>
    <row r="180" customFormat="false" ht="15" hidden="false" customHeight="false" outlineLevel="0" collapsed="false">
      <c r="A180" s="2" t="s">
        <v>280</v>
      </c>
      <c r="B180" s="2" t="s">
        <v>69</v>
      </c>
      <c r="C180" s="2" t="s">
        <v>428</v>
      </c>
      <c r="D180" s="2" t="s">
        <v>87</v>
      </c>
      <c r="E180" s="13" t="n">
        <v>155000</v>
      </c>
      <c r="F180" s="13" t="n">
        <v>111600</v>
      </c>
      <c r="G180" s="13" t="n">
        <v>80352</v>
      </c>
      <c r="H180" s="13" t="n">
        <v>28435.68</v>
      </c>
      <c r="I180" s="19" t="n">
        <f aca="false">MATCH(B180,Assumptions!$H$4:$H$6,0)</f>
        <v>3</v>
      </c>
      <c r="J180" s="19" t="n">
        <f aca="false">INDEX(Assumptions!$I$4:$I$6,I180)</f>
        <v>1.06</v>
      </c>
      <c r="K180" s="19" t="n">
        <f aca="false">VLOOKUP(B180,Assumptions!$H$4:$J$6,3,FALSE())</f>
        <v>1.18</v>
      </c>
      <c r="L180" s="19" t="n">
        <f aca="false">ABS(F180-G180)</f>
        <v>31248</v>
      </c>
    </row>
    <row r="181" customFormat="false" ht="15" hidden="false" customHeight="false" outlineLevel="0" collapsed="false">
      <c r="A181" s="2" t="s">
        <v>281</v>
      </c>
      <c r="B181" s="2" t="s">
        <v>61</v>
      </c>
      <c r="C181" s="2" t="s">
        <v>426</v>
      </c>
      <c r="D181" s="2" t="s">
        <v>87</v>
      </c>
      <c r="E181" s="13" t="n">
        <v>149000</v>
      </c>
      <c r="F181" s="13" t="n">
        <v>86420</v>
      </c>
      <c r="G181" s="13" t="n">
        <v>46666.8</v>
      </c>
      <c r="H181" s="13" t="n">
        <v>36175.41</v>
      </c>
      <c r="I181" s="19" t="n">
        <f aca="false">MATCH(B181,Assumptions!$H$4:$H$6,0)</f>
        <v>1</v>
      </c>
      <c r="J181" s="19" t="n">
        <f aca="false">INDEX(Assumptions!$I$4:$I$6,I181)</f>
        <v>1.02</v>
      </c>
      <c r="K181" s="19" t="n">
        <f aca="false">VLOOKUP(B181,Assumptions!$H$4:$J$6,3,FALSE())</f>
        <v>1.12</v>
      </c>
      <c r="L181" s="19" t="n">
        <f aca="false">ABS(F181-G181)</f>
        <v>39753.2</v>
      </c>
    </row>
    <row r="182" customFormat="false" ht="15" hidden="false" customHeight="false" outlineLevel="0" collapsed="false">
      <c r="A182" s="2" t="s">
        <v>282</v>
      </c>
      <c r="B182" s="2" t="s">
        <v>65</v>
      </c>
      <c r="C182" s="2" t="s">
        <v>427</v>
      </c>
      <c r="D182" s="2" t="s">
        <v>87</v>
      </c>
      <c r="E182" s="13" t="n">
        <v>103000</v>
      </c>
      <c r="F182" s="13" t="n">
        <v>67980</v>
      </c>
      <c r="G182" s="13" t="n">
        <v>38748.6</v>
      </c>
      <c r="H182" s="13" t="n">
        <v>28646.77</v>
      </c>
      <c r="I182" s="19" t="n">
        <f aca="false">MATCH(B182,Assumptions!$H$4:$H$6,0)</f>
        <v>2</v>
      </c>
      <c r="J182" s="19" t="n">
        <f aca="false">INDEX(Assumptions!$I$4:$I$6,I182)</f>
        <v>1.04</v>
      </c>
      <c r="K182" s="19" t="n">
        <f aca="false">VLOOKUP(B182,Assumptions!$H$4:$J$6,3,FALSE())</f>
        <v>1.15</v>
      </c>
      <c r="L182" s="19" t="n">
        <f aca="false">ABS(F182-G182)</f>
        <v>29231.4</v>
      </c>
    </row>
    <row r="183" customFormat="false" ht="15" hidden="false" customHeight="false" outlineLevel="0" collapsed="false">
      <c r="A183" s="2" t="s">
        <v>283</v>
      </c>
      <c r="B183" s="2" t="s">
        <v>69</v>
      </c>
      <c r="C183" s="2" t="s">
        <v>428</v>
      </c>
      <c r="D183" s="2" t="s">
        <v>87</v>
      </c>
      <c r="E183" s="13" t="n">
        <v>223000</v>
      </c>
      <c r="F183" s="13" t="n">
        <v>160560</v>
      </c>
      <c r="G183" s="13" t="n">
        <v>99547.2</v>
      </c>
      <c r="H183" s="13" t="n">
        <v>56741.9</v>
      </c>
      <c r="I183" s="19" t="n">
        <f aca="false">MATCH(B183,Assumptions!$H$4:$H$6,0)</f>
        <v>3</v>
      </c>
      <c r="J183" s="19" t="n">
        <f aca="false">INDEX(Assumptions!$I$4:$I$6,I183)</f>
        <v>1.06</v>
      </c>
      <c r="K183" s="19" t="n">
        <f aca="false">VLOOKUP(B183,Assumptions!$H$4:$J$6,3,FALSE())</f>
        <v>1.18</v>
      </c>
      <c r="L183" s="19" t="n">
        <f aca="false">ABS(F183-G183)</f>
        <v>61012.8</v>
      </c>
    </row>
    <row r="184" customFormat="false" ht="15" hidden="false" customHeight="false" outlineLevel="0" collapsed="false">
      <c r="A184" s="2" t="s">
        <v>284</v>
      </c>
      <c r="B184" s="2" t="s">
        <v>61</v>
      </c>
      <c r="C184" s="2" t="s">
        <v>426</v>
      </c>
      <c r="D184" s="2" t="s">
        <v>87</v>
      </c>
      <c r="E184" s="13" t="n">
        <v>250000</v>
      </c>
      <c r="F184" s="13" t="n">
        <v>145000</v>
      </c>
      <c r="G184" s="13" t="n">
        <v>100050</v>
      </c>
      <c r="H184" s="13" t="n">
        <v>43152</v>
      </c>
      <c r="I184" s="19" t="n">
        <f aca="false">MATCH(B184,Assumptions!$H$4:$H$6,0)</f>
        <v>1</v>
      </c>
      <c r="J184" s="19" t="n">
        <f aca="false">INDEX(Assumptions!$I$4:$I$6,I184)</f>
        <v>1.02</v>
      </c>
      <c r="K184" s="19" t="n">
        <f aca="false">VLOOKUP(B184,Assumptions!$H$4:$J$6,3,FALSE())</f>
        <v>1.12</v>
      </c>
      <c r="L184" s="19" t="n">
        <f aca="false">ABS(F184-G184)</f>
        <v>44950</v>
      </c>
    </row>
    <row r="185" customFormat="false" ht="15" hidden="false" customHeight="false" outlineLevel="0" collapsed="false">
      <c r="A185" s="2" t="s">
        <v>285</v>
      </c>
      <c r="B185" s="2" t="s">
        <v>65</v>
      </c>
      <c r="C185" s="2" t="s">
        <v>427</v>
      </c>
      <c r="D185" s="2" t="s">
        <v>87</v>
      </c>
      <c r="E185" s="13" t="n">
        <v>225000</v>
      </c>
      <c r="F185" s="13" t="n">
        <v>148500</v>
      </c>
      <c r="G185" s="13" t="n">
        <v>117315</v>
      </c>
      <c r="H185" s="13" t="n">
        <v>30873.15</v>
      </c>
      <c r="I185" s="19" t="n">
        <f aca="false">MATCH(B185,Assumptions!$H$4:$H$6,0)</f>
        <v>2</v>
      </c>
      <c r="J185" s="19" t="n">
        <f aca="false">INDEX(Assumptions!$I$4:$I$6,I185)</f>
        <v>1.04</v>
      </c>
      <c r="K185" s="19" t="n">
        <f aca="false">VLOOKUP(B185,Assumptions!$H$4:$J$6,3,FALSE())</f>
        <v>1.15</v>
      </c>
      <c r="L185" s="19" t="n">
        <f aca="false">ABS(F185-G185)</f>
        <v>31185</v>
      </c>
    </row>
    <row r="186" customFormat="false" ht="15" hidden="false" customHeight="false" outlineLevel="0" collapsed="false">
      <c r="A186" s="2" t="s">
        <v>286</v>
      </c>
      <c r="B186" s="2" t="s">
        <v>69</v>
      </c>
      <c r="C186" s="2" t="s">
        <v>428</v>
      </c>
      <c r="D186" s="2" t="s">
        <v>87</v>
      </c>
      <c r="E186" s="13" t="n">
        <v>229000</v>
      </c>
      <c r="F186" s="13" t="n">
        <v>164880</v>
      </c>
      <c r="G186" s="13" t="n">
        <v>113767.2</v>
      </c>
      <c r="H186" s="13" t="n">
        <v>48557.16</v>
      </c>
      <c r="I186" s="19" t="n">
        <f aca="false">MATCH(B186,Assumptions!$H$4:$H$6,0)</f>
        <v>3</v>
      </c>
      <c r="J186" s="19" t="n">
        <f aca="false">INDEX(Assumptions!$I$4:$I$6,I186)</f>
        <v>1.06</v>
      </c>
      <c r="K186" s="19" t="n">
        <f aca="false">VLOOKUP(B186,Assumptions!$H$4:$J$6,3,FALSE())</f>
        <v>1.18</v>
      </c>
      <c r="L186" s="19" t="n">
        <f aca="false">ABS(F186-G186)</f>
        <v>51112.8</v>
      </c>
    </row>
    <row r="187" customFormat="false" ht="15" hidden="false" customHeight="false" outlineLevel="0" collapsed="false">
      <c r="A187" s="2" t="s">
        <v>287</v>
      </c>
      <c r="B187" s="2" t="s">
        <v>61</v>
      </c>
      <c r="C187" s="2" t="s">
        <v>426</v>
      </c>
      <c r="D187" s="2" t="s">
        <v>87</v>
      </c>
      <c r="E187" s="13" t="n">
        <v>224000</v>
      </c>
      <c r="F187" s="13" t="n">
        <v>129920</v>
      </c>
      <c r="G187" s="13" t="n">
        <v>94841.6</v>
      </c>
      <c r="H187" s="13" t="n">
        <v>34727.62</v>
      </c>
      <c r="I187" s="19" t="n">
        <f aca="false">MATCH(B187,Assumptions!$H$4:$H$6,0)</f>
        <v>1</v>
      </c>
      <c r="J187" s="19" t="n">
        <f aca="false">INDEX(Assumptions!$I$4:$I$6,I187)</f>
        <v>1.02</v>
      </c>
      <c r="K187" s="19" t="n">
        <f aca="false">VLOOKUP(B187,Assumptions!$H$4:$J$6,3,FALSE())</f>
        <v>1.12</v>
      </c>
      <c r="L187" s="19" t="n">
        <f aca="false">ABS(F187-G187)</f>
        <v>35078.4</v>
      </c>
    </row>
    <row r="188" customFormat="false" ht="15" hidden="false" customHeight="false" outlineLevel="0" collapsed="false">
      <c r="A188" s="2" t="s">
        <v>288</v>
      </c>
      <c r="B188" s="2" t="s">
        <v>65</v>
      </c>
      <c r="C188" s="2" t="s">
        <v>427</v>
      </c>
      <c r="D188" s="2" t="s">
        <v>87</v>
      </c>
      <c r="E188" s="13" t="n">
        <v>198000</v>
      </c>
      <c r="F188" s="13" t="n">
        <v>130680</v>
      </c>
      <c r="G188" s="13" t="n">
        <v>98010</v>
      </c>
      <c r="H188" s="13" t="n">
        <v>30709.8</v>
      </c>
      <c r="I188" s="19" t="n">
        <f aca="false">MATCH(B188,Assumptions!$H$4:$H$6,0)</f>
        <v>2</v>
      </c>
      <c r="J188" s="19" t="n">
        <f aca="false">INDEX(Assumptions!$I$4:$I$6,I188)</f>
        <v>1.04</v>
      </c>
      <c r="K188" s="19" t="n">
        <f aca="false">VLOOKUP(B188,Assumptions!$H$4:$J$6,3,FALSE())</f>
        <v>1.15</v>
      </c>
      <c r="L188" s="19" t="n">
        <f aca="false">ABS(F188-G188)</f>
        <v>32670</v>
      </c>
    </row>
    <row r="189" customFormat="false" ht="15" hidden="false" customHeight="false" outlineLevel="0" collapsed="false">
      <c r="A189" s="2" t="s">
        <v>289</v>
      </c>
      <c r="B189" s="2" t="s">
        <v>69</v>
      </c>
      <c r="C189" s="2" t="s">
        <v>428</v>
      </c>
      <c r="D189" s="2" t="s">
        <v>87</v>
      </c>
      <c r="E189" s="13" t="n">
        <v>95000</v>
      </c>
      <c r="F189" s="13" t="n">
        <v>68400</v>
      </c>
      <c r="G189" s="13" t="n">
        <v>42408</v>
      </c>
      <c r="H189" s="13" t="n">
        <v>23912.64</v>
      </c>
      <c r="I189" s="19" t="n">
        <f aca="false">MATCH(B189,Assumptions!$H$4:$H$6,0)</f>
        <v>3</v>
      </c>
      <c r="J189" s="19" t="n">
        <f aca="false">INDEX(Assumptions!$I$4:$I$6,I189)</f>
        <v>1.06</v>
      </c>
      <c r="K189" s="19" t="n">
        <f aca="false">VLOOKUP(B189,Assumptions!$H$4:$J$6,3,FALSE())</f>
        <v>1.18</v>
      </c>
      <c r="L189" s="19" t="n">
        <f aca="false">ABS(F189-G189)</f>
        <v>25992</v>
      </c>
    </row>
    <row r="190" customFormat="false" ht="15" hidden="false" customHeight="false" outlineLevel="0" collapsed="false">
      <c r="A190" s="2" t="s">
        <v>290</v>
      </c>
      <c r="B190" s="2" t="s">
        <v>61</v>
      </c>
      <c r="C190" s="2" t="s">
        <v>426</v>
      </c>
      <c r="D190" s="2" t="s">
        <v>87</v>
      </c>
      <c r="E190" s="13" t="n">
        <v>114000</v>
      </c>
      <c r="F190" s="13" t="n">
        <v>66120</v>
      </c>
      <c r="G190" s="13" t="n">
        <v>50912.4</v>
      </c>
      <c r="H190" s="13" t="n">
        <v>13838.92</v>
      </c>
      <c r="I190" s="19" t="n">
        <f aca="false">MATCH(B190,Assumptions!$H$4:$H$6,0)</f>
        <v>1</v>
      </c>
      <c r="J190" s="19" t="n">
        <f aca="false">INDEX(Assumptions!$I$4:$I$6,I190)</f>
        <v>1.02</v>
      </c>
      <c r="K190" s="19" t="n">
        <f aca="false">VLOOKUP(B190,Assumptions!$H$4:$J$6,3,FALSE())</f>
        <v>1.12</v>
      </c>
      <c r="L190" s="19" t="n">
        <f aca="false">ABS(F190-G190)</f>
        <v>15207.6</v>
      </c>
    </row>
    <row r="191" customFormat="false" ht="15" hidden="false" customHeight="false" outlineLevel="0" collapsed="false">
      <c r="A191" s="2" t="s">
        <v>291</v>
      </c>
      <c r="B191" s="2" t="s">
        <v>65</v>
      </c>
      <c r="C191" s="2" t="s">
        <v>427</v>
      </c>
      <c r="D191" s="2" t="s">
        <v>87</v>
      </c>
      <c r="E191" s="13" t="n">
        <v>167000</v>
      </c>
      <c r="F191" s="13" t="n">
        <v>110220</v>
      </c>
      <c r="G191" s="13" t="n">
        <v>57314.4</v>
      </c>
      <c r="H191" s="13" t="n">
        <v>48144.1</v>
      </c>
      <c r="I191" s="19" t="n">
        <f aca="false">MATCH(B191,Assumptions!$H$4:$H$6,0)</f>
        <v>2</v>
      </c>
      <c r="J191" s="19" t="n">
        <f aca="false">INDEX(Assumptions!$I$4:$I$6,I191)</f>
        <v>1.04</v>
      </c>
      <c r="K191" s="19" t="n">
        <f aca="false">VLOOKUP(B191,Assumptions!$H$4:$J$6,3,FALSE())</f>
        <v>1.15</v>
      </c>
      <c r="L191" s="19" t="n">
        <f aca="false">ABS(F191-G191)</f>
        <v>52905.6</v>
      </c>
    </row>
    <row r="192" customFormat="false" ht="15" hidden="false" customHeight="false" outlineLevel="0" collapsed="false">
      <c r="A192" s="2" t="s">
        <v>292</v>
      </c>
      <c r="B192" s="2" t="s">
        <v>69</v>
      </c>
      <c r="C192" s="2" t="s">
        <v>428</v>
      </c>
      <c r="D192" s="2" t="s">
        <v>87</v>
      </c>
      <c r="E192" s="13" t="n">
        <v>185000</v>
      </c>
      <c r="F192" s="13" t="n">
        <v>133200</v>
      </c>
      <c r="G192" s="13" t="n">
        <v>102564</v>
      </c>
      <c r="H192" s="13" t="n">
        <v>28491.48</v>
      </c>
      <c r="I192" s="19" t="n">
        <f aca="false">MATCH(B192,Assumptions!$H$4:$H$6,0)</f>
        <v>3</v>
      </c>
      <c r="J192" s="19" t="n">
        <f aca="false">INDEX(Assumptions!$I$4:$I$6,I192)</f>
        <v>1.06</v>
      </c>
      <c r="K192" s="19" t="n">
        <f aca="false">VLOOKUP(B192,Assumptions!$H$4:$J$6,3,FALSE())</f>
        <v>1.18</v>
      </c>
      <c r="L192" s="19" t="n">
        <f aca="false">ABS(F192-G192)</f>
        <v>30636</v>
      </c>
    </row>
    <row r="193" customFormat="false" ht="15" hidden="false" customHeight="false" outlineLevel="0" collapsed="false">
      <c r="A193" s="2" t="s">
        <v>293</v>
      </c>
      <c r="B193" s="2" t="s">
        <v>61</v>
      </c>
      <c r="C193" s="2" t="s">
        <v>426</v>
      </c>
      <c r="D193" s="2" t="s">
        <v>429</v>
      </c>
      <c r="E193" s="13" t="n">
        <v>134000</v>
      </c>
      <c r="F193" s="13" t="n">
        <v>77720</v>
      </c>
      <c r="G193" s="13" t="n">
        <v>52849.6</v>
      </c>
      <c r="H193" s="13" t="n">
        <v>22632.06</v>
      </c>
      <c r="I193" s="19" t="n">
        <f aca="false">MATCH(B193,Assumptions!$H$4:$H$6,0)</f>
        <v>1</v>
      </c>
      <c r="J193" s="19" t="n">
        <f aca="false">INDEX(Assumptions!$I$4:$I$6,I193)</f>
        <v>1.02</v>
      </c>
      <c r="K193" s="19" t="n">
        <f aca="false">VLOOKUP(B193,Assumptions!$H$4:$J$6,3,FALSE())</f>
        <v>1.12</v>
      </c>
      <c r="L193" s="19" t="n">
        <f aca="false">ABS(F193-G193)</f>
        <v>24870.4</v>
      </c>
    </row>
    <row r="194" customFormat="false" ht="15" hidden="false" customHeight="false" outlineLevel="0" collapsed="false">
      <c r="A194" s="2" t="s">
        <v>294</v>
      </c>
      <c r="B194" s="2" t="s">
        <v>65</v>
      </c>
      <c r="C194" s="2" t="s">
        <v>427</v>
      </c>
      <c r="D194" s="2" t="s">
        <v>87</v>
      </c>
      <c r="E194" s="13" t="n">
        <v>128000</v>
      </c>
      <c r="F194" s="13" t="n">
        <v>84480</v>
      </c>
      <c r="G194" s="13" t="n">
        <v>57446.4</v>
      </c>
      <c r="H194" s="13" t="n">
        <v>25411.58</v>
      </c>
      <c r="I194" s="19" t="n">
        <f aca="false">MATCH(B194,Assumptions!$H$4:$H$6,0)</f>
        <v>2</v>
      </c>
      <c r="J194" s="19" t="n">
        <f aca="false">INDEX(Assumptions!$I$4:$I$6,I194)</f>
        <v>1.04</v>
      </c>
      <c r="K194" s="19" t="n">
        <f aca="false">VLOOKUP(B194,Assumptions!$H$4:$J$6,3,FALSE())</f>
        <v>1.15</v>
      </c>
      <c r="L194" s="19" t="n">
        <f aca="false">ABS(F194-G194)</f>
        <v>27033.6</v>
      </c>
    </row>
    <row r="195" customFormat="false" ht="15" hidden="false" customHeight="false" outlineLevel="0" collapsed="false">
      <c r="A195" s="2" t="s">
        <v>295</v>
      </c>
      <c r="B195" s="2" t="s">
        <v>69</v>
      </c>
      <c r="C195" s="2" t="s">
        <v>428</v>
      </c>
      <c r="D195" s="2" t="s">
        <v>87</v>
      </c>
      <c r="E195" s="13" t="n">
        <v>96000</v>
      </c>
      <c r="F195" s="13" t="n">
        <v>69120</v>
      </c>
      <c r="G195" s="13" t="n">
        <v>40089.6</v>
      </c>
      <c r="H195" s="13" t="n">
        <v>28159.49</v>
      </c>
      <c r="I195" s="19" t="n">
        <f aca="false">MATCH(B195,Assumptions!$H$4:$H$6,0)</f>
        <v>3</v>
      </c>
      <c r="J195" s="19" t="n">
        <f aca="false">INDEX(Assumptions!$I$4:$I$6,I195)</f>
        <v>1.06</v>
      </c>
      <c r="K195" s="19" t="n">
        <f aca="false">VLOOKUP(B195,Assumptions!$H$4:$J$6,3,FALSE())</f>
        <v>1.18</v>
      </c>
      <c r="L195" s="19" t="n">
        <f aca="false">ABS(F195-G195)</f>
        <v>29030.4</v>
      </c>
    </row>
    <row r="196" customFormat="false" ht="15" hidden="false" customHeight="false" outlineLevel="0" collapsed="false">
      <c r="A196" s="2" t="s">
        <v>296</v>
      </c>
      <c r="B196" s="2" t="s">
        <v>61</v>
      </c>
      <c r="C196" s="2" t="s">
        <v>426</v>
      </c>
      <c r="D196" s="2" t="s">
        <v>87</v>
      </c>
      <c r="E196" s="13" t="n">
        <v>85000</v>
      </c>
      <c r="F196" s="13" t="n">
        <v>49300</v>
      </c>
      <c r="G196" s="13" t="n">
        <v>31059</v>
      </c>
      <c r="H196" s="13" t="n">
        <v>17328.95</v>
      </c>
      <c r="I196" s="19" t="n">
        <f aca="false">MATCH(B196,Assumptions!$H$4:$H$6,0)</f>
        <v>1</v>
      </c>
      <c r="J196" s="19" t="n">
        <f aca="false">INDEX(Assumptions!$I$4:$I$6,I196)</f>
        <v>1.02</v>
      </c>
      <c r="K196" s="19" t="n">
        <f aca="false">VLOOKUP(B196,Assumptions!$H$4:$J$6,3,FALSE())</f>
        <v>1.12</v>
      </c>
      <c r="L196" s="19" t="n">
        <f aca="false">ABS(F196-G196)</f>
        <v>18241</v>
      </c>
    </row>
    <row r="197" customFormat="false" ht="15" hidden="false" customHeight="false" outlineLevel="0" collapsed="false">
      <c r="A197" s="2" t="s">
        <v>297</v>
      </c>
      <c r="B197" s="2" t="s">
        <v>65</v>
      </c>
      <c r="C197" s="2" t="s">
        <v>427</v>
      </c>
      <c r="D197" s="2" t="s">
        <v>87</v>
      </c>
      <c r="E197" s="13" t="n">
        <v>186000</v>
      </c>
      <c r="F197" s="13" t="n">
        <v>122760</v>
      </c>
      <c r="G197" s="13" t="n">
        <v>66290.4</v>
      </c>
      <c r="H197" s="13" t="n">
        <v>54210.82</v>
      </c>
      <c r="I197" s="19" t="n">
        <f aca="false">MATCH(B197,Assumptions!$H$4:$H$6,0)</f>
        <v>2</v>
      </c>
      <c r="J197" s="19" t="n">
        <f aca="false">INDEX(Assumptions!$I$4:$I$6,I197)</f>
        <v>1.04</v>
      </c>
      <c r="K197" s="19" t="n">
        <f aca="false">VLOOKUP(B197,Assumptions!$H$4:$J$6,3,FALSE())</f>
        <v>1.15</v>
      </c>
      <c r="L197" s="19" t="n">
        <f aca="false">ABS(F197-G197)</f>
        <v>56469.6</v>
      </c>
    </row>
    <row r="198" customFormat="false" ht="15" hidden="false" customHeight="false" outlineLevel="0" collapsed="false">
      <c r="A198" s="2" t="s">
        <v>298</v>
      </c>
      <c r="B198" s="2" t="s">
        <v>69</v>
      </c>
      <c r="C198" s="2" t="s">
        <v>428</v>
      </c>
      <c r="D198" s="2" t="s">
        <v>87</v>
      </c>
      <c r="E198" s="13" t="n">
        <v>82000</v>
      </c>
      <c r="F198" s="13" t="n">
        <v>59040</v>
      </c>
      <c r="G198" s="13" t="n">
        <v>47232</v>
      </c>
      <c r="H198" s="13" t="n">
        <v>11689.92</v>
      </c>
      <c r="I198" s="19" t="n">
        <f aca="false">MATCH(B198,Assumptions!$H$4:$H$6,0)</f>
        <v>3</v>
      </c>
      <c r="J198" s="19" t="n">
        <f aca="false">INDEX(Assumptions!$I$4:$I$6,I198)</f>
        <v>1.06</v>
      </c>
      <c r="K198" s="19" t="n">
        <f aca="false">VLOOKUP(B198,Assumptions!$H$4:$J$6,3,FALSE())</f>
        <v>1.18</v>
      </c>
      <c r="L198" s="19" t="n">
        <f aca="false">ABS(F198-G198)</f>
        <v>11808</v>
      </c>
    </row>
    <row r="199" customFormat="false" ht="15" hidden="false" customHeight="false" outlineLevel="0" collapsed="false">
      <c r="A199" s="2" t="s">
        <v>299</v>
      </c>
      <c r="B199" s="2" t="s">
        <v>61</v>
      </c>
      <c r="C199" s="2" t="s">
        <v>426</v>
      </c>
      <c r="D199" s="2" t="s">
        <v>87</v>
      </c>
      <c r="E199" s="13" t="n">
        <v>124000</v>
      </c>
      <c r="F199" s="13" t="n">
        <v>71920</v>
      </c>
      <c r="G199" s="13" t="n">
        <v>53940</v>
      </c>
      <c r="H199" s="13" t="n">
        <v>16182</v>
      </c>
      <c r="I199" s="19" t="n">
        <f aca="false">MATCH(B199,Assumptions!$H$4:$H$6,0)</f>
        <v>1</v>
      </c>
      <c r="J199" s="19" t="n">
        <f aca="false">INDEX(Assumptions!$I$4:$I$6,I199)</f>
        <v>1.02</v>
      </c>
      <c r="K199" s="19" t="n">
        <f aca="false">VLOOKUP(B199,Assumptions!$H$4:$J$6,3,FALSE())</f>
        <v>1.12</v>
      </c>
      <c r="L199" s="19" t="n">
        <f aca="false">ABS(F199-G199)</f>
        <v>17980</v>
      </c>
    </row>
    <row r="200" customFormat="false" ht="15" hidden="false" customHeight="false" outlineLevel="0" collapsed="false">
      <c r="A200" s="2" t="s">
        <v>300</v>
      </c>
      <c r="B200" s="2" t="s">
        <v>65</v>
      </c>
      <c r="C200" s="2" t="s">
        <v>427</v>
      </c>
      <c r="D200" s="2" t="s">
        <v>87</v>
      </c>
      <c r="E200" s="13" t="n">
        <v>169000</v>
      </c>
      <c r="F200" s="13" t="n">
        <v>111540</v>
      </c>
      <c r="G200" s="13" t="n">
        <v>89232</v>
      </c>
      <c r="H200" s="13" t="n">
        <v>20969.52</v>
      </c>
      <c r="I200" s="19" t="n">
        <f aca="false">MATCH(B200,Assumptions!$H$4:$H$6,0)</f>
        <v>2</v>
      </c>
      <c r="J200" s="19" t="n">
        <f aca="false">INDEX(Assumptions!$I$4:$I$6,I200)</f>
        <v>1.04</v>
      </c>
      <c r="K200" s="19" t="n">
        <f aca="false">VLOOKUP(B200,Assumptions!$H$4:$J$6,3,FALSE())</f>
        <v>1.15</v>
      </c>
      <c r="L200" s="19" t="n">
        <f aca="false">ABS(F200-G200)</f>
        <v>22308</v>
      </c>
    </row>
    <row r="201" customFormat="false" ht="15" hidden="false" customHeight="false" outlineLevel="0" collapsed="false">
      <c r="A201" s="2" t="s">
        <v>301</v>
      </c>
      <c r="B201" s="2" t="s">
        <v>69</v>
      </c>
      <c r="C201" s="2" t="s">
        <v>428</v>
      </c>
      <c r="D201" s="2" t="s">
        <v>87</v>
      </c>
      <c r="E201" s="13" t="n">
        <v>213000</v>
      </c>
      <c r="F201" s="13" t="n">
        <v>153360</v>
      </c>
      <c r="G201" s="13" t="n">
        <v>113486.4</v>
      </c>
      <c r="H201" s="13" t="n">
        <v>38278.66</v>
      </c>
      <c r="I201" s="19" t="n">
        <f aca="false">MATCH(B201,Assumptions!$H$4:$H$6,0)</f>
        <v>3</v>
      </c>
      <c r="J201" s="19" t="n">
        <f aca="false">INDEX(Assumptions!$I$4:$I$6,I201)</f>
        <v>1.06</v>
      </c>
      <c r="K201" s="19" t="n">
        <f aca="false">VLOOKUP(B201,Assumptions!$H$4:$J$6,3,FALSE())</f>
        <v>1.18</v>
      </c>
      <c r="L201" s="19" t="n">
        <f aca="false">ABS(F201-G201)</f>
        <v>39873.6</v>
      </c>
    </row>
    <row r="202" customFormat="false" ht="15" hidden="false" customHeight="false" outlineLevel="0" collapsed="false">
      <c r="A202" s="2" t="s">
        <v>302</v>
      </c>
      <c r="B202" s="2" t="s">
        <v>61</v>
      </c>
      <c r="C202" s="2" t="s">
        <v>426</v>
      </c>
      <c r="D202" s="2" t="s">
        <v>87</v>
      </c>
      <c r="E202" s="13" t="n">
        <v>237000</v>
      </c>
      <c r="F202" s="13" t="n">
        <v>137460</v>
      </c>
      <c r="G202" s="13" t="n">
        <v>108593.4</v>
      </c>
      <c r="H202" s="13" t="n">
        <v>26268.61</v>
      </c>
      <c r="I202" s="19" t="n">
        <f aca="false">MATCH(B202,Assumptions!$H$4:$H$6,0)</f>
        <v>1</v>
      </c>
      <c r="J202" s="19" t="n">
        <f aca="false">INDEX(Assumptions!$I$4:$I$6,I202)</f>
        <v>1.02</v>
      </c>
      <c r="K202" s="19" t="n">
        <f aca="false">VLOOKUP(B202,Assumptions!$H$4:$J$6,3,FALSE())</f>
        <v>1.12</v>
      </c>
      <c r="L202" s="19" t="n">
        <f aca="false">ABS(F202-G202)</f>
        <v>28866.6</v>
      </c>
    </row>
    <row r="203" customFormat="false" ht="15" hidden="false" customHeight="false" outlineLevel="0" collapsed="false">
      <c r="A203" s="2" t="s">
        <v>303</v>
      </c>
      <c r="B203" s="2" t="s">
        <v>65</v>
      </c>
      <c r="C203" s="2" t="s">
        <v>427</v>
      </c>
      <c r="D203" s="2" t="s">
        <v>87</v>
      </c>
      <c r="E203" s="13" t="n">
        <v>208000</v>
      </c>
      <c r="F203" s="13" t="n">
        <v>137280</v>
      </c>
      <c r="G203" s="13" t="n">
        <v>93350.4</v>
      </c>
      <c r="H203" s="13" t="n">
        <v>41293.82</v>
      </c>
      <c r="I203" s="19" t="n">
        <f aca="false">MATCH(B203,Assumptions!$H$4:$H$6,0)</f>
        <v>2</v>
      </c>
      <c r="J203" s="19" t="n">
        <f aca="false">INDEX(Assumptions!$I$4:$I$6,I203)</f>
        <v>1.04</v>
      </c>
      <c r="K203" s="19" t="n">
        <f aca="false">VLOOKUP(B203,Assumptions!$H$4:$J$6,3,FALSE())</f>
        <v>1.15</v>
      </c>
      <c r="L203" s="19" t="n">
        <f aca="false">ABS(F203-G203)</f>
        <v>43929.6</v>
      </c>
    </row>
    <row r="204" customFormat="false" ht="15" hidden="false" customHeight="false" outlineLevel="0" collapsed="false">
      <c r="A204" s="2" t="s">
        <v>304</v>
      </c>
      <c r="B204" s="2" t="s">
        <v>69</v>
      </c>
      <c r="C204" s="2" t="s">
        <v>428</v>
      </c>
      <c r="D204" s="2" t="s">
        <v>87</v>
      </c>
      <c r="E204" s="13" t="n">
        <v>241000</v>
      </c>
      <c r="F204" s="13" t="n">
        <v>173520</v>
      </c>
      <c r="G204" s="13" t="n">
        <v>95436</v>
      </c>
      <c r="H204" s="13" t="n">
        <v>77303.16</v>
      </c>
      <c r="I204" s="19" t="n">
        <f aca="false">MATCH(B204,Assumptions!$H$4:$H$6,0)</f>
        <v>3</v>
      </c>
      <c r="J204" s="19" t="n">
        <f aca="false">INDEX(Assumptions!$I$4:$I$6,I204)</f>
        <v>1.06</v>
      </c>
      <c r="K204" s="19" t="n">
        <f aca="false">VLOOKUP(B204,Assumptions!$H$4:$J$6,3,FALSE())</f>
        <v>1.18</v>
      </c>
      <c r="L204" s="19" t="n">
        <f aca="false">ABS(F204-G204)</f>
        <v>78084</v>
      </c>
    </row>
    <row r="205" customFormat="false" ht="15" hidden="false" customHeight="false" outlineLevel="0" collapsed="false">
      <c r="A205" s="2" t="s">
        <v>305</v>
      </c>
      <c r="B205" s="2" t="s">
        <v>61</v>
      </c>
      <c r="C205" s="2" t="s">
        <v>426</v>
      </c>
      <c r="D205" s="2" t="s">
        <v>87</v>
      </c>
      <c r="E205" s="13" t="n">
        <v>123000</v>
      </c>
      <c r="F205" s="13" t="n">
        <v>71340</v>
      </c>
      <c r="G205" s="13" t="n">
        <v>51364.8</v>
      </c>
      <c r="H205" s="13" t="n">
        <v>19575.7</v>
      </c>
      <c r="I205" s="19" t="n">
        <f aca="false">MATCH(B205,Assumptions!$H$4:$H$6,0)</f>
        <v>1</v>
      </c>
      <c r="J205" s="19" t="n">
        <f aca="false">INDEX(Assumptions!$I$4:$I$6,I205)</f>
        <v>1.02</v>
      </c>
      <c r="K205" s="19" t="n">
        <f aca="false">VLOOKUP(B205,Assumptions!$H$4:$J$6,3,FALSE())</f>
        <v>1.12</v>
      </c>
      <c r="L205" s="19" t="n">
        <f aca="false">ABS(F205-G205)</f>
        <v>19975.2</v>
      </c>
    </row>
    <row r="206" customFormat="false" ht="15" hidden="false" customHeight="false" outlineLevel="0" collapsed="false">
      <c r="A206" s="2" t="s">
        <v>306</v>
      </c>
      <c r="B206" s="2" t="s">
        <v>65</v>
      </c>
      <c r="C206" s="2" t="s">
        <v>427</v>
      </c>
      <c r="D206" s="2" t="s">
        <v>87</v>
      </c>
      <c r="E206" s="13" t="n">
        <v>189000</v>
      </c>
      <c r="F206" s="13" t="n">
        <v>124740</v>
      </c>
      <c r="G206" s="13" t="n">
        <v>92307.6</v>
      </c>
      <c r="H206" s="13" t="n">
        <v>30162.13</v>
      </c>
      <c r="I206" s="19" t="n">
        <f aca="false">MATCH(B206,Assumptions!$H$4:$H$6,0)</f>
        <v>2</v>
      </c>
      <c r="J206" s="19" t="n">
        <f aca="false">INDEX(Assumptions!$I$4:$I$6,I206)</f>
        <v>1.04</v>
      </c>
      <c r="K206" s="19" t="n">
        <f aca="false">VLOOKUP(B206,Assumptions!$H$4:$J$6,3,FALSE())</f>
        <v>1.15</v>
      </c>
      <c r="L206" s="19" t="n">
        <f aca="false">ABS(F206-G206)</f>
        <v>32432.4</v>
      </c>
    </row>
    <row r="207" customFormat="false" ht="15" hidden="false" customHeight="false" outlineLevel="0" collapsed="false">
      <c r="A207" s="2" t="s">
        <v>307</v>
      </c>
      <c r="B207" s="2" t="s">
        <v>69</v>
      </c>
      <c r="C207" s="2" t="s">
        <v>428</v>
      </c>
      <c r="D207" s="2" t="s">
        <v>87</v>
      </c>
      <c r="E207" s="13" t="n">
        <v>157000</v>
      </c>
      <c r="F207" s="13" t="n">
        <v>113040</v>
      </c>
      <c r="G207" s="13" t="n">
        <v>77997.6</v>
      </c>
      <c r="H207" s="13" t="n">
        <v>33640.7</v>
      </c>
      <c r="I207" s="19" t="n">
        <f aca="false">MATCH(B207,Assumptions!$H$4:$H$6,0)</f>
        <v>3</v>
      </c>
      <c r="J207" s="19" t="n">
        <f aca="false">INDEX(Assumptions!$I$4:$I$6,I207)</f>
        <v>1.06</v>
      </c>
      <c r="K207" s="19" t="n">
        <f aca="false">VLOOKUP(B207,Assumptions!$H$4:$J$6,3,FALSE())</f>
        <v>1.18</v>
      </c>
      <c r="L207" s="19" t="n">
        <f aca="false">ABS(F207-G207)</f>
        <v>35042.4</v>
      </c>
    </row>
    <row r="208" customFormat="false" ht="15" hidden="false" customHeight="false" outlineLevel="0" collapsed="false">
      <c r="A208" s="2" t="s">
        <v>308</v>
      </c>
      <c r="B208" s="2" t="s">
        <v>61</v>
      </c>
      <c r="C208" s="2" t="s">
        <v>426</v>
      </c>
      <c r="D208" s="2" t="s">
        <v>87</v>
      </c>
      <c r="E208" s="13" t="n">
        <v>130000</v>
      </c>
      <c r="F208" s="13" t="n">
        <v>75400</v>
      </c>
      <c r="G208" s="13" t="n">
        <v>59566</v>
      </c>
      <c r="H208" s="13" t="n">
        <v>15834</v>
      </c>
      <c r="I208" s="19" t="n">
        <f aca="false">MATCH(B208,Assumptions!$H$4:$H$6,0)</f>
        <v>1</v>
      </c>
      <c r="J208" s="19" t="n">
        <f aca="false">INDEX(Assumptions!$I$4:$I$6,I208)</f>
        <v>1.02</v>
      </c>
      <c r="K208" s="19" t="n">
        <f aca="false">VLOOKUP(B208,Assumptions!$H$4:$J$6,3,FALSE())</f>
        <v>1.12</v>
      </c>
      <c r="L208" s="19" t="n">
        <f aca="false">ABS(F208-G208)</f>
        <v>15834</v>
      </c>
    </row>
    <row r="209" customFormat="false" ht="15" hidden="false" customHeight="false" outlineLevel="0" collapsed="false">
      <c r="A209" s="2" t="s">
        <v>309</v>
      </c>
      <c r="B209" s="2" t="s">
        <v>65</v>
      </c>
      <c r="C209" s="2" t="s">
        <v>427</v>
      </c>
      <c r="D209" s="2" t="s">
        <v>87</v>
      </c>
      <c r="E209" s="13" t="n">
        <v>236000</v>
      </c>
      <c r="F209" s="13" t="n">
        <v>155760</v>
      </c>
      <c r="G209" s="13" t="n">
        <v>88783.2</v>
      </c>
      <c r="H209" s="13" t="n">
        <v>60948.89</v>
      </c>
      <c r="I209" s="19" t="n">
        <f aca="false">MATCH(B209,Assumptions!$H$4:$H$6,0)</f>
        <v>2</v>
      </c>
      <c r="J209" s="19" t="n">
        <f aca="false">INDEX(Assumptions!$I$4:$I$6,I209)</f>
        <v>1.04</v>
      </c>
      <c r="K209" s="19" t="n">
        <f aca="false">VLOOKUP(B209,Assumptions!$H$4:$J$6,3,FALSE())</f>
        <v>1.15</v>
      </c>
      <c r="L209" s="19" t="n">
        <f aca="false">ABS(F209-G209)</f>
        <v>66976.8</v>
      </c>
    </row>
    <row r="210" customFormat="false" ht="15" hidden="false" customHeight="false" outlineLevel="0" collapsed="false">
      <c r="A210" s="2" t="s">
        <v>310</v>
      </c>
      <c r="B210" s="2" t="s">
        <v>69</v>
      </c>
      <c r="C210" s="2" t="s">
        <v>428</v>
      </c>
      <c r="D210" s="2" t="s">
        <v>87</v>
      </c>
      <c r="E210" s="13" t="n">
        <v>196000</v>
      </c>
      <c r="F210" s="13" t="n">
        <v>141120</v>
      </c>
      <c r="G210" s="13" t="n">
        <v>86083.2</v>
      </c>
      <c r="H210" s="13" t="n">
        <v>51734.59</v>
      </c>
      <c r="I210" s="19" t="n">
        <f aca="false">MATCH(B210,Assumptions!$H$4:$H$6,0)</f>
        <v>3</v>
      </c>
      <c r="J210" s="19" t="n">
        <f aca="false">INDEX(Assumptions!$I$4:$I$6,I210)</f>
        <v>1.06</v>
      </c>
      <c r="K210" s="19" t="n">
        <f aca="false">VLOOKUP(B210,Assumptions!$H$4:$J$6,3,FALSE())</f>
        <v>1.18</v>
      </c>
      <c r="L210" s="19" t="n">
        <f aca="false">ABS(F210-G210)</f>
        <v>55036.8</v>
      </c>
    </row>
    <row r="211" customFormat="false" ht="15" hidden="false" customHeight="false" outlineLevel="0" collapsed="false">
      <c r="A211" s="2" t="s">
        <v>311</v>
      </c>
      <c r="B211" s="2" t="s">
        <v>61</v>
      </c>
      <c r="C211" s="2" t="s">
        <v>426</v>
      </c>
      <c r="D211" s="2" t="s">
        <v>87</v>
      </c>
      <c r="E211" s="13" t="n">
        <v>143000</v>
      </c>
      <c r="F211" s="13" t="n">
        <v>82940</v>
      </c>
      <c r="G211" s="13" t="n">
        <v>58887.4</v>
      </c>
      <c r="H211" s="13" t="n">
        <v>22368.92</v>
      </c>
      <c r="I211" s="19" t="n">
        <f aca="false">MATCH(B211,Assumptions!$H$4:$H$6,0)</f>
        <v>1</v>
      </c>
      <c r="J211" s="19" t="n">
        <f aca="false">INDEX(Assumptions!$I$4:$I$6,I211)</f>
        <v>1.02</v>
      </c>
      <c r="K211" s="19" t="n">
        <f aca="false">VLOOKUP(B211,Assumptions!$H$4:$J$6,3,FALSE())</f>
        <v>1.12</v>
      </c>
      <c r="L211" s="19" t="n">
        <f aca="false">ABS(F211-G211)</f>
        <v>24052.6</v>
      </c>
    </row>
    <row r="212" customFormat="false" ht="15" hidden="false" customHeight="false" outlineLevel="0" collapsed="false">
      <c r="A212" s="2" t="s">
        <v>312</v>
      </c>
      <c r="B212" s="2" t="s">
        <v>65</v>
      </c>
      <c r="C212" s="2" t="s">
        <v>427</v>
      </c>
      <c r="D212" s="2" t="s">
        <v>429</v>
      </c>
      <c r="E212" s="13" t="n">
        <v>62000</v>
      </c>
      <c r="F212" s="13" t="n">
        <v>40920</v>
      </c>
      <c r="G212" s="13" t="n">
        <v>24552</v>
      </c>
      <c r="H212" s="13" t="n">
        <v>15876.96</v>
      </c>
      <c r="I212" s="19" t="n">
        <f aca="false">MATCH(B212,Assumptions!$H$4:$H$6,0)</f>
        <v>2</v>
      </c>
      <c r="J212" s="19" t="n">
        <f aca="false">INDEX(Assumptions!$I$4:$I$6,I212)</f>
        <v>1.04</v>
      </c>
      <c r="K212" s="19" t="n">
        <f aca="false">VLOOKUP(B212,Assumptions!$H$4:$J$6,3,FALSE())</f>
        <v>1.15</v>
      </c>
      <c r="L212" s="19" t="n">
        <f aca="false">ABS(F212-G212)</f>
        <v>16368</v>
      </c>
    </row>
    <row r="213" customFormat="false" ht="15" hidden="false" customHeight="false" outlineLevel="0" collapsed="false">
      <c r="A213" s="2" t="s">
        <v>313</v>
      </c>
      <c r="B213" s="2" t="s">
        <v>69</v>
      </c>
      <c r="C213" s="2" t="s">
        <v>428</v>
      </c>
      <c r="D213" s="2" t="s">
        <v>87</v>
      </c>
      <c r="E213" s="13" t="n">
        <v>161000</v>
      </c>
      <c r="F213" s="13" t="n">
        <v>115920</v>
      </c>
      <c r="G213" s="13" t="n">
        <v>92736</v>
      </c>
      <c r="H213" s="13" t="n">
        <v>22488.48</v>
      </c>
      <c r="I213" s="19" t="n">
        <f aca="false">MATCH(B213,Assumptions!$H$4:$H$6,0)</f>
        <v>3</v>
      </c>
      <c r="J213" s="19" t="n">
        <f aca="false">INDEX(Assumptions!$I$4:$I$6,I213)</f>
        <v>1.06</v>
      </c>
      <c r="K213" s="19" t="n">
        <f aca="false">VLOOKUP(B213,Assumptions!$H$4:$J$6,3,FALSE())</f>
        <v>1.18</v>
      </c>
      <c r="L213" s="19" t="n">
        <f aca="false">ABS(F213-G213)</f>
        <v>23184</v>
      </c>
    </row>
    <row r="214" customFormat="false" ht="15" hidden="false" customHeight="false" outlineLevel="0" collapsed="false">
      <c r="A214" s="2" t="s">
        <v>314</v>
      </c>
      <c r="B214" s="2" t="s">
        <v>61</v>
      </c>
      <c r="C214" s="2" t="s">
        <v>426</v>
      </c>
      <c r="D214" s="2" t="s">
        <v>87</v>
      </c>
      <c r="E214" s="13" t="n">
        <v>132000</v>
      </c>
      <c r="F214" s="13" t="n">
        <v>76560</v>
      </c>
      <c r="G214" s="13" t="n">
        <v>47467.2</v>
      </c>
      <c r="H214" s="13" t="n">
        <v>26765.38</v>
      </c>
      <c r="I214" s="19" t="n">
        <f aca="false">MATCH(B214,Assumptions!$H$4:$H$6,0)</f>
        <v>1</v>
      </c>
      <c r="J214" s="19" t="n">
        <f aca="false">INDEX(Assumptions!$I$4:$I$6,I214)</f>
        <v>1.02</v>
      </c>
      <c r="K214" s="19" t="n">
        <f aca="false">VLOOKUP(B214,Assumptions!$H$4:$J$6,3,FALSE())</f>
        <v>1.12</v>
      </c>
      <c r="L214" s="19" t="n">
        <f aca="false">ABS(F214-G214)</f>
        <v>29092.8</v>
      </c>
    </row>
    <row r="215" customFormat="false" ht="15" hidden="false" customHeight="false" outlineLevel="0" collapsed="false">
      <c r="A215" s="2" t="s">
        <v>315</v>
      </c>
      <c r="B215" s="2" t="s">
        <v>65</v>
      </c>
      <c r="C215" s="2" t="s">
        <v>427</v>
      </c>
      <c r="D215" s="2" t="s">
        <v>87</v>
      </c>
      <c r="E215" s="13" t="n">
        <v>93000</v>
      </c>
      <c r="F215" s="13" t="n">
        <v>61380</v>
      </c>
      <c r="G215" s="13" t="n">
        <v>46648.8</v>
      </c>
      <c r="H215" s="13" t="n">
        <v>13258.08</v>
      </c>
      <c r="I215" s="19" t="n">
        <f aca="false">MATCH(B215,Assumptions!$H$4:$H$6,0)</f>
        <v>2</v>
      </c>
      <c r="J215" s="19" t="n">
        <f aca="false">INDEX(Assumptions!$I$4:$I$6,I215)</f>
        <v>1.04</v>
      </c>
      <c r="K215" s="19" t="n">
        <f aca="false">VLOOKUP(B215,Assumptions!$H$4:$J$6,3,FALSE())</f>
        <v>1.15</v>
      </c>
      <c r="L215" s="19" t="n">
        <f aca="false">ABS(F215-G215)</f>
        <v>14731.2</v>
      </c>
    </row>
    <row r="216" customFormat="false" ht="15" hidden="false" customHeight="false" outlineLevel="0" collapsed="false">
      <c r="A216" s="2" t="s">
        <v>316</v>
      </c>
      <c r="B216" s="2" t="s">
        <v>69</v>
      </c>
      <c r="C216" s="2" t="s">
        <v>428</v>
      </c>
      <c r="D216" s="2" t="s">
        <v>87</v>
      </c>
      <c r="E216" s="13" t="n">
        <v>100000</v>
      </c>
      <c r="F216" s="13" t="n">
        <v>72000</v>
      </c>
      <c r="G216" s="13" t="n">
        <v>56160</v>
      </c>
      <c r="H216" s="13" t="n">
        <v>14256</v>
      </c>
      <c r="I216" s="19" t="n">
        <f aca="false">MATCH(B216,Assumptions!$H$4:$H$6,0)</f>
        <v>3</v>
      </c>
      <c r="J216" s="19" t="n">
        <f aca="false">INDEX(Assumptions!$I$4:$I$6,I216)</f>
        <v>1.06</v>
      </c>
      <c r="K216" s="19" t="n">
        <f aca="false">VLOOKUP(B216,Assumptions!$H$4:$J$6,3,FALSE())</f>
        <v>1.18</v>
      </c>
      <c r="L216" s="19" t="n">
        <f aca="false">ABS(F216-G216)</f>
        <v>15840</v>
      </c>
    </row>
    <row r="217" customFormat="false" ht="15" hidden="false" customHeight="false" outlineLevel="0" collapsed="false">
      <c r="A217" s="2" t="s">
        <v>317</v>
      </c>
      <c r="B217" s="2" t="s">
        <v>61</v>
      </c>
      <c r="C217" s="2" t="s">
        <v>426</v>
      </c>
      <c r="D217" s="2" t="s">
        <v>87</v>
      </c>
      <c r="E217" s="13" t="n">
        <v>106000</v>
      </c>
      <c r="F217" s="13" t="n">
        <v>61480</v>
      </c>
      <c r="G217" s="13" t="n">
        <v>37502.8</v>
      </c>
      <c r="H217" s="13" t="n">
        <v>23497.66</v>
      </c>
      <c r="I217" s="19" t="n">
        <f aca="false">MATCH(B217,Assumptions!$H$4:$H$6,0)</f>
        <v>1</v>
      </c>
      <c r="J217" s="19" t="n">
        <f aca="false">INDEX(Assumptions!$I$4:$I$6,I217)</f>
        <v>1.02</v>
      </c>
      <c r="K217" s="19" t="n">
        <f aca="false">VLOOKUP(B217,Assumptions!$H$4:$J$6,3,FALSE())</f>
        <v>1.12</v>
      </c>
      <c r="L217" s="19" t="n">
        <f aca="false">ABS(F217-G217)</f>
        <v>23977.2</v>
      </c>
    </row>
    <row r="218" customFormat="false" ht="15" hidden="false" customHeight="false" outlineLevel="0" collapsed="false">
      <c r="A218" s="2" t="s">
        <v>318</v>
      </c>
      <c r="B218" s="2" t="s">
        <v>65</v>
      </c>
      <c r="C218" s="2" t="s">
        <v>427</v>
      </c>
      <c r="D218" s="2" t="s">
        <v>87</v>
      </c>
      <c r="E218" s="13" t="n">
        <v>157000</v>
      </c>
      <c r="F218" s="13" t="n">
        <v>103620</v>
      </c>
      <c r="G218" s="13" t="n">
        <v>73570.2</v>
      </c>
      <c r="H218" s="13" t="n">
        <v>29749.3</v>
      </c>
      <c r="I218" s="19" t="n">
        <f aca="false">MATCH(B218,Assumptions!$H$4:$H$6,0)</f>
        <v>2</v>
      </c>
      <c r="J218" s="19" t="n">
        <f aca="false">INDEX(Assumptions!$I$4:$I$6,I218)</f>
        <v>1.04</v>
      </c>
      <c r="K218" s="19" t="n">
        <f aca="false">VLOOKUP(B218,Assumptions!$H$4:$J$6,3,FALSE())</f>
        <v>1.15</v>
      </c>
      <c r="L218" s="19" t="n">
        <f aca="false">ABS(F218-G218)</f>
        <v>30049.8</v>
      </c>
    </row>
    <row r="219" customFormat="false" ht="15" hidden="false" customHeight="false" outlineLevel="0" collapsed="false">
      <c r="A219" s="2" t="s">
        <v>319</v>
      </c>
      <c r="B219" s="2" t="s">
        <v>69</v>
      </c>
      <c r="C219" s="2" t="s">
        <v>428</v>
      </c>
      <c r="D219" s="2" t="s">
        <v>87</v>
      </c>
      <c r="E219" s="13" t="n">
        <v>90000</v>
      </c>
      <c r="F219" s="13" t="n">
        <v>64800</v>
      </c>
      <c r="G219" s="13" t="n">
        <v>47304</v>
      </c>
      <c r="H219" s="13" t="n">
        <v>16271.28</v>
      </c>
      <c r="I219" s="19" t="n">
        <f aca="false">MATCH(B219,Assumptions!$H$4:$H$6,0)</f>
        <v>3</v>
      </c>
      <c r="J219" s="19" t="n">
        <f aca="false">INDEX(Assumptions!$I$4:$I$6,I219)</f>
        <v>1.06</v>
      </c>
      <c r="K219" s="19" t="n">
        <f aca="false">VLOOKUP(B219,Assumptions!$H$4:$J$6,3,FALSE())</f>
        <v>1.18</v>
      </c>
      <c r="L219" s="19" t="n">
        <f aca="false">ABS(F219-G219)</f>
        <v>17496</v>
      </c>
    </row>
    <row r="220" customFormat="false" ht="15" hidden="false" customHeight="false" outlineLevel="0" collapsed="false">
      <c r="A220" s="2" t="s">
        <v>320</v>
      </c>
      <c r="B220" s="2" t="s">
        <v>61</v>
      </c>
      <c r="C220" s="2" t="s">
        <v>426</v>
      </c>
      <c r="D220" s="2" t="s">
        <v>87</v>
      </c>
      <c r="E220" s="13" t="n">
        <v>168000</v>
      </c>
      <c r="F220" s="13" t="n">
        <v>97440</v>
      </c>
      <c r="G220" s="13" t="n">
        <v>68208</v>
      </c>
      <c r="H220" s="13" t="n">
        <v>27478.08</v>
      </c>
      <c r="I220" s="19" t="n">
        <f aca="false">MATCH(B220,Assumptions!$H$4:$H$6,0)</f>
        <v>1</v>
      </c>
      <c r="J220" s="19" t="n">
        <f aca="false">INDEX(Assumptions!$I$4:$I$6,I220)</f>
        <v>1.02</v>
      </c>
      <c r="K220" s="19" t="n">
        <f aca="false">VLOOKUP(B220,Assumptions!$H$4:$J$6,3,FALSE())</f>
        <v>1.12</v>
      </c>
      <c r="L220" s="19" t="n">
        <f aca="false">ABS(F220-G220)</f>
        <v>29232</v>
      </c>
    </row>
    <row r="221" customFormat="false" ht="15" hidden="false" customHeight="false" outlineLevel="0" collapsed="false">
      <c r="A221" s="2" t="s">
        <v>321</v>
      </c>
      <c r="B221" s="2" t="s">
        <v>65</v>
      </c>
      <c r="C221" s="2" t="s">
        <v>427</v>
      </c>
      <c r="D221" s="2" t="s">
        <v>87</v>
      </c>
      <c r="E221" s="13" t="n">
        <v>111000</v>
      </c>
      <c r="F221" s="13" t="n">
        <v>73260</v>
      </c>
      <c r="G221" s="13" t="n">
        <v>52747.2</v>
      </c>
      <c r="H221" s="13" t="n">
        <v>20307.67</v>
      </c>
      <c r="I221" s="19" t="n">
        <f aca="false">MATCH(B221,Assumptions!$H$4:$H$6,0)</f>
        <v>2</v>
      </c>
      <c r="J221" s="19" t="n">
        <f aca="false">INDEX(Assumptions!$I$4:$I$6,I221)</f>
        <v>1.04</v>
      </c>
      <c r="K221" s="19" t="n">
        <f aca="false">VLOOKUP(B221,Assumptions!$H$4:$J$6,3,FALSE())</f>
        <v>1.15</v>
      </c>
      <c r="L221" s="19" t="n">
        <f aca="false">ABS(F221-G221)</f>
        <v>20512.8</v>
      </c>
    </row>
    <row r="222" customFormat="false" ht="15" hidden="false" customHeight="false" outlineLevel="0" collapsed="false">
      <c r="A222" s="2" t="s">
        <v>322</v>
      </c>
      <c r="B222" s="2" t="s">
        <v>69</v>
      </c>
      <c r="C222" s="2" t="s">
        <v>428</v>
      </c>
      <c r="D222" s="2" t="s">
        <v>87</v>
      </c>
      <c r="E222" s="13" t="n">
        <v>250000</v>
      </c>
      <c r="F222" s="13" t="n">
        <v>180000</v>
      </c>
      <c r="G222" s="13" t="n">
        <v>115200</v>
      </c>
      <c r="H222" s="13" t="n">
        <v>58320</v>
      </c>
      <c r="I222" s="19" t="n">
        <f aca="false">MATCH(B222,Assumptions!$H$4:$H$6,0)</f>
        <v>3</v>
      </c>
      <c r="J222" s="19" t="n">
        <f aca="false">INDEX(Assumptions!$I$4:$I$6,I222)</f>
        <v>1.06</v>
      </c>
      <c r="K222" s="19" t="n">
        <f aca="false">VLOOKUP(B222,Assumptions!$H$4:$J$6,3,FALSE())</f>
        <v>1.18</v>
      </c>
      <c r="L222" s="19" t="n">
        <f aca="false">ABS(F222-G222)</f>
        <v>64800</v>
      </c>
    </row>
    <row r="223" customFormat="false" ht="15" hidden="false" customHeight="false" outlineLevel="0" collapsed="false">
      <c r="A223" s="2" t="s">
        <v>323</v>
      </c>
      <c r="B223" s="2" t="s">
        <v>61</v>
      </c>
      <c r="C223" s="2" t="s">
        <v>426</v>
      </c>
      <c r="D223" s="2" t="s">
        <v>87</v>
      </c>
      <c r="E223" s="13" t="n">
        <v>81000</v>
      </c>
      <c r="F223" s="13" t="n">
        <v>46980</v>
      </c>
      <c r="G223" s="13" t="n">
        <v>26308.8</v>
      </c>
      <c r="H223" s="13" t="n">
        <v>18604.08</v>
      </c>
      <c r="I223" s="19" t="n">
        <f aca="false">MATCH(B223,Assumptions!$H$4:$H$6,0)</f>
        <v>1</v>
      </c>
      <c r="J223" s="19" t="n">
        <f aca="false">INDEX(Assumptions!$I$4:$I$6,I223)</f>
        <v>1.02</v>
      </c>
      <c r="K223" s="19" t="n">
        <f aca="false">VLOOKUP(B223,Assumptions!$H$4:$J$6,3,FALSE())</f>
        <v>1.12</v>
      </c>
      <c r="L223" s="19" t="n">
        <f aca="false">ABS(F223-G223)</f>
        <v>20671.2</v>
      </c>
    </row>
    <row r="224" customFormat="false" ht="15" hidden="false" customHeight="false" outlineLevel="0" collapsed="false">
      <c r="A224" s="2" t="s">
        <v>324</v>
      </c>
      <c r="B224" s="2" t="s">
        <v>65</v>
      </c>
      <c r="C224" s="2" t="s">
        <v>427</v>
      </c>
      <c r="D224" s="2" t="s">
        <v>87</v>
      </c>
      <c r="E224" s="13" t="n">
        <v>88000</v>
      </c>
      <c r="F224" s="13" t="n">
        <v>58080</v>
      </c>
      <c r="G224" s="13" t="n">
        <v>37752</v>
      </c>
      <c r="H224" s="13" t="n">
        <v>19311.6</v>
      </c>
      <c r="I224" s="19" t="n">
        <f aca="false">MATCH(B224,Assumptions!$H$4:$H$6,0)</f>
        <v>2</v>
      </c>
      <c r="J224" s="19" t="n">
        <f aca="false">INDEX(Assumptions!$I$4:$I$6,I224)</f>
        <v>1.04</v>
      </c>
      <c r="K224" s="19" t="n">
        <f aca="false">VLOOKUP(B224,Assumptions!$H$4:$J$6,3,FALSE())</f>
        <v>1.15</v>
      </c>
      <c r="L224" s="19" t="n">
        <f aca="false">ABS(F224-G224)</f>
        <v>20328</v>
      </c>
    </row>
    <row r="225" customFormat="false" ht="15" hidden="false" customHeight="false" outlineLevel="0" collapsed="false">
      <c r="A225" s="2" t="s">
        <v>325</v>
      </c>
      <c r="B225" s="2" t="s">
        <v>69</v>
      </c>
      <c r="C225" s="2" t="s">
        <v>428</v>
      </c>
      <c r="D225" s="2" t="s">
        <v>87</v>
      </c>
      <c r="E225" s="13" t="n">
        <v>174000</v>
      </c>
      <c r="F225" s="13" t="n">
        <v>125280</v>
      </c>
      <c r="G225" s="13" t="n">
        <v>82684.8</v>
      </c>
      <c r="H225" s="13" t="n">
        <v>40891.39</v>
      </c>
      <c r="I225" s="19" t="n">
        <f aca="false">MATCH(B225,Assumptions!$H$4:$H$6,0)</f>
        <v>3</v>
      </c>
      <c r="J225" s="19" t="n">
        <f aca="false">INDEX(Assumptions!$I$4:$I$6,I225)</f>
        <v>1.06</v>
      </c>
      <c r="K225" s="19" t="n">
        <f aca="false">VLOOKUP(B225,Assumptions!$H$4:$J$6,3,FALSE())</f>
        <v>1.18</v>
      </c>
      <c r="L225" s="19" t="n">
        <f aca="false">ABS(F225-G225)</f>
        <v>42595.2</v>
      </c>
    </row>
    <row r="226" customFormat="false" ht="15" hidden="false" customHeight="false" outlineLevel="0" collapsed="false">
      <c r="A226" s="2" t="s">
        <v>326</v>
      </c>
      <c r="B226" s="2" t="s">
        <v>61</v>
      </c>
      <c r="C226" s="2" t="s">
        <v>426</v>
      </c>
      <c r="D226" s="2" t="s">
        <v>87</v>
      </c>
      <c r="E226" s="13" t="n">
        <v>247000</v>
      </c>
      <c r="F226" s="13" t="n">
        <v>143260</v>
      </c>
      <c r="G226" s="13" t="n">
        <v>111742.8</v>
      </c>
      <c r="H226" s="13" t="n">
        <v>31517.2</v>
      </c>
      <c r="I226" s="19" t="n">
        <f aca="false">MATCH(B226,Assumptions!$H$4:$H$6,0)</f>
        <v>1</v>
      </c>
      <c r="J226" s="19" t="n">
        <f aca="false">INDEX(Assumptions!$I$4:$I$6,I226)</f>
        <v>1.02</v>
      </c>
      <c r="K226" s="19" t="n">
        <f aca="false">VLOOKUP(B226,Assumptions!$H$4:$J$6,3,FALSE())</f>
        <v>1.12</v>
      </c>
      <c r="L226" s="19" t="n">
        <f aca="false">ABS(F226-G226)</f>
        <v>31517.2</v>
      </c>
    </row>
    <row r="227" customFormat="false" ht="15" hidden="false" customHeight="false" outlineLevel="0" collapsed="false">
      <c r="A227" s="2" t="s">
        <v>327</v>
      </c>
      <c r="B227" s="2" t="s">
        <v>65</v>
      </c>
      <c r="C227" s="2" t="s">
        <v>427</v>
      </c>
      <c r="D227" s="2" t="s">
        <v>87</v>
      </c>
      <c r="E227" s="13" t="n">
        <v>101000</v>
      </c>
      <c r="F227" s="13" t="n">
        <v>66660</v>
      </c>
      <c r="G227" s="13" t="n">
        <v>47328.6</v>
      </c>
      <c r="H227" s="13" t="n">
        <v>19331.4</v>
      </c>
      <c r="I227" s="19" t="n">
        <f aca="false">MATCH(B227,Assumptions!$H$4:$H$6,0)</f>
        <v>2</v>
      </c>
      <c r="J227" s="19" t="n">
        <f aca="false">INDEX(Assumptions!$I$4:$I$6,I227)</f>
        <v>1.04</v>
      </c>
      <c r="K227" s="19" t="n">
        <f aca="false">VLOOKUP(B227,Assumptions!$H$4:$J$6,3,FALSE())</f>
        <v>1.15</v>
      </c>
      <c r="L227" s="19" t="n">
        <f aca="false">ABS(F227-G227)</f>
        <v>19331.4</v>
      </c>
    </row>
    <row r="228" customFormat="false" ht="15" hidden="false" customHeight="false" outlineLevel="0" collapsed="false">
      <c r="A228" s="2" t="s">
        <v>328</v>
      </c>
      <c r="B228" s="2" t="s">
        <v>69</v>
      </c>
      <c r="C228" s="2" t="s">
        <v>428</v>
      </c>
      <c r="D228" s="2" t="s">
        <v>87</v>
      </c>
      <c r="E228" s="13" t="n">
        <v>154000</v>
      </c>
      <c r="F228" s="13" t="n">
        <v>110880</v>
      </c>
      <c r="G228" s="13" t="n">
        <v>64310.4</v>
      </c>
      <c r="H228" s="13" t="n">
        <v>44706.82</v>
      </c>
      <c r="I228" s="19" t="n">
        <f aca="false">MATCH(B228,Assumptions!$H$4:$H$6,0)</f>
        <v>3</v>
      </c>
      <c r="J228" s="19" t="n">
        <f aca="false">INDEX(Assumptions!$I$4:$I$6,I228)</f>
        <v>1.06</v>
      </c>
      <c r="K228" s="19" t="n">
        <f aca="false">VLOOKUP(B228,Assumptions!$H$4:$J$6,3,FALSE())</f>
        <v>1.18</v>
      </c>
      <c r="L228" s="19" t="n">
        <f aca="false">ABS(F228-G228)</f>
        <v>46569.6</v>
      </c>
    </row>
    <row r="229" customFormat="false" ht="15" hidden="false" customHeight="false" outlineLevel="0" collapsed="false">
      <c r="A229" s="2" t="s">
        <v>329</v>
      </c>
      <c r="B229" s="2" t="s">
        <v>61</v>
      </c>
      <c r="C229" s="2" t="s">
        <v>426</v>
      </c>
      <c r="D229" s="2" t="s">
        <v>87</v>
      </c>
      <c r="E229" s="13" t="n">
        <v>191000</v>
      </c>
      <c r="F229" s="13" t="n">
        <v>110780</v>
      </c>
      <c r="G229" s="13" t="n">
        <v>70899.2</v>
      </c>
      <c r="H229" s="13" t="n">
        <v>37487.95</v>
      </c>
      <c r="I229" s="19" t="n">
        <f aca="false">MATCH(B229,Assumptions!$H$4:$H$6,0)</f>
        <v>1</v>
      </c>
      <c r="J229" s="19" t="n">
        <f aca="false">INDEX(Assumptions!$I$4:$I$6,I229)</f>
        <v>1.02</v>
      </c>
      <c r="K229" s="19" t="n">
        <f aca="false">VLOOKUP(B229,Assumptions!$H$4:$J$6,3,FALSE())</f>
        <v>1.12</v>
      </c>
      <c r="L229" s="19" t="n">
        <f aca="false">ABS(F229-G229)</f>
        <v>39880.8</v>
      </c>
    </row>
    <row r="230" customFormat="false" ht="15" hidden="false" customHeight="false" outlineLevel="0" collapsed="false">
      <c r="A230" s="2" t="s">
        <v>330</v>
      </c>
      <c r="B230" s="2" t="s">
        <v>65</v>
      </c>
      <c r="C230" s="2" t="s">
        <v>427</v>
      </c>
      <c r="D230" s="2" t="s">
        <v>87</v>
      </c>
      <c r="E230" s="13" t="n">
        <v>139000</v>
      </c>
      <c r="F230" s="13" t="n">
        <v>91740</v>
      </c>
      <c r="G230" s="13" t="n">
        <v>56878.8</v>
      </c>
      <c r="H230" s="13" t="n">
        <v>33815.36</v>
      </c>
      <c r="I230" s="19" t="n">
        <f aca="false">MATCH(B230,Assumptions!$H$4:$H$6,0)</f>
        <v>2</v>
      </c>
      <c r="J230" s="19" t="n">
        <f aca="false">INDEX(Assumptions!$I$4:$I$6,I230)</f>
        <v>1.04</v>
      </c>
      <c r="K230" s="19" t="n">
        <f aca="false">VLOOKUP(B230,Assumptions!$H$4:$J$6,3,FALSE())</f>
        <v>1.15</v>
      </c>
      <c r="L230" s="19" t="n">
        <f aca="false">ABS(F230-G230)</f>
        <v>34861.2</v>
      </c>
    </row>
    <row r="231" customFormat="false" ht="15" hidden="false" customHeight="false" outlineLevel="0" collapsed="false">
      <c r="A231" s="2" t="s">
        <v>331</v>
      </c>
      <c r="B231" s="2" t="s">
        <v>69</v>
      </c>
      <c r="C231" s="2" t="s">
        <v>428</v>
      </c>
      <c r="D231" s="2" t="s">
        <v>429</v>
      </c>
      <c r="E231" s="13" t="n">
        <v>156000</v>
      </c>
      <c r="F231" s="13" t="n">
        <v>112320</v>
      </c>
      <c r="G231" s="13" t="n">
        <v>67392</v>
      </c>
      <c r="H231" s="13" t="n">
        <v>42681.6</v>
      </c>
      <c r="I231" s="19" t="n">
        <f aca="false">MATCH(B231,Assumptions!$H$4:$H$6,0)</f>
        <v>3</v>
      </c>
      <c r="J231" s="19" t="n">
        <f aca="false">INDEX(Assumptions!$I$4:$I$6,I231)</f>
        <v>1.06</v>
      </c>
      <c r="K231" s="19" t="n">
        <f aca="false">VLOOKUP(B231,Assumptions!$H$4:$J$6,3,FALSE())</f>
        <v>1.18</v>
      </c>
      <c r="L231" s="19" t="n">
        <f aca="false">ABS(F231-G231)</f>
        <v>44928</v>
      </c>
    </row>
    <row r="232" customFormat="false" ht="15" hidden="false" customHeight="false" outlineLevel="0" collapsed="false">
      <c r="A232" s="2" t="s">
        <v>332</v>
      </c>
      <c r="B232" s="2" t="s">
        <v>61</v>
      </c>
      <c r="C232" s="2" t="s">
        <v>426</v>
      </c>
      <c r="D232" s="2" t="s">
        <v>87</v>
      </c>
      <c r="E232" s="13" t="n">
        <v>197000</v>
      </c>
      <c r="F232" s="13" t="n">
        <v>114260</v>
      </c>
      <c r="G232" s="13" t="n">
        <v>73126.4</v>
      </c>
      <c r="H232" s="13" t="n">
        <v>38254.25</v>
      </c>
      <c r="I232" s="19" t="n">
        <f aca="false">MATCH(B232,Assumptions!$H$4:$H$6,0)</f>
        <v>1</v>
      </c>
      <c r="J232" s="19" t="n">
        <f aca="false">INDEX(Assumptions!$I$4:$I$6,I232)</f>
        <v>1.02</v>
      </c>
      <c r="K232" s="19" t="n">
        <f aca="false">VLOOKUP(B232,Assumptions!$H$4:$J$6,3,FALSE())</f>
        <v>1.12</v>
      </c>
      <c r="L232" s="19" t="n">
        <f aca="false">ABS(F232-G232)</f>
        <v>41133.6</v>
      </c>
    </row>
    <row r="233" customFormat="false" ht="15" hidden="false" customHeight="false" outlineLevel="0" collapsed="false">
      <c r="A233" s="2" t="s">
        <v>333</v>
      </c>
      <c r="B233" s="2" t="s">
        <v>65</v>
      </c>
      <c r="C233" s="2" t="s">
        <v>427</v>
      </c>
      <c r="D233" s="2" t="s">
        <v>87</v>
      </c>
      <c r="E233" s="13" t="n">
        <v>146000</v>
      </c>
      <c r="F233" s="13" t="n">
        <v>96360</v>
      </c>
      <c r="G233" s="13" t="n">
        <v>73233.6</v>
      </c>
      <c r="H233" s="13" t="n">
        <v>22201.34</v>
      </c>
      <c r="I233" s="19" t="n">
        <f aca="false">MATCH(B233,Assumptions!$H$4:$H$6,0)</f>
        <v>2</v>
      </c>
      <c r="J233" s="19" t="n">
        <f aca="false">INDEX(Assumptions!$I$4:$I$6,I233)</f>
        <v>1.04</v>
      </c>
      <c r="K233" s="19" t="n">
        <f aca="false">VLOOKUP(B233,Assumptions!$H$4:$J$6,3,FALSE())</f>
        <v>1.15</v>
      </c>
      <c r="L233" s="19" t="n">
        <f aca="false">ABS(F233-G233)</f>
        <v>23126.4</v>
      </c>
    </row>
    <row r="234" customFormat="false" ht="15" hidden="false" customHeight="false" outlineLevel="0" collapsed="false">
      <c r="A234" s="2" t="s">
        <v>334</v>
      </c>
      <c r="B234" s="2" t="s">
        <v>69</v>
      </c>
      <c r="C234" s="2" t="s">
        <v>428</v>
      </c>
      <c r="D234" s="2" t="s">
        <v>87</v>
      </c>
      <c r="E234" s="13" t="n">
        <v>223000</v>
      </c>
      <c r="F234" s="13" t="n">
        <v>160560</v>
      </c>
      <c r="G234" s="13" t="n">
        <v>85096.8</v>
      </c>
      <c r="H234" s="13" t="n">
        <v>75463.2</v>
      </c>
      <c r="I234" s="19" t="n">
        <f aca="false">MATCH(B234,Assumptions!$H$4:$H$6,0)</f>
        <v>3</v>
      </c>
      <c r="J234" s="19" t="n">
        <f aca="false">INDEX(Assumptions!$I$4:$I$6,I234)</f>
        <v>1.06</v>
      </c>
      <c r="K234" s="19" t="n">
        <f aca="false">VLOOKUP(B234,Assumptions!$H$4:$J$6,3,FALSE())</f>
        <v>1.18</v>
      </c>
      <c r="L234" s="19" t="n">
        <f aca="false">ABS(F234-G234)</f>
        <v>75463.2</v>
      </c>
    </row>
    <row r="235" customFormat="false" ht="15" hidden="false" customHeight="false" outlineLevel="0" collapsed="false">
      <c r="A235" s="2" t="s">
        <v>335</v>
      </c>
      <c r="B235" s="2" t="s">
        <v>61</v>
      </c>
      <c r="C235" s="2" t="s">
        <v>426</v>
      </c>
      <c r="D235" s="2" t="s">
        <v>87</v>
      </c>
      <c r="E235" s="13" t="n">
        <v>189000</v>
      </c>
      <c r="F235" s="13" t="n">
        <v>109620</v>
      </c>
      <c r="G235" s="13" t="n">
        <v>62483.4</v>
      </c>
      <c r="H235" s="13" t="n">
        <v>47136.6</v>
      </c>
      <c r="I235" s="19" t="n">
        <f aca="false">MATCH(B235,Assumptions!$H$4:$H$6,0)</f>
        <v>1</v>
      </c>
      <c r="J235" s="19" t="n">
        <f aca="false">INDEX(Assumptions!$I$4:$I$6,I235)</f>
        <v>1.02</v>
      </c>
      <c r="K235" s="19" t="n">
        <f aca="false">VLOOKUP(B235,Assumptions!$H$4:$J$6,3,FALSE())</f>
        <v>1.12</v>
      </c>
      <c r="L235" s="19" t="n">
        <f aca="false">ABS(F235-G235)</f>
        <v>47136.6</v>
      </c>
    </row>
    <row r="236" customFormat="false" ht="15" hidden="false" customHeight="false" outlineLevel="0" collapsed="false">
      <c r="A236" s="2" t="s">
        <v>336</v>
      </c>
      <c r="B236" s="2" t="s">
        <v>65</v>
      </c>
      <c r="C236" s="2" t="s">
        <v>427</v>
      </c>
      <c r="D236" s="2" t="s">
        <v>87</v>
      </c>
      <c r="E236" s="13" t="n">
        <v>242000</v>
      </c>
      <c r="F236" s="13" t="n">
        <v>159720</v>
      </c>
      <c r="G236" s="13" t="n">
        <v>107012.4</v>
      </c>
      <c r="H236" s="13" t="n">
        <v>47436.84</v>
      </c>
      <c r="I236" s="19" t="n">
        <f aca="false">MATCH(B236,Assumptions!$H$4:$H$6,0)</f>
        <v>2</v>
      </c>
      <c r="J236" s="19" t="n">
        <f aca="false">INDEX(Assumptions!$I$4:$I$6,I236)</f>
        <v>1.04</v>
      </c>
      <c r="K236" s="19" t="n">
        <f aca="false">VLOOKUP(B236,Assumptions!$H$4:$J$6,3,FALSE())</f>
        <v>1.15</v>
      </c>
      <c r="L236" s="19" t="n">
        <f aca="false">ABS(F236-G236)</f>
        <v>52707.6</v>
      </c>
    </row>
    <row r="237" customFormat="false" ht="15" hidden="false" customHeight="false" outlineLevel="0" collapsed="false">
      <c r="A237" s="2" t="s">
        <v>337</v>
      </c>
      <c r="B237" s="2" t="s">
        <v>69</v>
      </c>
      <c r="C237" s="2" t="s">
        <v>428</v>
      </c>
      <c r="D237" s="2" t="s">
        <v>87</v>
      </c>
      <c r="E237" s="13" t="n">
        <v>155000</v>
      </c>
      <c r="F237" s="13" t="n">
        <v>111600</v>
      </c>
      <c r="G237" s="13" t="n">
        <v>65844</v>
      </c>
      <c r="H237" s="13" t="n">
        <v>43925.76</v>
      </c>
      <c r="I237" s="19" t="n">
        <f aca="false">MATCH(B237,Assumptions!$H$4:$H$6,0)</f>
        <v>3</v>
      </c>
      <c r="J237" s="19" t="n">
        <f aca="false">INDEX(Assumptions!$I$4:$I$6,I237)</f>
        <v>1.06</v>
      </c>
      <c r="K237" s="19" t="n">
        <f aca="false">VLOOKUP(B237,Assumptions!$H$4:$J$6,3,FALSE())</f>
        <v>1.18</v>
      </c>
      <c r="L237" s="19" t="n">
        <f aca="false">ABS(F237-G237)</f>
        <v>45756</v>
      </c>
    </row>
    <row r="238" customFormat="false" ht="15" hidden="false" customHeight="false" outlineLevel="0" collapsed="false">
      <c r="A238" s="2" t="s">
        <v>338</v>
      </c>
      <c r="B238" s="2" t="s">
        <v>61</v>
      </c>
      <c r="C238" s="2" t="s">
        <v>426</v>
      </c>
      <c r="D238" s="2" t="s">
        <v>87</v>
      </c>
      <c r="E238" s="13" t="n">
        <v>177000</v>
      </c>
      <c r="F238" s="13" t="n">
        <v>102660</v>
      </c>
      <c r="G238" s="13" t="n">
        <v>82128</v>
      </c>
      <c r="H238" s="13" t="n">
        <v>19094.76</v>
      </c>
      <c r="I238" s="19" t="n">
        <f aca="false">MATCH(B238,Assumptions!$H$4:$H$6,0)</f>
        <v>1</v>
      </c>
      <c r="J238" s="19" t="n">
        <f aca="false">INDEX(Assumptions!$I$4:$I$6,I238)</f>
        <v>1.02</v>
      </c>
      <c r="K238" s="19" t="n">
        <f aca="false">VLOOKUP(B238,Assumptions!$H$4:$J$6,3,FALSE())</f>
        <v>1.12</v>
      </c>
      <c r="L238" s="19" t="n">
        <f aca="false">ABS(F238-G238)</f>
        <v>20532</v>
      </c>
    </row>
    <row r="239" customFormat="false" ht="15" hidden="false" customHeight="false" outlineLevel="0" collapsed="false">
      <c r="A239" s="2" t="s">
        <v>339</v>
      </c>
      <c r="B239" s="2" t="s">
        <v>65</v>
      </c>
      <c r="C239" s="2" t="s">
        <v>427</v>
      </c>
      <c r="D239" s="2" t="s">
        <v>87</v>
      </c>
      <c r="E239" s="13" t="n">
        <v>71000</v>
      </c>
      <c r="F239" s="13" t="n">
        <v>46860</v>
      </c>
      <c r="G239" s="13" t="n">
        <v>30459</v>
      </c>
      <c r="H239" s="13" t="n">
        <v>15416.94</v>
      </c>
      <c r="I239" s="19" t="n">
        <f aca="false">MATCH(B239,Assumptions!$H$4:$H$6,0)</f>
        <v>2</v>
      </c>
      <c r="J239" s="19" t="n">
        <f aca="false">INDEX(Assumptions!$I$4:$I$6,I239)</f>
        <v>1.04</v>
      </c>
      <c r="K239" s="19" t="n">
        <f aca="false">VLOOKUP(B239,Assumptions!$H$4:$J$6,3,FALSE())</f>
        <v>1.15</v>
      </c>
      <c r="L239" s="19" t="n">
        <f aca="false">ABS(F239-G239)</f>
        <v>16401</v>
      </c>
    </row>
    <row r="240" customFormat="false" ht="15" hidden="false" customHeight="false" outlineLevel="0" collapsed="false">
      <c r="A240" s="2" t="s">
        <v>340</v>
      </c>
      <c r="B240" s="2" t="s">
        <v>69</v>
      </c>
      <c r="C240" s="2" t="s">
        <v>428</v>
      </c>
      <c r="D240" s="2" t="s">
        <v>87</v>
      </c>
      <c r="E240" s="13" t="n">
        <v>205000</v>
      </c>
      <c r="F240" s="13" t="n">
        <v>147600</v>
      </c>
      <c r="G240" s="13" t="n">
        <v>85608</v>
      </c>
      <c r="H240" s="13" t="n">
        <v>57032.64</v>
      </c>
      <c r="I240" s="19" t="n">
        <f aca="false">MATCH(B240,Assumptions!$H$4:$H$6,0)</f>
        <v>3</v>
      </c>
      <c r="J240" s="19" t="n">
        <f aca="false">INDEX(Assumptions!$I$4:$I$6,I240)</f>
        <v>1.06</v>
      </c>
      <c r="K240" s="19" t="n">
        <f aca="false">VLOOKUP(B240,Assumptions!$H$4:$J$6,3,FALSE())</f>
        <v>1.18</v>
      </c>
      <c r="L240" s="19" t="n">
        <f aca="false">ABS(F240-G240)</f>
        <v>61992</v>
      </c>
    </row>
    <row r="241" customFormat="false" ht="15" hidden="false" customHeight="false" outlineLevel="0" collapsed="false">
      <c r="A241" s="2" t="s">
        <v>341</v>
      </c>
      <c r="B241" s="2" t="s">
        <v>61</v>
      </c>
      <c r="C241" s="2" t="s">
        <v>426</v>
      </c>
      <c r="D241" s="2" t="s">
        <v>87</v>
      </c>
      <c r="E241" s="13" t="n">
        <v>190000</v>
      </c>
      <c r="F241" s="13" t="n">
        <v>110200</v>
      </c>
      <c r="G241" s="13" t="n">
        <v>58406</v>
      </c>
      <c r="H241" s="13" t="n">
        <v>50758.12</v>
      </c>
      <c r="I241" s="19" t="n">
        <f aca="false">MATCH(B241,Assumptions!$H$4:$H$6,0)</f>
        <v>1</v>
      </c>
      <c r="J241" s="19" t="n">
        <f aca="false">INDEX(Assumptions!$I$4:$I$6,I241)</f>
        <v>1.02</v>
      </c>
      <c r="K241" s="19" t="n">
        <f aca="false">VLOOKUP(B241,Assumptions!$H$4:$J$6,3,FALSE())</f>
        <v>1.12</v>
      </c>
      <c r="L241" s="19" t="n">
        <f aca="false">ABS(F241-G241)</f>
        <v>51794</v>
      </c>
    </row>
    <row r="242" customFormat="false" ht="15" hidden="false" customHeight="false" outlineLevel="0" collapsed="false">
      <c r="A242" s="2" t="s">
        <v>342</v>
      </c>
      <c r="B242" s="2" t="s">
        <v>65</v>
      </c>
      <c r="C242" s="2" t="s">
        <v>427</v>
      </c>
      <c r="D242" s="2" t="s">
        <v>87</v>
      </c>
      <c r="E242" s="13" t="n">
        <v>142000</v>
      </c>
      <c r="F242" s="13" t="n">
        <v>93720</v>
      </c>
      <c r="G242" s="13" t="n">
        <v>57169.2</v>
      </c>
      <c r="H242" s="13" t="n">
        <v>32895.72</v>
      </c>
      <c r="I242" s="19" t="n">
        <f aca="false">MATCH(B242,Assumptions!$H$4:$H$6,0)</f>
        <v>2</v>
      </c>
      <c r="J242" s="19" t="n">
        <f aca="false">INDEX(Assumptions!$I$4:$I$6,I242)</f>
        <v>1.04</v>
      </c>
      <c r="K242" s="19" t="n">
        <f aca="false">VLOOKUP(B242,Assumptions!$H$4:$J$6,3,FALSE())</f>
        <v>1.15</v>
      </c>
      <c r="L242" s="19" t="n">
        <f aca="false">ABS(F242-G242)</f>
        <v>36550.8</v>
      </c>
    </row>
    <row r="243" customFormat="false" ht="15" hidden="false" customHeight="false" outlineLevel="0" collapsed="false">
      <c r="A243" s="2" t="s">
        <v>343</v>
      </c>
      <c r="B243" s="2" t="s">
        <v>69</v>
      </c>
      <c r="C243" s="2" t="s">
        <v>428</v>
      </c>
      <c r="D243" s="2" t="s">
        <v>87</v>
      </c>
      <c r="E243" s="13" t="n">
        <v>211000</v>
      </c>
      <c r="F243" s="13" t="n">
        <v>151920</v>
      </c>
      <c r="G243" s="13" t="n">
        <v>115459.2</v>
      </c>
      <c r="H243" s="13" t="n">
        <v>34273.15</v>
      </c>
      <c r="I243" s="19" t="n">
        <f aca="false">MATCH(B243,Assumptions!$H$4:$H$6,0)</f>
        <v>3</v>
      </c>
      <c r="J243" s="19" t="n">
        <f aca="false">INDEX(Assumptions!$I$4:$I$6,I243)</f>
        <v>1.06</v>
      </c>
      <c r="K243" s="19" t="n">
        <f aca="false">VLOOKUP(B243,Assumptions!$H$4:$J$6,3,FALSE())</f>
        <v>1.18</v>
      </c>
      <c r="L243" s="19" t="n">
        <f aca="false">ABS(F243-G243)</f>
        <v>36460.8</v>
      </c>
    </row>
    <row r="244" customFormat="false" ht="15" hidden="false" customHeight="false" outlineLevel="0" collapsed="false">
      <c r="A244" s="2" t="s">
        <v>344</v>
      </c>
      <c r="B244" s="2" t="s">
        <v>61</v>
      </c>
      <c r="C244" s="2" t="s">
        <v>426</v>
      </c>
      <c r="D244" s="2" t="s">
        <v>87</v>
      </c>
      <c r="E244" s="13" t="n">
        <v>92000</v>
      </c>
      <c r="F244" s="13" t="n">
        <v>53360</v>
      </c>
      <c r="G244" s="13" t="n">
        <v>39486.4</v>
      </c>
      <c r="H244" s="13" t="n">
        <v>13596.13</v>
      </c>
      <c r="I244" s="19" t="n">
        <f aca="false">MATCH(B244,Assumptions!$H$4:$H$6,0)</f>
        <v>1</v>
      </c>
      <c r="J244" s="19" t="n">
        <f aca="false">INDEX(Assumptions!$I$4:$I$6,I244)</f>
        <v>1.02</v>
      </c>
      <c r="K244" s="19" t="n">
        <f aca="false">VLOOKUP(B244,Assumptions!$H$4:$J$6,3,FALSE())</f>
        <v>1.12</v>
      </c>
      <c r="L244" s="19" t="n">
        <f aca="false">ABS(F244-G244)</f>
        <v>13873.6</v>
      </c>
    </row>
    <row r="245" customFormat="false" ht="15" hidden="false" customHeight="false" outlineLevel="0" collapsed="false">
      <c r="A245" s="2" t="s">
        <v>345</v>
      </c>
      <c r="B245" s="2" t="s">
        <v>65</v>
      </c>
      <c r="C245" s="2" t="s">
        <v>427</v>
      </c>
      <c r="D245" s="2" t="s">
        <v>87</v>
      </c>
      <c r="E245" s="13" t="n">
        <v>138000</v>
      </c>
      <c r="F245" s="13" t="n">
        <v>91080</v>
      </c>
      <c r="G245" s="13" t="n">
        <v>61023.6</v>
      </c>
      <c r="H245" s="13" t="n">
        <v>29154.71</v>
      </c>
      <c r="I245" s="19" t="n">
        <f aca="false">MATCH(B245,Assumptions!$H$4:$H$6,0)</f>
        <v>2</v>
      </c>
      <c r="J245" s="19" t="n">
        <f aca="false">INDEX(Assumptions!$I$4:$I$6,I245)</f>
        <v>1.04</v>
      </c>
      <c r="K245" s="19" t="n">
        <f aca="false">VLOOKUP(B245,Assumptions!$H$4:$J$6,3,FALSE())</f>
        <v>1.15</v>
      </c>
      <c r="L245" s="19" t="n">
        <f aca="false">ABS(F245-G245)</f>
        <v>30056.4</v>
      </c>
    </row>
    <row r="246" customFormat="false" ht="15" hidden="false" customHeight="false" outlineLevel="0" collapsed="false">
      <c r="A246" s="2" t="s">
        <v>346</v>
      </c>
      <c r="B246" s="2" t="s">
        <v>69</v>
      </c>
      <c r="C246" s="2" t="s">
        <v>428</v>
      </c>
      <c r="D246" s="2" t="s">
        <v>87</v>
      </c>
      <c r="E246" s="13" t="n">
        <v>200000</v>
      </c>
      <c r="F246" s="13" t="n">
        <v>144000</v>
      </c>
      <c r="G246" s="13" t="n">
        <v>103680</v>
      </c>
      <c r="H246" s="13" t="n">
        <v>38707.2</v>
      </c>
      <c r="I246" s="19" t="n">
        <f aca="false">MATCH(B246,Assumptions!$H$4:$H$6,0)</f>
        <v>3</v>
      </c>
      <c r="J246" s="19" t="n">
        <f aca="false">INDEX(Assumptions!$I$4:$I$6,I246)</f>
        <v>1.06</v>
      </c>
      <c r="K246" s="19" t="n">
        <f aca="false">VLOOKUP(B246,Assumptions!$H$4:$J$6,3,FALSE())</f>
        <v>1.18</v>
      </c>
      <c r="L246" s="19" t="n">
        <f aca="false">ABS(F246-G246)</f>
        <v>40320</v>
      </c>
    </row>
    <row r="247" customFormat="false" ht="15" hidden="false" customHeight="false" outlineLevel="0" collapsed="false">
      <c r="A247" s="2" t="s">
        <v>347</v>
      </c>
      <c r="B247" s="2" t="s">
        <v>61</v>
      </c>
      <c r="C247" s="2" t="s">
        <v>426</v>
      </c>
      <c r="D247" s="2" t="s">
        <v>87</v>
      </c>
      <c r="E247" s="13" t="n">
        <v>222000</v>
      </c>
      <c r="F247" s="13" t="n">
        <v>128760</v>
      </c>
      <c r="G247" s="13" t="n">
        <v>91419.6</v>
      </c>
      <c r="H247" s="13" t="n">
        <v>35846.78</v>
      </c>
      <c r="I247" s="19" t="n">
        <f aca="false">MATCH(B247,Assumptions!$H$4:$H$6,0)</f>
        <v>1</v>
      </c>
      <c r="J247" s="19" t="n">
        <f aca="false">INDEX(Assumptions!$I$4:$I$6,I247)</f>
        <v>1.02</v>
      </c>
      <c r="K247" s="19" t="n">
        <f aca="false">VLOOKUP(B247,Assumptions!$H$4:$J$6,3,FALSE())</f>
        <v>1.12</v>
      </c>
      <c r="L247" s="19" t="n">
        <f aca="false">ABS(F247-G247)</f>
        <v>37340.4</v>
      </c>
    </row>
    <row r="248" customFormat="false" ht="15" hidden="false" customHeight="false" outlineLevel="0" collapsed="false">
      <c r="A248" s="2" t="s">
        <v>348</v>
      </c>
      <c r="B248" s="2" t="s">
        <v>65</v>
      </c>
      <c r="C248" s="2" t="s">
        <v>427</v>
      </c>
      <c r="D248" s="2" t="s">
        <v>87</v>
      </c>
      <c r="E248" s="13" t="n">
        <v>213000</v>
      </c>
      <c r="F248" s="13" t="n">
        <v>140580</v>
      </c>
      <c r="G248" s="13" t="n">
        <v>94188.6</v>
      </c>
      <c r="H248" s="13" t="n">
        <v>41752.26</v>
      </c>
      <c r="I248" s="19" t="n">
        <f aca="false">MATCH(B248,Assumptions!$H$4:$H$6,0)</f>
        <v>2</v>
      </c>
      <c r="J248" s="19" t="n">
        <f aca="false">INDEX(Assumptions!$I$4:$I$6,I248)</f>
        <v>1.04</v>
      </c>
      <c r="K248" s="19" t="n">
        <f aca="false">VLOOKUP(B248,Assumptions!$H$4:$J$6,3,FALSE())</f>
        <v>1.15</v>
      </c>
      <c r="L248" s="19" t="n">
        <f aca="false">ABS(F248-G248)</f>
        <v>46391.4</v>
      </c>
    </row>
    <row r="249" customFormat="false" ht="15" hidden="false" customHeight="false" outlineLevel="0" collapsed="false">
      <c r="A249" s="2" t="s">
        <v>349</v>
      </c>
      <c r="B249" s="2" t="s">
        <v>69</v>
      </c>
      <c r="C249" s="2" t="s">
        <v>428</v>
      </c>
      <c r="D249" s="2" t="s">
        <v>87</v>
      </c>
      <c r="E249" s="13" t="n">
        <v>116000</v>
      </c>
      <c r="F249" s="13" t="n">
        <v>83520</v>
      </c>
      <c r="G249" s="13" t="n">
        <v>55123.2</v>
      </c>
      <c r="H249" s="13" t="n">
        <v>25557.12</v>
      </c>
      <c r="I249" s="19" t="n">
        <f aca="false">MATCH(B249,Assumptions!$H$4:$H$6,0)</f>
        <v>3</v>
      </c>
      <c r="J249" s="19" t="n">
        <f aca="false">INDEX(Assumptions!$I$4:$I$6,I249)</f>
        <v>1.06</v>
      </c>
      <c r="K249" s="19" t="n">
        <f aca="false">VLOOKUP(B249,Assumptions!$H$4:$J$6,3,FALSE())</f>
        <v>1.18</v>
      </c>
      <c r="L249" s="19" t="n">
        <f aca="false">ABS(F249-G249)</f>
        <v>28396.8</v>
      </c>
    </row>
    <row r="250" customFormat="false" ht="15" hidden="false" customHeight="false" outlineLevel="0" collapsed="false">
      <c r="A250" s="2" t="s">
        <v>350</v>
      </c>
      <c r="B250" s="2" t="s">
        <v>61</v>
      </c>
      <c r="C250" s="2" t="s">
        <v>426</v>
      </c>
      <c r="D250" s="2" t="s">
        <v>429</v>
      </c>
      <c r="E250" s="13" t="n">
        <v>179000</v>
      </c>
      <c r="F250" s="13" t="n">
        <v>103820</v>
      </c>
      <c r="G250" s="13" t="n">
        <v>73712.2</v>
      </c>
      <c r="H250" s="13" t="n">
        <v>28301.33</v>
      </c>
      <c r="I250" s="19" t="n">
        <f aca="false">MATCH(B250,Assumptions!$H$4:$H$6,0)</f>
        <v>1</v>
      </c>
      <c r="J250" s="19" t="n">
        <f aca="false">INDEX(Assumptions!$I$4:$I$6,I250)</f>
        <v>1.02</v>
      </c>
      <c r="K250" s="19" t="n">
        <f aca="false">VLOOKUP(B250,Assumptions!$H$4:$J$6,3,FALSE())</f>
        <v>1.12</v>
      </c>
      <c r="L250" s="19" t="n">
        <f aca="false">ABS(F250-G250)</f>
        <v>30107.8</v>
      </c>
    </row>
    <row r="251" customFormat="false" ht="15" hidden="false" customHeight="false" outlineLevel="0" collapsed="false">
      <c r="A251" s="2" t="s">
        <v>351</v>
      </c>
      <c r="B251" s="2" t="s">
        <v>65</v>
      </c>
      <c r="C251" s="2" t="s">
        <v>427</v>
      </c>
      <c r="D251" s="2" t="s">
        <v>87</v>
      </c>
      <c r="E251" s="13" t="n">
        <v>240000</v>
      </c>
      <c r="F251" s="13" t="n">
        <v>158400</v>
      </c>
      <c r="G251" s="13" t="n">
        <v>107712</v>
      </c>
      <c r="H251" s="13" t="n">
        <v>46632.96</v>
      </c>
      <c r="I251" s="19" t="n">
        <f aca="false">MATCH(B251,Assumptions!$H$4:$H$6,0)</f>
        <v>2</v>
      </c>
      <c r="J251" s="19" t="n">
        <f aca="false">INDEX(Assumptions!$I$4:$I$6,I251)</f>
        <v>1.04</v>
      </c>
      <c r="K251" s="19" t="n">
        <f aca="false">VLOOKUP(B251,Assumptions!$H$4:$J$6,3,FALSE())</f>
        <v>1.15</v>
      </c>
      <c r="L251" s="19" t="n">
        <f aca="false">ABS(F251-G251)</f>
        <v>50688</v>
      </c>
    </row>
    <row r="252" customFormat="false" ht="15" hidden="false" customHeight="false" outlineLevel="0" collapsed="false">
      <c r="A252" s="2" t="s">
        <v>352</v>
      </c>
      <c r="B252" s="2" t="s">
        <v>69</v>
      </c>
      <c r="C252" s="2" t="s">
        <v>428</v>
      </c>
      <c r="D252" s="2" t="s">
        <v>87</v>
      </c>
      <c r="E252" s="13" t="n">
        <v>74000</v>
      </c>
      <c r="F252" s="13" t="n">
        <v>53280</v>
      </c>
      <c r="G252" s="13" t="n">
        <v>38894.4</v>
      </c>
      <c r="H252" s="13" t="n">
        <v>13090.9</v>
      </c>
      <c r="I252" s="19" t="n">
        <f aca="false">MATCH(B252,Assumptions!$H$4:$H$6,0)</f>
        <v>3</v>
      </c>
      <c r="J252" s="19" t="n">
        <f aca="false">INDEX(Assumptions!$I$4:$I$6,I252)</f>
        <v>1.06</v>
      </c>
      <c r="K252" s="19" t="n">
        <f aca="false">VLOOKUP(B252,Assumptions!$H$4:$J$6,3,FALSE())</f>
        <v>1.18</v>
      </c>
      <c r="L252" s="19" t="n">
        <f aca="false">ABS(F252-G252)</f>
        <v>14385.6</v>
      </c>
    </row>
    <row r="253" customFormat="false" ht="15" hidden="false" customHeight="false" outlineLevel="0" collapsed="false">
      <c r="A253" s="2" t="s">
        <v>353</v>
      </c>
      <c r="B253" s="2" t="s">
        <v>61</v>
      </c>
      <c r="C253" s="2" t="s">
        <v>426</v>
      </c>
      <c r="D253" s="2" t="s">
        <v>87</v>
      </c>
      <c r="E253" s="13" t="n">
        <v>147000</v>
      </c>
      <c r="F253" s="13" t="n">
        <v>85260</v>
      </c>
      <c r="G253" s="13" t="n">
        <v>61387.2</v>
      </c>
      <c r="H253" s="13" t="n">
        <v>23872.8</v>
      </c>
      <c r="I253" s="19" t="n">
        <f aca="false">MATCH(B253,Assumptions!$H$4:$H$6,0)</f>
        <v>1</v>
      </c>
      <c r="J253" s="19" t="n">
        <f aca="false">INDEX(Assumptions!$I$4:$I$6,I253)</f>
        <v>1.02</v>
      </c>
      <c r="K253" s="19" t="n">
        <f aca="false">VLOOKUP(B253,Assumptions!$H$4:$J$6,3,FALSE())</f>
        <v>1.12</v>
      </c>
      <c r="L253" s="19" t="n">
        <f aca="false">ABS(F253-G253)</f>
        <v>23872.8</v>
      </c>
    </row>
    <row r="254" customFormat="false" ht="15" hidden="false" customHeight="false" outlineLevel="0" collapsed="false">
      <c r="A254" s="2" t="s">
        <v>354</v>
      </c>
      <c r="B254" s="2" t="s">
        <v>65</v>
      </c>
      <c r="C254" s="2" t="s">
        <v>427</v>
      </c>
      <c r="D254" s="2" t="s">
        <v>87</v>
      </c>
      <c r="E254" s="13" t="n">
        <v>191000</v>
      </c>
      <c r="F254" s="13" t="n">
        <v>126060</v>
      </c>
      <c r="G254" s="13" t="n">
        <v>75636</v>
      </c>
      <c r="H254" s="13" t="n">
        <v>45381.6</v>
      </c>
      <c r="I254" s="19" t="n">
        <f aca="false">MATCH(B254,Assumptions!$H$4:$H$6,0)</f>
        <v>2</v>
      </c>
      <c r="J254" s="19" t="n">
        <f aca="false">INDEX(Assumptions!$I$4:$I$6,I254)</f>
        <v>1.04</v>
      </c>
      <c r="K254" s="19" t="n">
        <f aca="false">VLOOKUP(B254,Assumptions!$H$4:$J$6,3,FALSE())</f>
        <v>1.15</v>
      </c>
      <c r="L254" s="19" t="n">
        <f aca="false">ABS(F254-G254)</f>
        <v>50424</v>
      </c>
    </row>
    <row r="255" customFormat="false" ht="15" hidden="false" customHeight="false" outlineLevel="0" collapsed="false">
      <c r="A255" s="2" t="s">
        <v>355</v>
      </c>
      <c r="B255" s="2" t="s">
        <v>69</v>
      </c>
      <c r="C255" s="2" t="s">
        <v>428</v>
      </c>
      <c r="D255" s="2" t="s">
        <v>87</v>
      </c>
      <c r="E255" s="13" t="n">
        <v>123000</v>
      </c>
      <c r="F255" s="13" t="n">
        <v>88560</v>
      </c>
      <c r="G255" s="13" t="n">
        <v>57564</v>
      </c>
      <c r="H255" s="13" t="n">
        <v>30376.08</v>
      </c>
      <c r="I255" s="19" t="n">
        <f aca="false">MATCH(B255,Assumptions!$H$4:$H$6,0)</f>
        <v>3</v>
      </c>
      <c r="J255" s="19" t="n">
        <f aca="false">INDEX(Assumptions!$I$4:$I$6,I255)</f>
        <v>1.06</v>
      </c>
      <c r="K255" s="19" t="n">
        <f aca="false">VLOOKUP(B255,Assumptions!$H$4:$J$6,3,FALSE())</f>
        <v>1.18</v>
      </c>
      <c r="L255" s="19" t="n">
        <f aca="false">ABS(F255-G255)</f>
        <v>30996</v>
      </c>
    </row>
    <row r="256" customFormat="false" ht="15" hidden="false" customHeight="false" outlineLevel="0" collapsed="false">
      <c r="A256" s="2" t="s">
        <v>356</v>
      </c>
      <c r="B256" s="2" t="s">
        <v>61</v>
      </c>
      <c r="C256" s="2" t="s">
        <v>426</v>
      </c>
      <c r="D256" s="2" t="s">
        <v>87</v>
      </c>
      <c r="E256" s="13" t="n">
        <v>66000</v>
      </c>
      <c r="F256" s="13" t="n">
        <v>38280</v>
      </c>
      <c r="G256" s="13" t="n">
        <v>21436.8</v>
      </c>
      <c r="H256" s="13" t="n">
        <v>16001.04</v>
      </c>
      <c r="I256" s="19" t="n">
        <f aca="false">MATCH(B256,Assumptions!$H$4:$H$6,0)</f>
        <v>1</v>
      </c>
      <c r="J256" s="19" t="n">
        <f aca="false">INDEX(Assumptions!$I$4:$I$6,I256)</f>
        <v>1.02</v>
      </c>
      <c r="K256" s="19" t="n">
        <f aca="false">VLOOKUP(B256,Assumptions!$H$4:$J$6,3,FALSE())</f>
        <v>1.12</v>
      </c>
      <c r="L256" s="19" t="n">
        <f aca="false">ABS(F256-G256)</f>
        <v>16843.2</v>
      </c>
    </row>
    <row r="257" customFormat="false" ht="15" hidden="false" customHeight="false" outlineLevel="0" collapsed="false">
      <c r="A257" s="2" t="s">
        <v>357</v>
      </c>
      <c r="B257" s="2" t="s">
        <v>65</v>
      </c>
      <c r="C257" s="2" t="s">
        <v>427</v>
      </c>
      <c r="D257" s="2" t="s">
        <v>87</v>
      </c>
      <c r="E257" s="13" t="n">
        <v>184000</v>
      </c>
      <c r="F257" s="13" t="n">
        <v>121440</v>
      </c>
      <c r="G257" s="13" t="n">
        <v>71649.6</v>
      </c>
      <c r="H257" s="13" t="n">
        <v>47798.78</v>
      </c>
      <c r="I257" s="19" t="n">
        <f aca="false">MATCH(B257,Assumptions!$H$4:$H$6,0)</f>
        <v>2</v>
      </c>
      <c r="J257" s="19" t="n">
        <f aca="false">INDEX(Assumptions!$I$4:$I$6,I257)</f>
        <v>1.04</v>
      </c>
      <c r="K257" s="19" t="n">
        <f aca="false">VLOOKUP(B257,Assumptions!$H$4:$J$6,3,FALSE())</f>
        <v>1.15</v>
      </c>
      <c r="L257" s="19" t="n">
        <f aca="false">ABS(F257-G257)</f>
        <v>49790.4</v>
      </c>
    </row>
    <row r="258" customFormat="false" ht="15" hidden="false" customHeight="false" outlineLevel="0" collapsed="false">
      <c r="A258" s="2" t="s">
        <v>358</v>
      </c>
      <c r="B258" s="2" t="s">
        <v>69</v>
      </c>
      <c r="C258" s="2" t="s">
        <v>428</v>
      </c>
      <c r="D258" s="2" t="s">
        <v>87</v>
      </c>
      <c r="E258" s="13" t="n">
        <v>212000</v>
      </c>
      <c r="F258" s="13" t="n">
        <v>152640</v>
      </c>
      <c r="G258" s="13" t="n">
        <v>102268.8</v>
      </c>
      <c r="H258" s="13" t="n">
        <v>47852.64</v>
      </c>
      <c r="I258" s="19" t="n">
        <f aca="false">MATCH(B258,Assumptions!$H$4:$H$6,0)</f>
        <v>3</v>
      </c>
      <c r="J258" s="19" t="n">
        <f aca="false">INDEX(Assumptions!$I$4:$I$6,I258)</f>
        <v>1.06</v>
      </c>
      <c r="K258" s="19" t="n">
        <f aca="false">VLOOKUP(B258,Assumptions!$H$4:$J$6,3,FALSE())</f>
        <v>1.18</v>
      </c>
      <c r="L258" s="19" t="n">
        <f aca="false">ABS(F258-G258)</f>
        <v>50371.2</v>
      </c>
    </row>
    <row r="259" customFormat="false" ht="15" hidden="false" customHeight="false" outlineLevel="0" collapsed="false">
      <c r="A259" s="2" t="s">
        <v>359</v>
      </c>
      <c r="B259" s="2" t="s">
        <v>61</v>
      </c>
      <c r="C259" s="2" t="s">
        <v>426</v>
      </c>
      <c r="D259" s="2" t="s">
        <v>87</v>
      </c>
      <c r="E259" s="13" t="n">
        <v>163000</v>
      </c>
      <c r="F259" s="13" t="n">
        <v>94540</v>
      </c>
      <c r="G259" s="13" t="n">
        <v>71850.4</v>
      </c>
      <c r="H259" s="13" t="n">
        <v>22235.81</v>
      </c>
      <c r="I259" s="19" t="n">
        <f aca="false">MATCH(B259,Assumptions!$H$4:$H$6,0)</f>
        <v>1</v>
      </c>
      <c r="J259" s="19" t="n">
        <f aca="false">INDEX(Assumptions!$I$4:$I$6,I259)</f>
        <v>1.02</v>
      </c>
      <c r="K259" s="19" t="n">
        <f aca="false">VLOOKUP(B259,Assumptions!$H$4:$J$6,3,FALSE())</f>
        <v>1.12</v>
      </c>
      <c r="L259" s="19" t="n">
        <f aca="false">ABS(F259-G259)</f>
        <v>22689.6</v>
      </c>
    </row>
    <row r="260" customFormat="false" ht="15" hidden="false" customHeight="false" outlineLevel="0" collapsed="false">
      <c r="A260" s="2" t="s">
        <v>360</v>
      </c>
      <c r="B260" s="2" t="s">
        <v>65</v>
      </c>
      <c r="C260" s="2" t="s">
        <v>427</v>
      </c>
      <c r="D260" s="2" t="s">
        <v>87</v>
      </c>
      <c r="E260" s="13" t="n">
        <v>154000</v>
      </c>
      <c r="F260" s="13" t="n">
        <v>101640</v>
      </c>
      <c r="G260" s="13" t="n">
        <v>81312</v>
      </c>
      <c r="H260" s="13" t="n">
        <v>20124.72</v>
      </c>
      <c r="I260" s="19" t="n">
        <f aca="false">MATCH(B260,Assumptions!$H$4:$H$6,0)</f>
        <v>2</v>
      </c>
      <c r="J260" s="19" t="n">
        <f aca="false">INDEX(Assumptions!$I$4:$I$6,I260)</f>
        <v>1.04</v>
      </c>
      <c r="K260" s="19" t="n">
        <f aca="false">VLOOKUP(B260,Assumptions!$H$4:$J$6,3,FALSE())</f>
        <v>1.15</v>
      </c>
      <c r="L260" s="19" t="n">
        <f aca="false">ABS(F260-G260)</f>
        <v>20328</v>
      </c>
    </row>
    <row r="261" customFormat="false" ht="15" hidden="false" customHeight="false" outlineLevel="0" collapsed="false">
      <c r="A261" s="2" t="s">
        <v>361</v>
      </c>
      <c r="B261" s="2" t="s">
        <v>69</v>
      </c>
      <c r="C261" s="2" t="s">
        <v>428</v>
      </c>
      <c r="D261" s="2" t="s">
        <v>87</v>
      </c>
      <c r="E261" s="13" t="n">
        <v>122000</v>
      </c>
      <c r="F261" s="13" t="n">
        <v>87840</v>
      </c>
      <c r="G261" s="13" t="n">
        <v>52704</v>
      </c>
      <c r="H261" s="13" t="n">
        <v>33379.2</v>
      </c>
      <c r="I261" s="19" t="n">
        <f aca="false">MATCH(B261,Assumptions!$H$4:$H$6,0)</f>
        <v>3</v>
      </c>
      <c r="J261" s="19" t="n">
        <f aca="false">INDEX(Assumptions!$I$4:$I$6,I261)</f>
        <v>1.06</v>
      </c>
      <c r="K261" s="19" t="n">
        <f aca="false">VLOOKUP(B261,Assumptions!$H$4:$J$6,3,FALSE())</f>
        <v>1.18</v>
      </c>
      <c r="L261" s="19" t="n">
        <f aca="false">ABS(F261-G261)</f>
        <v>35136</v>
      </c>
    </row>
    <row r="262" customFormat="false" ht="15" hidden="false" customHeight="false" outlineLevel="0" collapsed="false">
      <c r="A262" s="2" t="s">
        <v>362</v>
      </c>
      <c r="B262" s="2" t="s">
        <v>61</v>
      </c>
      <c r="C262" s="2" t="s">
        <v>426</v>
      </c>
      <c r="D262" s="2" t="s">
        <v>87</v>
      </c>
      <c r="E262" s="13" t="n">
        <v>104000</v>
      </c>
      <c r="F262" s="13" t="n">
        <v>60320</v>
      </c>
      <c r="G262" s="13" t="n">
        <v>44636.8</v>
      </c>
      <c r="H262" s="13" t="n">
        <v>14899.04</v>
      </c>
      <c r="I262" s="19" t="n">
        <f aca="false">MATCH(B262,Assumptions!$H$4:$H$6,0)</f>
        <v>1</v>
      </c>
      <c r="J262" s="19" t="n">
        <f aca="false">INDEX(Assumptions!$I$4:$I$6,I262)</f>
        <v>1.02</v>
      </c>
      <c r="K262" s="19" t="n">
        <f aca="false">VLOOKUP(B262,Assumptions!$H$4:$J$6,3,FALSE())</f>
        <v>1.12</v>
      </c>
      <c r="L262" s="19" t="n">
        <f aca="false">ABS(F262-G262)</f>
        <v>15683.2</v>
      </c>
    </row>
    <row r="263" customFormat="false" ht="15" hidden="false" customHeight="false" outlineLevel="0" collapsed="false">
      <c r="A263" s="2" t="s">
        <v>363</v>
      </c>
      <c r="B263" s="2" t="s">
        <v>65</v>
      </c>
      <c r="C263" s="2" t="s">
        <v>427</v>
      </c>
      <c r="D263" s="2" t="s">
        <v>87</v>
      </c>
      <c r="E263" s="13" t="n">
        <v>104000</v>
      </c>
      <c r="F263" s="13" t="n">
        <v>68640</v>
      </c>
      <c r="G263" s="13" t="n">
        <v>41870.4</v>
      </c>
      <c r="H263" s="13" t="n">
        <v>26501.9</v>
      </c>
      <c r="I263" s="19" t="n">
        <f aca="false">MATCH(B263,Assumptions!$H$4:$H$6,0)</f>
        <v>2</v>
      </c>
      <c r="J263" s="19" t="n">
        <f aca="false">INDEX(Assumptions!$I$4:$I$6,I263)</f>
        <v>1.04</v>
      </c>
      <c r="K263" s="19" t="n">
        <f aca="false">VLOOKUP(B263,Assumptions!$H$4:$J$6,3,FALSE())</f>
        <v>1.15</v>
      </c>
      <c r="L263" s="19" t="n">
        <f aca="false">ABS(F263-G263)</f>
        <v>26769.6</v>
      </c>
    </row>
    <row r="264" customFormat="false" ht="15" hidden="false" customHeight="false" outlineLevel="0" collapsed="false">
      <c r="A264" s="2" t="s">
        <v>364</v>
      </c>
      <c r="B264" s="2" t="s">
        <v>69</v>
      </c>
      <c r="C264" s="2" t="s">
        <v>428</v>
      </c>
      <c r="D264" s="2" t="s">
        <v>87</v>
      </c>
      <c r="E264" s="13" t="n">
        <v>223000</v>
      </c>
      <c r="F264" s="13" t="n">
        <v>160560</v>
      </c>
      <c r="G264" s="13" t="n">
        <v>123631.2</v>
      </c>
      <c r="H264" s="13" t="n">
        <v>33235.92</v>
      </c>
      <c r="I264" s="19" t="n">
        <f aca="false">MATCH(B264,Assumptions!$H$4:$H$6,0)</f>
        <v>3</v>
      </c>
      <c r="J264" s="19" t="n">
        <f aca="false">INDEX(Assumptions!$I$4:$I$6,I264)</f>
        <v>1.06</v>
      </c>
      <c r="K264" s="19" t="n">
        <f aca="false">VLOOKUP(B264,Assumptions!$H$4:$J$6,3,FALSE())</f>
        <v>1.18</v>
      </c>
      <c r="L264" s="19" t="n">
        <f aca="false">ABS(F264-G264)</f>
        <v>36928.8</v>
      </c>
    </row>
    <row r="265" customFormat="false" ht="15" hidden="false" customHeight="false" outlineLevel="0" collapsed="false">
      <c r="A265" s="2" t="s">
        <v>365</v>
      </c>
      <c r="B265" s="2" t="s">
        <v>61</v>
      </c>
      <c r="C265" s="2" t="s">
        <v>426</v>
      </c>
      <c r="D265" s="2" t="s">
        <v>87</v>
      </c>
      <c r="E265" s="13" t="n">
        <v>220000</v>
      </c>
      <c r="F265" s="13" t="n">
        <v>127600</v>
      </c>
      <c r="G265" s="13" t="n">
        <v>96976</v>
      </c>
      <c r="H265" s="13" t="n">
        <v>27867.84</v>
      </c>
      <c r="I265" s="19" t="n">
        <f aca="false">MATCH(B265,Assumptions!$H$4:$H$6,0)</f>
        <v>1</v>
      </c>
      <c r="J265" s="19" t="n">
        <f aca="false">INDEX(Assumptions!$I$4:$I$6,I265)</f>
        <v>1.02</v>
      </c>
      <c r="K265" s="19" t="n">
        <f aca="false">VLOOKUP(B265,Assumptions!$H$4:$J$6,3,FALSE())</f>
        <v>1.12</v>
      </c>
      <c r="L265" s="19" t="n">
        <f aca="false">ABS(F265-G265)</f>
        <v>30624</v>
      </c>
    </row>
    <row r="266" customFormat="false" ht="15" hidden="false" customHeight="false" outlineLevel="0" collapsed="false">
      <c r="A266" s="2" t="s">
        <v>366</v>
      </c>
      <c r="B266" s="2" t="s">
        <v>65</v>
      </c>
      <c r="C266" s="2" t="s">
        <v>427</v>
      </c>
      <c r="D266" s="2" t="s">
        <v>87</v>
      </c>
      <c r="E266" s="13" t="n">
        <v>156000</v>
      </c>
      <c r="F266" s="13" t="n">
        <v>102960</v>
      </c>
      <c r="G266" s="13" t="n">
        <v>71042.4</v>
      </c>
      <c r="H266" s="13" t="n">
        <v>30640.9</v>
      </c>
      <c r="I266" s="19" t="n">
        <f aca="false">MATCH(B266,Assumptions!$H$4:$H$6,0)</f>
        <v>2</v>
      </c>
      <c r="J266" s="19" t="n">
        <f aca="false">INDEX(Assumptions!$I$4:$I$6,I266)</f>
        <v>1.04</v>
      </c>
      <c r="K266" s="19" t="n">
        <f aca="false">VLOOKUP(B266,Assumptions!$H$4:$J$6,3,FALSE())</f>
        <v>1.15</v>
      </c>
      <c r="L266" s="19" t="n">
        <f aca="false">ABS(F266-G266)</f>
        <v>31917.6</v>
      </c>
    </row>
    <row r="267" customFormat="false" ht="15" hidden="false" customHeight="false" outlineLevel="0" collapsed="false">
      <c r="A267" s="2" t="s">
        <v>367</v>
      </c>
      <c r="B267" s="2" t="s">
        <v>69</v>
      </c>
      <c r="C267" s="2" t="s">
        <v>428</v>
      </c>
      <c r="D267" s="2" t="s">
        <v>87</v>
      </c>
      <c r="E267" s="13" t="n">
        <v>165000</v>
      </c>
      <c r="F267" s="13" t="n">
        <v>118800</v>
      </c>
      <c r="G267" s="13" t="n">
        <v>91476</v>
      </c>
      <c r="H267" s="13" t="n">
        <v>25411.32</v>
      </c>
      <c r="I267" s="19" t="n">
        <f aca="false">MATCH(B267,Assumptions!$H$4:$H$6,0)</f>
        <v>3</v>
      </c>
      <c r="J267" s="19" t="n">
        <f aca="false">INDEX(Assumptions!$I$4:$I$6,I267)</f>
        <v>1.06</v>
      </c>
      <c r="K267" s="19" t="n">
        <f aca="false">VLOOKUP(B267,Assumptions!$H$4:$J$6,3,FALSE())</f>
        <v>1.18</v>
      </c>
      <c r="L267" s="19" t="n">
        <f aca="false">ABS(F267-G267)</f>
        <v>27324</v>
      </c>
    </row>
    <row r="268" customFormat="false" ht="15" hidden="false" customHeight="false" outlineLevel="0" collapsed="false">
      <c r="A268" s="2" t="s">
        <v>368</v>
      </c>
      <c r="B268" s="2" t="s">
        <v>61</v>
      </c>
      <c r="C268" s="2" t="s">
        <v>426</v>
      </c>
      <c r="D268" s="2" t="s">
        <v>87</v>
      </c>
      <c r="E268" s="13" t="n">
        <v>213000</v>
      </c>
      <c r="F268" s="13" t="n">
        <v>123540</v>
      </c>
      <c r="G268" s="13" t="n">
        <v>70417.8</v>
      </c>
      <c r="H268" s="13" t="n">
        <v>48341.2</v>
      </c>
      <c r="I268" s="19" t="n">
        <f aca="false">MATCH(B268,Assumptions!$H$4:$H$6,0)</f>
        <v>1</v>
      </c>
      <c r="J268" s="19" t="n">
        <f aca="false">INDEX(Assumptions!$I$4:$I$6,I268)</f>
        <v>1.02</v>
      </c>
      <c r="K268" s="19" t="n">
        <f aca="false">VLOOKUP(B268,Assumptions!$H$4:$J$6,3,FALSE())</f>
        <v>1.12</v>
      </c>
      <c r="L268" s="19" t="n">
        <f aca="false">ABS(F268-G268)</f>
        <v>53122.2</v>
      </c>
    </row>
    <row r="269" customFormat="false" ht="15" hidden="false" customHeight="false" outlineLevel="0" collapsed="false">
      <c r="A269" s="2" t="s">
        <v>369</v>
      </c>
      <c r="B269" s="2" t="s">
        <v>65</v>
      </c>
      <c r="C269" s="2" t="s">
        <v>427</v>
      </c>
      <c r="D269" s="2" t="s">
        <v>429</v>
      </c>
      <c r="E269" s="13" t="n">
        <v>97000</v>
      </c>
      <c r="F269" s="13" t="n">
        <v>64020</v>
      </c>
      <c r="G269" s="13" t="n">
        <v>33930.6</v>
      </c>
      <c r="H269" s="13" t="n">
        <v>27983.14</v>
      </c>
      <c r="I269" s="19" t="n">
        <f aca="false">MATCH(B269,Assumptions!$H$4:$H$6,0)</f>
        <v>2</v>
      </c>
      <c r="J269" s="19" t="n">
        <f aca="false">INDEX(Assumptions!$I$4:$I$6,I269)</f>
        <v>1.04</v>
      </c>
      <c r="K269" s="19" t="n">
        <f aca="false">VLOOKUP(B269,Assumptions!$H$4:$J$6,3,FALSE())</f>
        <v>1.15</v>
      </c>
      <c r="L269" s="19" t="n">
        <f aca="false">ABS(F269-G269)</f>
        <v>30089.4</v>
      </c>
    </row>
    <row r="270" customFormat="false" ht="15" hidden="false" customHeight="false" outlineLevel="0" collapsed="false">
      <c r="A270" s="2" t="s">
        <v>370</v>
      </c>
      <c r="B270" s="2" t="s">
        <v>69</v>
      </c>
      <c r="C270" s="2" t="s">
        <v>428</v>
      </c>
      <c r="D270" s="2" t="s">
        <v>87</v>
      </c>
      <c r="E270" s="13" t="n">
        <v>85000</v>
      </c>
      <c r="F270" s="13" t="n">
        <v>61200</v>
      </c>
      <c r="G270" s="13" t="n">
        <v>47736</v>
      </c>
      <c r="H270" s="13" t="n">
        <v>13194.72</v>
      </c>
      <c r="I270" s="19" t="n">
        <f aca="false">MATCH(B270,Assumptions!$H$4:$H$6,0)</f>
        <v>3</v>
      </c>
      <c r="J270" s="19" t="n">
        <f aca="false">INDEX(Assumptions!$I$4:$I$6,I270)</f>
        <v>1.06</v>
      </c>
      <c r="K270" s="19" t="n">
        <f aca="false">VLOOKUP(B270,Assumptions!$H$4:$J$6,3,FALSE())</f>
        <v>1.18</v>
      </c>
      <c r="L270" s="19" t="n">
        <f aca="false">ABS(F270-G270)</f>
        <v>13464</v>
      </c>
    </row>
    <row r="271" customFormat="false" ht="15" hidden="false" customHeight="false" outlineLevel="0" collapsed="false">
      <c r="A271" s="2" t="s">
        <v>371</v>
      </c>
      <c r="B271" s="2" t="s">
        <v>61</v>
      </c>
      <c r="C271" s="2" t="s">
        <v>426</v>
      </c>
      <c r="D271" s="2" t="s">
        <v>87</v>
      </c>
      <c r="E271" s="13" t="n">
        <v>133000</v>
      </c>
      <c r="F271" s="13" t="n">
        <v>77140</v>
      </c>
      <c r="G271" s="13" t="n">
        <v>48598.2</v>
      </c>
      <c r="H271" s="13" t="n">
        <v>27970.96</v>
      </c>
      <c r="I271" s="19" t="n">
        <f aca="false">MATCH(B271,Assumptions!$H$4:$H$6,0)</f>
        <v>1</v>
      </c>
      <c r="J271" s="19" t="n">
        <f aca="false">INDEX(Assumptions!$I$4:$I$6,I271)</f>
        <v>1.02</v>
      </c>
      <c r="K271" s="19" t="n">
        <f aca="false">VLOOKUP(B271,Assumptions!$H$4:$J$6,3,FALSE())</f>
        <v>1.12</v>
      </c>
      <c r="L271" s="19" t="n">
        <f aca="false">ABS(F271-G271)</f>
        <v>28541.8</v>
      </c>
    </row>
    <row r="272" customFormat="false" ht="15" hidden="false" customHeight="false" outlineLevel="0" collapsed="false">
      <c r="A272" s="2" t="s">
        <v>372</v>
      </c>
      <c r="B272" s="2" t="s">
        <v>65</v>
      </c>
      <c r="C272" s="2" t="s">
        <v>427</v>
      </c>
      <c r="D272" s="2" t="s">
        <v>87</v>
      </c>
      <c r="E272" s="13" t="n">
        <v>108000</v>
      </c>
      <c r="F272" s="13" t="n">
        <v>71280</v>
      </c>
      <c r="G272" s="13" t="n">
        <v>44193.6</v>
      </c>
      <c r="H272" s="13" t="n">
        <v>24919.49</v>
      </c>
      <c r="I272" s="19" t="n">
        <f aca="false">MATCH(B272,Assumptions!$H$4:$H$6,0)</f>
        <v>2</v>
      </c>
      <c r="J272" s="19" t="n">
        <f aca="false">INDEX(Assumptions!$I$4:$I$6,I272)</f>
        <v>1.04</v>
      </c>
      <c r="K272" s="19" t="n">
        <f aca="false">VLOOKUP(B272,Assumptions!$H$4:$J$6,3,FALSE())</f>
        <v>1.15</v>
      </c>
      <c r="L272" s="19" t="n">
        <f aca="false">ABS(F272-G272)</f>
        <v>27086.4</v>
      </c>
    </row>
    <row r="273" customFormat="false" ht="15" hidden="false" customHeight="false" outlineLevel="0" collapsed="false">
      <c r="A273" s="2" t="s">
        <v>373</v>
      </c>
      <c r="B273" s="2" t="s">
        <v>69</v>
      </c>
      <c r="C273" s="2" t="s">
        <v>428</v>
      </c>
      <c r="D273" s="2" t="s">
        <v>87</v>
      </c>
      <c r="E273" s="13" t="n">
        <v>183000</v>
      </c>
      <c r="F273" s="13" t="n">
        <v>131760</v>
      </c>
      <c r="G273" s="13" t="n">
        <v>96184.8</v>
      </c>
      <c r="H273" s="13" t="n">
        <v>32729.18</v>
      </c>
      <c r="I273" s="19" t="n">
        <f aca="false">MATCH(B273,Assumptions!$H$4:$H$6,0)</f>
        <v>3</v>
      </c>
      <c r="J273" s="19" t="n">
        <f aca="false">INDEX(Assumptions!$I$4:$I$6,I273)</f>
        <v>1.06</v>
      </c>
      <c r="K273" s="19" t="n">
        <f aca="false">VLOOKUP(B273,Assumptions!$H$4:$J$6,3,FALSE())</f>
        <v>1.18</v>
      </c>
      <c r="L273" s="19" t="n">
        <f aca="false">ABS(F273-G273)</f>
        <v>35575.2</v>
      </c>
    </row>
    <row r="274" customFormat="false" ht="15" hidden="false" customHeight="false" outlineLevel="0" collapsed="false">
      <c r="A274" s="2" t="s">
        <v>374</v>
      </c>
      <c r="B274" s="2" t="s">
        <v>61</v>
      </c>
      <c r="C274" s="2" t="s">
        <v>426</v>
      </c>
      <c r="D274" s="2" t="s">
        <v>87</v>
      </c>
      <c r="E274" s="13" t="n">
        <v>93000</v>
      </c>
      <c r="F274" s="13" t="n">
        <v>53940</v>
      </c>
      <c r="G274" s="13" t="n">
        <v>39376.2</v>
      </c>
      <c r="H274" s="13" t="n">
        <v>13981.25</v>
      </c>
      <c r="I274" s="19" t="n">
        <f aca="false">MATCH(B274,Assumptions!$H$4:$H$6,0)</f>
        <v>1</v>
      </c>
      <c r="J274" s="19" t="n">
        <f aca="false">INDEX(Assumptions!$I$4:$I$6,I274)</f>
        <v>1.02</v>
      </c>
      <c r="K274" s="19" t="n">
        <f aca="false">VLOOKUP(B274,Assumptions!$H$4:$J$6,3,FALSE())</f>
        <v>1.12</v>
      </c>
      <c r="L274" s="19" t="n">
        <f aca="false">ABS(F274-G274)</f>
        <v>14563.8</v>
      </c>
    </row>
    <row r="275" customFormat="false" ht="15" hidden="false" customHeight="false" outlineLevel="0" collapsed="false">
      <c r="A275" s="2" t="s">
        <v>375</v>
      </c>
      <c r="B275" s="2" t="s">
        <v>65</v>
      </c>
      <c r="C275" s="2" t="s">
        <v>427</v>
      </c>
      <c r="D275" s="2" t="s">
        <v>87</v>
      </c>
      <c r="E275" s="13" t="n">
        <v>204000</v>
      </c>
      <c r="F275" s="13" t="n">
        <v>134640</v>
      </c>
      <c r="G275" s="13" t="n">
        <v>80784</v>
      </c>
      <c r="H275" s="13" t="n">
        <v>48470.4</v>
      </c>
      <c r="I275" s="19" t="n">
        <f aca="false">MATCH(B275,Assumptions!$H$4:$H$6,0)</f>
        <v>2</v>
      </c>
      <c r="J275" s="19" t="n">
        <f aca="false">INDEX(Assumptions!$I$4:$I$6,I275)</f>
        <v>1.04</v>
      </c>
      <c r="K275" s="19" t="n">
        <f aca="false">VLOOKUP(B275,Assumptions!$H$4:$J$6,3,FALSE())</f>
        <v>1.15</v>
      </c>
      <c r="L275" s="19" t="n">
        <f aca="false">ABS(F275-G275)</f>
        <v>53856</v>
      </c>
    </row>
    <row r="276" customFormat="false" ht="15" hidden="false" customHeight="false" outlineLevel="0" collapsed="false">
      <c r="A276" s="2" t="s">
        <v>376</v>
      </c>
      <c r="B276" s="2" t="s">
        <v>69</v>
      </c>
      <c r="C276" s="2" t="s">
        <v>428</v>
      </c>
      <c r="D276" s="2" t="s">
        <v>87</v>
      </c>
      <c r="E276" s="13" t="n">
        <v>110000</v>
      </c>
      <c r="F276" s="13" t="n">
        <v>79200</v>
      </c>
      <c r="G276" s="13" t="n">
        <v>58608</v>
      </c>
      <c r="H276" s="13" t="n">
        <v>18738.72</v>
      </c>
      <c r="I276" s="19" t="n">
        <f aca="false">MATCH(B276,Assumptions!$H$4:$H$6,0)</f>
        <v>3</v>
      </c>
      <c r="J276" s="19" t="n">
        <f aca="false">INDEX(Assumptions!$I$4:$I$6,I276)</f>
        <v>1.06</v>
      </c>
      <c r="K276" s="19" t="n">
        <f aca="false">VLOOKUP(B276,Assumptions!$H$4:$J$6,3,FALSE())</f>
        <v>1.18</v>
      </c>
      <c r="L276" s="19" t="n">
        <f aca="false">ABS(F276-G276)</f>
        <v>20592</v>
      </c>
    </row>
    <row r="277" customFormat="false" ht="15" hidden="false" customHeight="false" outlineLevel="0" collapsed="false">
      <c r="A277" s="2" t="s">
        <v>377</v>
      </c>
      <c r="B277" s="2" t="s">
        <v>61</v>
      </c>
      <c r="C277" s="2" t="s">
        <v>426</v>
      </c>
      <c r="D277" s="2" t="s">
        <v>87</v>
      </c>
      <c r="E277" s="13" t="n">
        <v>241000</v>
      </c>
      <c r="F277" s="13" t="n">
        <v>139780</v>
      </c>
      <c r="G277" s="13" t="n">
        <v>90857</v>
      </c>
      <c r="H277" s="13" t="n">
        <v>48433.77</v>
      </c>
      <c r="I277" s="19" t="n">
        <f aca="false">MATCH(B277,Assumptions!$H$4:$H$6,0)</f>
        <v>1</v>
      </c>
      <c r="J277" s="19" t="n">
        <f aca="false">INDEX(Assumptions!$I$4:$I$6,I277)</f>
        <v>1.02</v>
      </c>
      <c r="K277" s="19" t="n">
        <f aca="false">VLOOKUP(B277,Assumptions!$H$4:$J$6,3,FALSE())</f>
        <v>1.12</v>
      </c>
      <c r="L277" s="19" t="n">
        <f aca="false">ABS(F277-G277)</f>
        <v>48923</v>
      </c>
    </row>
    <row r="278" customFormat="false" ht="15" hidden="false" customHeight="false" outlineLevel="0" collapsed="false">
      <c r="A278" s="2" t="s">
        <v>378</v>
      </c>
      <c r="B278" s="2" t="s">
        <v>65</v>
      </c>
      <c r="C278" s="2" t="s">
        <v>427</v>
      </c>
      <c r="D278" s="2" t="s">
        <v>87</v>
      </c>
      <c r="E278" s="13" t="n">
        <v>165000</v>
      </c>
      <c r="F278" s="13" t="n">
        <v>108900</v>
      </c>
      <c r="G278" s="13" t="n">
        <v>74052</v>
      </c>
      <c r="H278" s="13" t="n">
        <v>34151.04</v>
      </c>
      <c r="I278" s="19" t="n">
        <f aca="false">MATCH(B278,Assumptions!$H$4:$H$6,0)</f>
        <v>2</v>
      </c>
      <c r="J278" s="19" t="n">
        <f aca="false">INDEX(Assumptions!$I$4:$I$6,I278)</f>
        <v>1.04</v>
      </c>
      <c r="K278" s="19" t="n">
        <f aca="false">VLOOKUP(B278,Assumptions!$H$4:$J$6,3,FALSE())</f>
        <v>1.15</v>
      </c>
      <c r="L278" s="19" t="n">
        <f aca="false">ABS(F278-G278)</f>
        <v>34848</v>
      </c>
    </row>
    <row r="279" customFormat="false" ht="15" hidden="false" customHeight="false" outlineLevel="0" collapsed="false">
      <c r="A279" s="2" t="s">
        <v>379</v>
      </c>
      <c r="B279" s="2" t="s">
        <v>69</v>
      </c>
      <c r="C279" s="2" t="s">
        <v>428</v>
      </c>
      <c r="D279" s="2" t="s">
        <v>87</v>
      </c>
      <c r="E279" s="13" t="n">
        <v>113000</v>
      </c>
      <c r="F279" s="13" t="n">
        <v>81360</v>
      </c>
      <c r="G279" s="13" t="n">
        <v>58579.2</v>
      </c>
      <c r="H279" s="13" t="n">
        <v>20958.34</v>
      </c>
      <c r="I279" s="19" t="n">
        <f aca="false">MATCH(B279,Assumptions!$H$4:$H$6,0)</f>
        <v>3</v>
      </c>
      <c r="J279" s="19" t="n">
        <f aca="false">INDEX(Assumptions!$I$4:$I$6,I279)</f>
        <v>1.06</v>
      </c>
      <c r="K279" s="19" t="n">
        <f aca="false">VLOOKUP(B279,Assumptions!$H$4:$J$6,3,FALSE())</f>
        <v>1.18</v>
      </c>
      <c r="L279" s="19" t="n">
        <f aca="false">ABS(F279-G279)</f>
        <v>22780.8</v>
      </c>
    </row>
    <row r="280" customFormat="false" ht="15" hidden="false" customHeight="false" outlineLevel="0" collapsed="false">
      <c r="A280" s="2" t="s">
        <v>380</v>
      </c>
      <c r="B280" s="2" t="s">
        <v>61</v>
      </c>
      <c r="C280" s="2" t="s">
        <v>426</v>
      </c>
      <c r="D280" s="2" t="s">
        <v>87</v>
      </c>
      <c r="E280" s="13" t="n">
        <v>230000</v>
      </c>
      <c r="F280" s="13" t="n">
        <v>133400</v>
      </c>
      <c r="G280" s="13" t="n">
        <v>86710</v>
      </c>
      <c r="H280" s="13" t="n">
        <v>42021</v>
      </c>
      <c r="I280" s="19" t="n">
        <f aca="false">MATCH(B280,Assumptions!$H$4:$H$6,0)</f>
        <v>1</v>
      </c>
      <c r="J280" s="19" t="n">
        <f aca="false">INDEX(Assumptions!$I$4:$I$6,I280)</f>
        <v>1.02</v>
      </c>
      <c r="K280" s="19" t="n">
        <f aca="false">VLOOKUP(B280,Assumptions!$H$4:$J$6,3,FALSE())</f>
        <v>1.12</v>
      </c>
      <c r="L280" s="19" t="n">
        <f aca="false">ABS(F280-G280)</f>
        <v>46690</v>
      </c>
    </row>
    <row r="281" customFormat="false" ht="15" hidden="false" customHeight="false" outlineLevel="0" collapsed="false">
      <c r="A281" s="2" t="s">
        <v>381</v>
      </c>
      <c r="B281" s="2" t="s">
        <v>65</v>
      </c>
      <c r="C281" s="2" t="s">
        <v>427</v>
      </c>
      <c r="D281" s="2" t="s">
        <v>87</v>
      </c>
      <c r="E281" s="13" t="n">
        <v>157000</v>
      </c>
      <c r="F281" s="13" t="n">
        <v>103620</v>
      </c>
      <c r="G281" s="13" t="n">
        <v>56991</v>
      </c>
      <c r="H281" s="13" t="n">
        <v>46629</v>
      </c>
      <c r="I281" s="19" t="n">
        <f aca="false">MATCH(B281,Assumptions!$H$4:$H$6,0)</f>
        <v>2</v>
      </c>
      <c r="J281" s="19" t="n">
        <f aca="false">INDEX(Assumptions!$I$4:$I$6,I281)</f>
        <v>1.04</v>
      </c>
      <c r="K281" s="19" t="n">
        <f aca="false">VLOOKUP(B281,Assumptions!$H$4:$J$6,3,FALSE())</f>
        <v>1.15</v>
      </c>
      <c r="L281" s="19" t="n">
        <f aca="false">ABS(F281-G281)</f>
        <v>46629</v>
      </c>
    </row>
    <row r="282" customFormat="false" ht="15" hidden="false" customHeight="false" outlineLevel="0" collapsed="false">
      <c r="A282" s="2" t="s">
        <v>382</v>
      </c>
      <c r="B282" s="2" t="s">
        <v>69</v>
      </c>
      <c r="C282" s="2" t="s">
        <v>428</v>
      </c>
      <c r="D282" s="2" t="s">
        <v>87</v>
      </c>
      <c r="E282" s="13" t="n">
        <v>109000</v>
      </c>
      <c r="F282" s="13" t="n">
        <v>78480</v>
      </c>
      <c r="G282" s="13" t="n">
        <v>41594.4</v>
      </c>
      <c r="H282" s="13" t="n">
        <v>35410.18</v>
      </c>
      <c r="I282" s="19" t="n">
        <f aca="false">MATCH(B282,Assumptions!$H$4:$H$6,0)</f>
        <v>3</v>
      </c>
      <c r="J282" s="19" t="n">
        <f aca="false">INDEX(Assumptions!$I$4:$I$6,I282)</f>
        <v>1.06</v>
      </c>
      <c r="K282" s="19" t="n">
        <f aca="false">VLOOKUP(B282,Assumptions!$H$4:$J$6,3,FALSE())</f>
        <v>1.18</v>
      </c>
      <c r="L282" s="19" t="n">
        <f aca="false">ABS(F282-G282)</f>
        <v>36885.6</v>
      </c>
    </row>
    <row r="283" customFormat="false" ht="15" hidden="false" customHeight="false" outlineLevel="0" collapsed="false">
      <c r="A283" s="2" t="s">
        <v>383</v>
      </c>
      <c r="B283" s="2" t="s">
        <v>61</v>
      </c>
      <c r="C283" s="2" t="s">
        <v>426</v>
      </c>
      <c r="D283" s="2" t="s">
        <v>87</v>
      </c>
      <c r="E283" s="13" t="n">
        <v>152000</v>
      </c>
      <c r="F283" s="13" t="n">
        <v>88160</v>
      </c>
      <c r="G283" s="13" t="n">
        <v>49369.6</v>
      </c>
      <c r="H283" s="13" t="n">
        <v>37626.69</v>
      </c>
      <c r="I283" s="19" t="n">
        <f aca="false">MATCH(B283,Assumptions!$H$4:$H$6,0)</f>
        <v>1</v>
      </c>
      <c r="J283" s="19" t="n">
        <f aca="false">INDEX(Assumptions!$I$4:$I$6,I283)</f>
        <v>1.02</v>
      </c>
      <c r="K283" s="19" t="n">
        <f aca="false">VLOOKUP(B283,Assumptions!$H$4:$J$6,3,FALSE())</f>
        <v>1.12</v>
      </c>
      <c r="L283" s="19" t="n">
        <f aca="false">ABS(F283-G283)</f>
        <v>38790.4</v>
      </c>
    </row>
    <row r="284" customFormat="false" ht="15" hidden="false" customHeight="false" outlineLevel="0" collapsed="false">
      <c r="A284" s="2" t="s">
        <v>384</v>
      </c>
      <c r="B284" s="2" t="s">
        <v>65</v>
      </c>
      <c r="C284" s="2" t="s">
        <v>427</v>
      </c>
      <c r="D284" s="2" t="s">
        <v>87</v>
      </c>
      <c r="E284" s="13" t="n">
        <v>62000</v>
      </c>
      <c r="F284" s="13" t="n">
        <v>40920</v>
      </c>
      <c r="G284" s="13" t="n">
        <v>31099.2</v>
      </c>
      <c r="H284" s="13" t="n">
        <v>9231.55</v>
      </c>
      <c r="I284" s="19" t="n">
        <f aca="false">MATCH(B284,Assumptions!$H$4:$H$6,0)</f>
        <v>2</v>
      </c>
      <c r="J284" s="19" t="n">
        <f aca="false">INDEX(Assumptions!$I$4:$I$6,I284)</f>
        <v>1.04</v>
      </c>
      <c r="K284" s="19" t="n">
        <f aca="false">VLOOKUP(B284,Assumptions!$H$4:$J$6,3,FALSE())</f>
        <v>1.15</v>
      </c>
      <c r="L284" s="19" t="n">
        <f aca="false">ABS(F284-G284)</f>
        <v>9820.8</v>
      </c>
    </row>
    <row r="285" customFormat="false" ht="15" hidden="false" customHeight="false" outlineLevel="0" collapsed="false">
      <c r="A285" s="2" t="s">
        <v>385</v>
      </c>
      <c r="B285" s="2" t="s">
        <v>69</v>
      </c>
      <c r="C285" s="2" t="s">
        <v>428</v>
      </c>
      <c r="D285" s="2" t="s">
        <v>87</v>
      </c>
      <c r="E285" s="13" t="n">
        <v>88000</v>
      </c>
      <c r="F285" s="13" t="n">
        <v>63360</v>
      </c>
      <c r="G285" s="13" t="n">
        <v>38016</v>
      </c>
      <c r="H285" s="13" t="n">
        <v>23569.92</v>
      </c>
      <c r="I285" s="19" t="n">
        <f aca="false">MATCH(B285,Assumptions!$H$4:$H$6,0)</f>
        <v>3</v>
      </c>
      <c r="J285" s="19" t="n">
        <f aca="false">INDEX(Assumptions!$I$4:$I$6,I285)</f>
        <v>1.06</v>
      </c>
      <c r="K285" s="19" t="n">
        <f aca="false">VLOOKUP(B285,Assumptions!$H$4:$J$6,3,FALSE())</f>
        <v>1.18</v>
      </c>
      <c r="L285" s="19" t="n">
        <f aca="false">ABS(F285-G285)</f>
        <v>25344</v>
      </c>
    </row>
    <row r="286" customFormat="false" ht="15" hidden="false" customHeight="false" outlineLevel="0" collapsed="false">
      <c r="A286" s="2" t="s">
        <v>386</v>
      </c>
      <c r="B286" s="2" t="s">
        <v>61</v>
      </c>
      <c r="C286" s="2" t="s">
        <v>426</v>
      </c>
      <c r="D286" s="2" t="s">
        <v>87</v>
      </c>
      <c r="E286" s="13" t="n">
        <v>160000</v>
      </c>
      <c r="F286" s="13" t="n">
        <v>92800</v>
      </c>
      <c r="G286" s="13" t="n">
        <v>58464</v>
      </c>
      <c r="H286" s="13" t="n">
        <v>32962.56</v>
      </c>
      <c r="I286" s="19" t="n">
        <f aca="false">MATCH(B286,Assumptions!$H$4:$H$6,0)</f>
        <v>1</v>
      </c>
      <c r="J286" s="19" t="n">
        <f aca="false">INDEX(Assumptions!$I$4:$I$6,I286)</f>
        <v>1.02</v>
      </c>
      <c r="K286" s="19" t="n">
        <f aca="false">VLOOKUP(B286,Assumptions!$H$4:$J$6,3,FALSE())</f>
        <v>1.12</v>
      </c>
      <c r="L286" s="19" t="n">
        <f aca="false">ABS(F286-G286)</f>
        <v>34336</v>
      </c>
    </row>
    <row r="287" customFormat="false" ht="15" hidden="false" customHeight="false" outlineLevel="0" collapsed="false">
      <c r="A287" s="2" t="s">
        <v>387</v>
      </c>
      <c r="B287" s="2" t="s">
        <v>65</v>
      </c>
      <c r="C287" s="2" t="s">
        <v>427</v>
      </c>
      <c r="D287" s="2" t="s">
        <v>87</v>
      </c>
      <c r="E287" s="13" t="n">
        <v>153000</v>
      </c>
      <c r="F287" s="13" t="n">
        <v>100980</v>
      </c>
      <c r="G287" s="13" t="n">
        <v>73715.4</v>
      </c>
      <c r="H287" s="13" t="n">
        <v>24538.14</v>
      </c>
      <c r="I287" s="19" t="n">
        <f aca="false">MATCH(B287,Assumptions!$H$4:$H$6,0)</f>
        <v>2</v>
      </c>
      <c r="J287" s="19" t="n">
        <f aca="false">INDEX(Assumptions!$I$4:$I$6,I287)</f>
        <v>1.04</v>
      </c>
      <c r="K287" s="19" t="n">
        <f aca="false">VLOOKUP(B287,Assumptions!$H$4:$J$6,3,FALSE())</f>
        <v>1.15</v>
      </c>
      <c r="L287" s="19" t="n">
        <f aca="false">ABS(F287-G287)</f>
        <v>27264.6</v>
      </c>
    </row>
    <row r="288" customFormat="false" ht="15" hidden="false" customHeight="false" outlineLevel="0" collapsed="false">
      <c r="A288" s="2" t="s">
        <v>388</v>
      </c>
      <c r="B288" s="2" t="s">
        <v>69</v>
      </c>
      <c r="C288" s="2" t="s">
        <v>428</v>
      </c>
      <c r="D288" s="2" t="s">
        <v>429</v>
      </c>
      <c r="E288" s="13" t="n">
        <v>198000</v>
      </c>
      <c r="F288" s="13" t="n">
        <v>142560</v>
      </c>
      <c r="G288" s="13" t="n">
        <v>92664</v>
      </c>
      <c r="H288" s="13" t="n">
        <v>48399.12</v>
      </c>
      <c r="I288" s="19" t="n">
        <f aca="false">MATCH(B288,Assumptions!$H$4:$H$6,0)</f>
        <v>3</v>
      </c>
      <c r="J288" s="19" t="n">
        <f aca="false">INDEX(Assumptions!$I$4:$I$6,I288)</f>
        <v>1.06</v>
      </c>
      <c r="K288" s="19" t="n">
        <f aca="false">VLOOKUP(B288,Assumptions!$H$4:$J$6,3,FALSE())</f>
        <v>1.18</v>
      </c>
      <c r="L288" s="19" t="n">
        <f aca="false">ABS(F288-G288)</f>
        <v>49896</v>
      </c>
    </row>
    <row r="289" customFormat="false" ht="15" hidden="false" customHeight="false" outlineLevel="0" collapsed="false">
      <c r="A289" s="2" t="s">
        <v>389</v>
      </c>
      <c r="B289" s="2" t="s">
        <v>61</v>
      </c>
      <c r="C289" s="2" t="s">
        <v>426</v>
      </c>
      <c r="D289" s="2" t="s">
        <v>87</v>
      </c>
      <c r="E289" s="13" t="n">
        <v>193000</v>
      </c>
      <c r="F289" s="13" t="n">
        <v>111940</v>
      </c>
      <c r="G289" s="13" t="n">
        <v>89552</v>
      </c>
      <c r="H289" s="13" t="n">
        <v>20149.2</v>
      </c>
      <c r="I289" s="19" t="n">
        <f aca="false">MATCH(B289,Assumptions!$H$4:$H$6,0)</f>
        <v>1</v>
      </c>
      <c r="J289" s="19" t="n">
        <f aca="false">INDEX(Assumptions!$I$4:$I$6,I289)</f>
        <v>1.02</v>
      </c>
      <c r="K289" s="19" t="n">
        <f aca="false">VLOOKUP(B289,Assumptions!$H$4:$J$6,3,FALSE())</f>
        <v>1.12</v>
      </c>
      <c r="L289" s="19" t="n">
        <f aca="false">ABS(F289-G289)</f>
        <v>22388</v>
      </c>
    </row>
    <row r="290" customFormat="false" ht="15" hidden="false" customHeight="false" outlineLevel="0" collapsed="false">
      <c r="A290" s="2" t="s">
        <v>390</v>
      </c>
      <c r="B290" s="2" t="s">
        <v>65</v>
      </c>
      <c r="C290" s="2" t="s">
        <v>427</v>
      </c>
      <c r="D290" s="2" t="s">
        <v>87</v>
      </c>
      <c r="E290" s="13" t="n">
        <v>249000</v>
      </c>
      <c r="F290" s="13" t="n">
        <v>164340</v>
      </c>
      <c r="G290" s="13" t="n">
        <v>87100.2</v>
      </c>
      <c r="H290" s="13" t="n">
        <v>76467.4</v>
      </c>
      <c r="I290" s="19" t="n">
        <f aca="false">MATCH(B290,Assumptions!$H$4:$H$6,0)</f>
        <v>2</v>
      </c>
      <c r="J290" s="19" t="n">
        <f aca="false">INDEX(Assumptions!$I$4:$I$6,I290)</f>
        <v>1.04</v>
      </c>
      <c r="K290" s="19" t="n">
        <f aca="false">VLOOKUP(B290,Assumptions!$H$4:$J$6,3,FALSE())</f>
        <v>1.15</v>
      </c>
      <c r="L290" s="19" t="n">
        <f aca="false">ABS(F290-G290)</f>
        <v>77239.8</v>
      </c>
    </row>
    <row r="291" customFormat="false" ht="15" hidden="false" customHeight="false" outlineLevel="0" collapsed="false">
      <c r="A291" s="2" t="s">
        <v>391</v>
      </c>
      <c r="B291" s="2" t="s">
        <v>69</v>
      </c>
      <c r="C291" s="2" t="s">
        <v>428</v>
      </c>
      <c r="D291" s="2" t="s">
        <v>87</v>
      </c>
      <c r="E291" s="13" t="n">
        <v>72000</v>
      </c>
      <c r="F291" s="13" t="n">
        <v>51840</v>
      </c>
      <c r="G291" s="13" t="n">
        <v>27475.2</v>
      </c>
      <c r="H291" s="13" t="n">
        <v>22659.26</v>
      </c>
      <c r="I291" s="19" t="n">
        <f aca="false">MATCH(B291,Assumptions!$H$4:$H$6,0)</f>
        <v>3</v>
      </c>
      <c r="J291" s="19" t="n">
        <f aca="false">INDEX(Assumptions!$I$4:$I$6,I291)</f>
        <v>1.06</v>
      </c>
      <c r="K291" s="19" t="n">
        <f aca="false">VLOOKUP(B291,Assumptions!$H$4:$J$6,3,FALSE())</f>
        <v>1.18</v>
      </c>
      <c r="L291" s="19" t="n">
        <f aca="false">ABS(F291-G291)</f>
        <v>24364.8</v>
      </c>
    </row>
    <row r="292" customFormat="false" ht="15" hidden="false" customHeight="false" outlineLevel="0" collapsed="false">
      <c r="A292" s="2" t="s">
        <v>392</v>
      </c>
      <c r="B292" s="2" t="s">
        <v>61</v>
      </c>
      <c r="C292" s="2" t="s">
        <v>426</v>
      </c>
      <c r="D292" s="2" t="s">
        <v>87</v>
      </c>
      <c r="E292" s="13" t="n">
        <v>209000</v>
      </c>
      <c r="F292" s="13" t="n">
        <v>121220</v>
      </c>
      <c r="G292" s="13" t="n">
        <v>78793</v>
      </c>
      <c r="H292" s="13" t="n">
        <v>39032.84</v>
      </c>
      <c r="I292" s="19" t="n">
        <f aca="false">MATCH(B292,Assumptions!$H$4:$H$6,0)</f>
        <v>1</v>
      </c>
      <c r="J292" s="19" t="n">
        <f aca="false">INDEX(Assumptions!$I$4:$I$6,I292)</f>
        <v>1.02</v>
      </c>
      <c r="K292" s="19" t="n">
        <f aca="false">VLOOKUP(B292,Assumptions!$H$4:$J$6,3,FALSE())</f>
        <v>1.12</v>
      </c>
      <c r="L292" s="19" t="n">
        <f aca="false">ABS(F292-G292)</f>
        <v>42427</v>
      </c>
    </row>
    <row r="293" customFormat="false" ht="15" hidden="false" customHeight="false" outlineLevel="0" collapsed="false">
      <c r="A293" s="2" t="s">
        <v>393</v>
      </c>
      <c r="B293" s="2" t="s">
        <v>65</v>
      </c>
      <c r="C293" s="2" t="s">
        <v>427</v>
      </c>
      <c r="D293" s="2" t="s">
        <v>87</v>
      </c>
      <c r="E293" s="13" t="n">
        <v>203000</v>
      </c>
      <c r="F293" s="13" t="n">
        <v>133980</v>
      </c>
      <c r="G293" s="13" t="n">
        <v>104504.4</v>
      </c>
      <c r="H293" s="13" t="n">
        <v>28886.09</v>
      </c>
      <c r="I293" s="19" t="n">
        <f aca="false">MATCH(B293,Assumptions!$H$4:$H$6,0)</f>
        <v>2</v>
      </c>
      <c r="J293" s="19" t="n">
        <f aca="false">INDEX(Assumptions!$I$4:$I$6,I293)</f>
        <v>1.04</v>
      </c>
      <c r="K293" s="19" t="n">
        <f aca="false">VLOOKUP(B293,Assumptions!$H$4:$J$6,3,FALSE())</f>
        <v>1.15</v>
      </c>
      <c r="L293" s="19" t="n">
        <f aca="false">ABS(F293-G293)</f>
        <v>29475.6</v>
      </c>
    </row>
    <row r="294" customFormat="false" ht="15" hidden="false" customHeight="false" outlineLevel="0" collapsed="false">
      <c r="A294" s="2" t="s">
        <v>394</v>
      </c>
      <c r="B294" s="2" t="s">
        <v>69</v>
      </c>
      <c r="C294" s="2" t="s">
        <v>428</v>
      </c>
      <c r="D294" s="2" t="s">
        <v>87</v>
      </c>
      <c r="E294" s="13" t="n">
        <v>174000</v>
      </c>
      <c r="F294" s="13" t="n">
        <v>125280</v>
      </c>
      <c r="G294" s="13" t="n">
        <v>68904</v>
      </c>
      <c r="H294" s="13" t="n">
        <v>50738.4</v>
      </c>
      <c r="I294" s="19" t="n">
        <f aca="false">MATCH(B294,Assumptions!$H$4:$H$6,0)</f>
        <v>3</v>
      </c>
      <c r="J294" s="19" t="n">
        <f aca="false">INDEX(Assumptions!$I$4:$I$6,I294)</f>
        <v>1.06</v>
      </c>
      <c r="K294" s="19" t="n">
        <f aca="false">VLOOKUP(B294,Assumptions!$H$4:$J$6,3,FALSE())</f>
        <v>1.18</v>
      </c>
      <c r="L294" s="19" t="n">
        <f aca="false">ABS(F294-G294)</f>
        <v>56376</v>
      </c>
    </row>
    <row r="295" customFormat="false" ht="15" hidden="false" customHeight="false" outlineLevel="0" collapsed="false">
      <c r="A295" s="2" t="s">
        <v>395</v>
      </c>
      <c r="B295" s="2" t="s">
        <v>61</v>
      </c>
      <c r="C295" s="2" t="s">
        <v>426</v>
      </c>
      <c r="D295" s="2" t="s">
        <v>87</v>
      </c>
      <c r="E295" s="13" t="n">
        <v>242000</v>
      </c>
      <c r="F295" s="13" t="n">
        <v>140360</v>
      </c>
      <c r="G295" s="13" t="n">
        <v>75794.4</v>
      </c>
      <c r="H295" s="13" t="n">
        <v>61337.32</v>
      </c>
      <c r="I295" s="19" t="n">
        <f aca="false">MATCH(B295,Assumptions!$H$4:$H$6,0)</f>
        <v>1</v>
      </c>
      <c r="J295" s="19" t="n">
        <f aca="false">INDEX(Assumptions!$I$4:$I$6,I295)</f>
        <v>1.02</v>
      </c>
      <c r="K295" s="19" t="n">
        <f aca="false">VLOOKUP(B295,Assumptions!$H$4:$J$6,3,FALSE())</f>
        <v>1.12</v>
      </c>
      <c r="L295" s="19" t="n">
        <f aca="false">ABS(F295-G295)</f>
        <v>64565.6</v>
      </c>
    </row>
    <row r="296" customFormat="false" ht="15" hidden="false" customHeight="false" outlineLevel="0" collapsed="false">
      <c r="A296" s="2" t="s">
        <v>396</v>
      </c>
      <c r="B296" s="2" t="s">
        <v>65</v>
      </c>
      <c r="C296" s="2" t="s">
        <v>427</v>
      </c>
      <c r="D296" s="2" t="s">
        <v>87</v>
      </c>
      <c r="E296" s="13" t="n">
        <v>94000</v>
      </c>
      <c r="F296" s="13" t="n">
        <v>62040</v>
      </c>
      <c r="G296" s="13" t="n">
        <v>39705.6</v>
      </c>
      <c r="H296" s="13" t="n">
        <v>20324.3</v>
      </c>
      <c r="I296" s="19" t="n">
        <f aca="false">MATCH(B296,Assumptions!$H$4:$H$6,0)</f>
        <v>2</v>
      </c>
      <c r="J296" s="19" t="n">
        <f aca="false">INDEX(Assumptions!$I$4:$I$6,I296)</f>
        <v>1.04</v>
      </c>
      <c r="K296" s="19" t="n">
        <f aca="false">VLOOKUP(B296,Assumptions!$H$4:$J$6,3,FALSE())</f>
        <v>1.15</v>
      </c>
      <c r="L296" s="19" t="n">
        <f aca="false">ABS(F296-G296)</f>
        <v>22334.4</v>
      </c>
    </row>
    <row r="297" customFormat="false" ht="15" hidden="false" customHeight="false" outlineLevel="0" collapsed="false">
      <c r="A297" s="2" t="s">
        <v>397</v>
      </c>
      <c r="B297" s="2" t="s">
        <v>69</v>
      </c>
      <c r="C297" s="2" t="s">
        <v>428</v>
      </c>
      <c r="D297" s="2" t="s">
        <v>87</v>
      </c>
      <c r="E297" s="13" t="n">
        <v>207000</v>
      </c>
      <c r="F297" s="13" t="n">
        <v>149040</v>
      </c>
      <c r="G297" s="13" t="n">
        <v>78991.2</v>
      </c>
      <c r="H297" s="13" t="n">
        <v>68647.82</v>
      </c>
      <c r="I297" s="19" t="n">
        <f aca="false">MATCH(B297,Assumptions!$H$4:$H$6,0)</f>
        <v>3</v>
      </c>
      <c r="J297" s="19" t="n">
        <f aca="false">INDEX(Assumptions!$I$4:$I$6,I297)</f>
        <v>1.06</v>
      </c>
      <c r="K297" s="19" t="n">
        <f aca="false">VLOOKUP(B297,Assumptions!$H$4:$J$6,3,FALSE())</f>
        <v>1.18</v>
      </c>
      <c r="L297" s="19" t="n">
        <f aca="false">ABS(F297-G297)</f>
        <v>70048.8</v>
      </c>
    </row>
    <row r="298" customFormat="false" ht="15" hidden="false" customHeight="false" outlineLevel="0" collapsed="false">
      <c r="A298" s="2" t="s">
        <v>398</v>
      </c>
      <c r="B298" s="2" t="s">
        <v>61</v>
      </c>
      <c r="C298" s="2" t="s">
        <v>426</v>
      </c>
      <c r="D298" s="2" t="s">
        <v>87</v>
      </c>
      <c r="E298" s="13" t="n">
        <v>165000</v>
      </c>
      <c r="F298" s="13" t="n">
        <v>95700</v>
      </c>
      <c r="G298" s="13" t="n">
        <v>51678</v>
      </c>
      <c r="H298" s="13" t="n">
        <v>41380.68</v>
      </c>
      <c r="I298" s="19" t="n">
        <f aca="false">MATCH(B298,Assumptions!$H$4:$H$6,0)</f>
        <v>1</v>
      </c>
      <c r="J298" s="19" t="n">
        <f aca="false">INDEX(Assumptions!$I$4:$I$6,I298)</f>
        <v>1.02</v>
      </c>
      <c r="K298" s="19" t="n">
        <f aca="false">VLOOKUP(B298,Assumptions!$H$4:$J$6,3,FALSE())</f>
        <v>1.12</v>
      </c>
      <c r="L298" s="19" t="n">
        <f aca="false">ABS(F298-G298)</f>
        <v>44022</v>
      </c>
    </row>
    <row r="299" customFormat="false" ht="15" hidden="false" customHeight="false" outlineLevel="0" collapsed="false">
      <c r="A299" s="2" t="s">
        <v>399</v>
      </c>
      <c r="B299" s="2" t="s">
        <v>65</v>
      </c>
      <c r="C299" s="2" t="s">
        <v>427</v>
      </c>
      <c r="D299" s="2" t="s">
        <v>87</v>
      </c>
      <c r="E299" s="13" t="n">
        <v>148000</v>
      </c>
      <c r="F299" s="13" t="n">
        <v>97680</v>
      </c>
      <c r="G299" s="13" t="n">
        <v>65445.6</v>
      </c>
      <c r="H299" s="13" t="n">
        <v>31912.06</v>
      </c>
      <c r="I299" s="19" t="n">
        <f aca="false">MATCH(B299,Assumptions!$H$4:$H$6,0)</f>
        <v>2</v>
      </c>
      <c r="J299" s="19" t="n">
        <f aca="false">INDEX(Assumptions!$I$4:$I$6,I299)</f>
        <v>1.04</v>
      </c>
      <c r="K299" s="19" t="n">
        <f aca="false">VLOOKUP(B299,Assumptions!$H$4:$J$6,3,FALSE())</f>
        <v>1.15</v>
      </c>
      <c r="L299" s="19" t="n">
        <f aca="false">ABS(F299-G299)</f>
        <v>32234.4</v>
      </c>
    </row>
    <row r="300" customFormat="false" ht="15" hidden="false" customHeight="false" outlineLevel="0" collapsed="false">
      <c r="A300" s="2" t="s">
        <v>400</v>
      </c>
      <c r="B300" s="2" t="s">
        <v>69</v>
      </c>
      <c r="C300" s="2" t="s">
        <v>428</v>
      </c>
      <c r="D300" s="2" t="s">
        <v>87</v>
      </c>
      <c r="E300" s="13" t="n">
        <v>85000</v>
      </c>
      <c r="F300" s="13" t="n">
        <v>61200</v>
      </c>
      <c r="G300" s="13" t="n">
        <v>48348</v>
      </c>
      <c r="H300" s="13" t="n">
        <v>11566.8</v>
      </c>
      <c r="I300" s="19" t="n">
        <f aca="false">MATCH(B300,Assumptions!$H$4:$H$6,0)</f>
        <v>3</v>
      </c>
      <c r="J300" s="19" t="n">
        <f aca="false">INDEX(Assumptions!$I$4:$I$6,I300)</f>
        <v>1.06</v>
      </c>
      <c r="K300" s="19" t="n">
        <f aca="false">VLOOKUP(B300,Assumptions!$H$4:$J$6,3,FALSE())</f>
        <v>1.18</v>
      </c>
      <c r="L300" s="19" t="n">
        <f aca="false">ABS(F300-G300)</f>
        <v>12852</v>
      </c>
    </row>
    <row r="301" customFormat="false" ht="15" hidden="false" customHeight="false" outlineLevel="0" collapsed="false">
      <c r="A301" s="2" t="s">
        <v>401</v>
      </c>
      <c r="B301" s="2" t="s">
        <v>61</v>
      </c>
      <c r="C301" s="2" t="s">
        <v>426</v>
      </c>
      <c r="D301" s="2" t="s">
        <v>87</v>
      </c>
      <c r="E301" s="13" t="n">
        <v>143000</v>
      </c>
      <c r="F301" s="13" t="n">
        <v>82940</v>
      </c>
      <c r="G301" s="13" t="n">
        <v>63034.4</v>
      </c>
      <c r="H301" s="13" t="n">
        <v>18910.32</v>
      </c>
      <c r="I301" s="19" t="n">
        <f aca="false">MATCH(B301,Assumptions!$H$4:$H$6,0)</f>
        <v>1</v>
      </c>
      <c r="J301" s="19" t="n">
        <f aca="false">INDEX(Assumptions!$I$4:$I$6,I301)</f>
        <v>1.02</v>
      </c>
      <c r="K301" s="19" t="n">
        <f aca="false">VLOOKUP(B301,Assumptions!$H$4:$J$6,3,FALSE())</f>
        <v>1.12</v>
      </c>
      <c r="L301" s="19" t="n">
        <f aca="false">ABS(F301-G301)</f>
        <v>19905.6</v>
      </c>
    </row>
    <row r="302" customFormat="false" ht="15" hidden="false" customHeight="false" outlineLevel="0" collapsed="false">
      <c r="A302" s="2" t="s">
        <v>402</v>
      </c>
      <c r="B302" s="2" t="s">
        <v>65</v>
      </c>
      <c r="C302" s="2" t="s">
        <v>427</v>
      </c>
      <c r="D302" s="2" t="s">
        <v>87</v>
      </c>
      <c r="E302" s="13" t="n">
        <v>192000</v>
      </c>
      <c r="F302" s="13" t="n">
        <v>126720</v>
      </c>
      <c r="G302" s="13" t="n">
        <v>82368</v>
      </c>
      <c r="H302" s="13" t="n">
        <v>42577.92</v>
      </c>
      <c r="I302" s="19" t="n">
        <f aca="false">MATCH(B302,Assumptions!$H$4:$H$6,0)</f>
        <v>2</v>
      </c>
      <c r="J302" s="19" t="n">
        <f aca="false">INDEX(Assumptions!$I$4:$I$6,I302)</f>
        <v>1.04</v>
      </c>
      <c r="K302" s="19" t="n">
        <f aca="false">VLOOKUP(B302,Assumptions!$H$4:$J$6,3,FALSE())</f>
        <v>1.15</v>
      </c>
      <c r="L302" s="19" t="n">
        <f aca="false">ABS(F302-G302)</f>
        <v>44352</v>
      </c>
    </row>
    <row r="303" customFormat="false" ht="15" hidden="false" customHeight="false" outlineLevel="0" collapsed="false">
      <c r="A303" s="2" t="s">
        <v>403</v>
      </c>
      <c r="B303" s="2" t="s">
        <v>69</v>
      </c>
      <c r="C303" s="2" t="s">
        <v>428</v>
      </c>
      <c r="D303" s="2" t="s">
        <v>87</v>
      </c>
      <c r="E303" s="13" t="n">
        <v>133000</v>
      </c>
      <c r="F303" s="13" t="n">
        <v>95760</v>
      </c>
      <c r="G303" s="13" t="n">
        <v>66074.4</v>
      </c>
      <c r="H303" s="13" t="n">
        <v>28498.18</v>
      </c>
      <c r="I303" s="19" t="n">
        <f aca="false">MATCH(B303,Assumptions!$H$4:$H$6,0)</f>
        <v>3</v>
      </c>
      <c r="J303" s="19" t="n">
        <f aca="false">INDEX(Assumptions!$I$4:$I$6,I303)</f>
        <v>1.06</v>
      </c>
      <c r="K303" s="19" t="n">
        <f aca="false">VLOOKUP(B303,Assumptions!$H$4:$J$6,3,FALSE())</f>
        <v>1.18</v>
      </c>
      <c r="L303" s="19" t="n">
        <f aca="false">ABS(F303-G303)</f>
        <v>29685.6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430</v>
      </c>
      <c r="B1" s="1" t="s">
        <v>430</v>
      </c>
    </row>
    <row r="2" customFormat="false" ht="15" hidden="false" customHeight="false" outlineLevel="0" collapsed="false">
      <c r="A2" s="2" t="s">
        <v>431</v>
      </c>
      <c r="B2" s="2" t="s">
        <v>431</v>
      </c>
    </row>
    <row r="3" customFormat="false" ht="15" hidden="false" customHeight="false" outlineLevel="0" collapsed="false">
      <c r="A3" s="3" t="s">
        <v>432</v>
      </c>
      <c r="B3" s="5" t="s">
        <v>433</v>
      </c>
    </row>
    <row r="4" customFormat="false" ht="15" hidden="false" customHeight="false" outlineLevel="0" collapsed="false">
      <c r="A4" s="2" t="s">
        <v>434</v>
      </c>
      <c r="B4" s="13" t="n">
        <f aca="false">'Accounting Bridge'!C4+'Impact Summary'!B5</f>
        <v>0</v>
      </c>
    </row>
    <row r="5" customFormat="false" ht="15" hidden="false" customHeight="false" outlineLevel="0" collapsed="false">
      <c r="A5" s="2" t="s">
        <v>435</v>
      </c>
      <c r="B5" s="13" t="n">
        <f aca="false">'Accounting Bridge'!C5-'Impact Summary'!B8</f>
        <v>0</v>
      </c>
    </row>
    <row r="6" customFormat="false" ht="15" hidden="false" customHeight="false" outlineLevel="0" collapsed="false">
      <c r="A6" s="2" t="s">
        <v>436</v>
      </c>
      <c r="B6" s="13" t="n">
        <f aca="false">ROUND('Impact Summary'!B7-'Impact Summary'!B10,Assumptions!$B$10)</f>
        <v>0</v>
      </c>
    </row>
    <row r="7" customFormat="false" ht="15" hidden="false" customHeight="false" outlineLevel="0" collapsed="false">
      <c r="A7" s="2" t="s">
        <v>437</v>
      </c>
      <c r="B7" s="13" t="n">
        <f aca="false">ROUND(Aggregation!E8-'Impact Summary'!B6,Assumptions!$B$10)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  <col collapsed="false" customWidth="true" hidden="false" outlineLevel="0" max="3" min="3" style="0" width="24"/>
  </cols>
  <sheetData>
    <row r="1" customFormat="false" ht="24" hidden="false" customHeight="true" outlineLevel="0" collapsed="false">
      <c r="A1" s="1" t="s">
        <v>438</v>
      </c>
      <c r="B1" s="1" t="s">
        <v>438</v>
      </c>
      <c r="C1" s="1" t="s">
        <v>438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439</v>
      </c>
      <c r="B3" s="2" t="s">
        <v>440</v>
      </c>
      <c r="C3" s="2"/>
    </row>
    <row r="4" customFormat="false" ht="15" hidden="false" customHeight="false" outlineLevel="0" collapsed="false">
      <c r="A4" s="2" t="s">
        <v>441</v>
      </c>
      <c r="B4" s="2" t="s">
        <v>442</v>
      </c>
      <c r="C4" s="2"/>
    </row>
    <row r="5" customFormat="false" ht="15" hidden="false" customHeight="false" outlineLevel="0" collapsed="false">
      <c r="A5" s="2" t="s">
        <v>443</v>
      </c>
      <c r="B5" s="2" t="s">
        <v>444</v>
      </c>
      <c r="C5" s="2"/>
    </row>
    <row r="6" customFormat="false" ht="15" hidden="false" customHeight="false" outlineLevel="0" collapsed="false">
      <c r="A6" s="2" t="s">
        <v>445</v>
      </c>
      <c r="B6" s="2" t="s">
        <v>446</v>
      </c>
      <c r="C6" s="2"/>
    </row>
    <row r="7" customFormat="false" ht="15" hidden="false" customHeight="false" outlineLevel="0" collapsed="false">
      <c r="A7" s="2" t="s">
        <v>447</v>
      </c>
      <c r="B7" s="2" t="s">
        <v>448</v>
      </c>
      <c r="C7" s="2"/>
    </row>
    <row r="8" customFormat="false" ht="15" hidden="false" customHeight="false" outlineLevel="0" collapsed="false">
      <c r="A8" s="2" t="s">
        <v>449</v>
      </c>
      <c r="B8" s="2" t="s">
        <v>450</v>
      </c>
      <c r="C8" s="2"/>
    </row>
    <row r="9" customFormat="false" ht="15" hidden="false" customHeight="false" outlineLevel="0" collapsed="false">
      <c r="A9" s="2" t="s">
        <v>50</v>
      </c>
      <c r="B9" s="2" t="s">
        <v>451</v>
      </c>
      <c r="C9" s="2"/>
    </row>
    <row r="10" customFormat="false" ht="15" hidden="false" customHeight="false" outlineLevel="0" collapsed="false">
      <c r="A10" s="2" t="s">
        <v>452</v>
      </c>
      <c r="B10" s="2" t="s">
        <v>453</v>
      </c>
      <c r="C10" s="2"/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3" t="s">
        <v>454</v>
      </c>
      <c r="B12" s="4" t="s">
        <v>455</v>
      </c>
      <c r="C12" s="5" t="s">
        <v>30</v>
      </c>
    </row>
    <row r="13" customFormat="false" ht="15" hidden="false" customHeight="false" outlineLevel="0" collapsed="false">
      <c r="A13" s="2" t="s">
        <v>6</v>
      </c>
      <c r="B13" s="13" t="n">
        <v>11411087.59</v>
      </c>
      <c r="C13" s="2" t="s">
        <v>456</v>
      </c>
    </row>
    <row r="14" customFormat="false" ht="15" hidden="false" customHeight="false" outlineLevel="0" collapsed="false">
      <c r="A14" s="2" t="s">
        <v>9</v>
      </c>
      <c r="B14" s="13" t="n">
        <v>13741241.69</v>
      </c>
      <c r="C14" s="2" t="s">
        <v>457</v>
      </c>
    </row>
    <row r="15" customFormat="false" ht="15" hidden="false" customHeight="false" outlineLevel="0" collapsed="false">
      <c r="A15" s="2" t="s">
        <v>11</v>
      </c>
      <c r="B15" s="13" t="n">
        <v>2330154.1</v>
      </c>
      <c r="C15" s="2" t="s">
        <v>458</v>
      </c>
    </row>
    <row r="16" customFormat="false" ht="15" hidden="false" customHeight="false" outlineLevel="0" collapsed="false">
      <c r="A16" s="2" t="s">
        <v>17</v>
      </c>
      <c r="B16" s="13" t="n">
        <v>2330154.1</v>
      </c>
      <c r="C16" s="2" t="s">
        <v>459</v>
      </c>
    </row>
    <row r="17" customFormat="false" ht="15" hidden="false" customHeight="false" outlineLevel="0" collapsed="false">
      <c r="A17" s="2" t="s">
        <v>21</v>
      </c>
      <c r="B17" s="21" t="n">
        <v>1.8168</v>
      </c>
      <c r="C17" s="2" t="s">
        <v>460</v>
      </c>
    </row>
    <row r="18" customFormat="false" ht="15" hidden="false" customHeight="false" outlineLevel="0" collapsed="false">
      <c r="A18" s="2" t="s">
        <v>26</v>
      </c>
      <c r="B18" s="21" t="n">
        <v>0.0665</v>
      </c>
      <c r="C18" s="2" t="s">
        <v>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
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24d925a9244b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mo Guide" sheetId="1" r:id="R9e8471d714c840bb"/>
    <x:sheet xmlns:r="http://schemas.openxmlformats.org/officeDocument/2006/relationships" name="Assumptions" sheetId="2" r:id="R0745b42e19364785"/>
    <x:sheet xmlns:r="http://schemas.openxmlformats.org/officeDocument/2006/relationships" name="Lookup Table" sheetId="3" r:id="Rbf974e19dcb64f59"/>
    <x:sheet xmlns:r="http://schemas.openxmlformats.org/officeDocument/2006/relationships" name="Reserve Calculation" sheetId="4" r:id="R178a1f3354094904"/>
    <x:sheet xmlns:r="http://schemas.openxmlformats.org/officeDocument/2006/relationships" name="Circular Control" sheetId="5" r:id="R0049f8081a8d41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€#,##0;[Red](€#,##0);-"/>
    <x:numFmt numFmtId="202" formatCode="0.0%;[Red](0.0%);-"/>
    <x:numFmt numFmtId="203" formatCode="0"/>
  </x:numFmts>
  <x:fonts count="7">
    <x:font>
      <x:sz val="11"/>
      <x:name val="Carlito"/>
    </x:font>
    <x:font>
      <x:b/>
      <x:sz val="11"/>
      <x:color rgb="FFFFFFFF"/>
      <x:name val="Carlito"/>
    </x:font>
    <x:font>
      <x:sz val="11"/>
      <x:color rgb="FFFFFFFF"/>
      <x:name val="Carlito"/>
    </x:font>
    <x:font>
      <x:b/>
      <x:sz val="11"/>
      <x:color rgb="FF16324F"/>
      <x:name val="Carlito"/>
    </x:font>
    <x:font>
      <x:sz val="11"/>
      <x:color rgb="FF1F2937"/>
      <x:name val="Carlito"/>
    </x:font>
    <x:font>
      <x:sz val="11"/>
      <x:color rgb="FF0000FF"/>
      <x:name val="Carlito"/>
    </x:font>
    <x:font>
      <x:sz val="11"/>
      <x:color rgb="FF008000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A16207"/>
      </x:patternFill>
    </x:fill>
    <x:fill>
      <x:patternFill patternType="solid">
        <x:fgColor rgb="FFE8F1F5"/>
      </x:patternFill>
    </x:fill>
    <x:fill>
      <x:patternFill patternType="solid">
        <x:fgColor rgb="FFE2F0D9"/>
      </x:patternFill>
    </x:fill>
    <x:fill>
      <x:patternFill patternType="solid">
        <x:fgColor rgb="FF1F7A8C"/>
      </x:patternFill>
    </x:fill>
    <x:fill>
      <x:patternFill patternType="solid">
        <x:fgColor rgb="FFF3F4F6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4CE"/>
      </x:patternFill>
    </x:fill>
    <x:fill>
      <x:patternFill patternType="solid">
        <x:fgColor rgb="FFFCE8E6"/>
      </x:patternFill>
    </x:fill>
    <x:fill>
      <x:patternFill patternType="solid">
        <x:fgColor rgb="FF9F1239"/>
      </x:patternFill>
    </x:fill>
  </x:fills>
  <x:borders count="27">
    <x:border/>
    <x:border>
      <x:left style="medium">
        <x:color rgb="FF16324F"/>
      </x:left>
      <x:top style="medium">
        <x:color rgb="FF16324F"/>
      </x:top>
    </x:border>
    <x:border>
      <x:top style="medium">
        <x:color rgb="FF16324F"/>
      </x:top>
    </x:border>
    <x:border>
      <x:right style="medium">
        <x:color rgb="FF16324F"/>
      </x:right>
      <x:top style="medium">
        <x:color rgb="FF16324F"/>
      </x:top>
    </x:border>
    <x:border>
      <x:left style="medium">
        <x:color rgb="FF16324F"/>
      </x:left>
      <x:bottom style="medium">
        <x:color rgb="FF16324F"/>
      </x:bottom>
    </x:border>
    <x:border>
      <x:bottom style="medium">
        <x:color rgb="FF16324F"/>
      </x:bottom>
    </x:border>
    <x:border>
      <x:right style="medium">
        <x:color rgb="FF16324F"/>
      </x:right>
      <x:bottom style="medium">
        <x:color rgb="FF16324F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1F7A8C"/>
      </x:left>
      <x:top style="thin">
        <x:color rgb="FF1F7A8C"/>
      </x:top>
      <x:bottom style="thin">
        <x:color rgb="FF1F7A8C"/>
      </x:bottom>
    </x:border>
    <x:border>
      <x:top style="thin">
        <x:color rgb="FF1F7A8C"/>
      </x:top>
      <x:bottom style="thin">
        <x:color rgb="FF1F7A8C"/>
      </x:bottom>
    </x:border>
    <x:border>
      <x:right style="thin">
        <x:color rgb="FF1F7A8C"/>
      </x:right>
      <x:top style="thin">
        <x:color rgb="FF1F7A8C"/>
      </x:top>
      <x:bottom style="thin">
        <x:color rgb="FF1F7A8C"/>
      </x:bottom>
    </x:border>
    <x:border>
      <x:left style="thin">
        <x:color rgb="FFA16207"/>
      </x:left>
      <x:top style="thin">
        <x:color rgb="FFA16207"/>
      </x:top>
      <x:bottom style="thin">
        <x:color rgb="FFA16207"/>
      </x:bottom>
    </x:border>
    <x:border>
      <x:top style="thin">
        <x:color rgb="FFA16207"/>
      </x:top>
      <x:bottom style="thin">
        <x:color rgb="FFA16207"/>
      </x:bottom>
    </x:border>
    <x:border>
      <x:right style="thin">
        <x:color rgb="FFA16207"/>
      </x:right>
      <x:top style="thin">
        <x:color rgb="FFA16207"/>
      </x:top>
      <x:bottom style="thin">
        <x:color rgb="FFA16207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medium">
        <x:color rgb="FF1F7A8C"/>
      </x:left>
      <x:top style="medium">
        <x:color rgb="FF1F7A8C"/>
      </x:top>
      <x:bottom style="medium">
        <x:color rgb="FF1F7A8C"/>
      </x:bottom>
    </x:border>
    <x:border>
      <x:top style="medium">
        <x:color rgb="FF1F7A8C"/>
      </x:top>
      <x:bottom style="medium">
        <x:color rgb="FF1F7A8C"/>
      </x:bottom>
    </x:border>
    <x:border>
      <x:right style="medium">
        <x:color rgb="FF1F7A8C"/>
      </x:right>
      <x:top style="medium">
        <x:color rgb="FF1F7A8C"/>
      </x:top>
      <x:bottom style="medium">
        <x:color rgb="FF1F7A8C"/>
      </x:bottom>
    </x:border>
    <x:border>
      <x:left style="thin">
        <x:color rgb="FF9F1239"/>
      </x:left>
      <x:top style="thin">
        <x:color rgb="FF9F1239"/>
      </x:top>
      <x:bottom style="thin">
        <x:color rgb="FF9F1239"/>
      </x:bottom>
    </x:border>
    <x:border>
      <x:top style="thin">
        <x:color rgb="FF9F1239"/>
      </x:top>
      <x:bottom style="thin">
        <x:color rgb="FF9F1239"/>
      </x:bottom>
    </x:border>
    <x:border>
      <x:right style="thin">
        <x:color rgb="FF9F1239"/>
      </x:right>
      <x:top style="thin">
        <x:color rgb="FF9F1239"/>
      </x:top>
      <x:bottom style="thin">
        <x:color rgb="FF9F1239"/>
      </x:bottom>
    </x:border>
  </x:borders>
  <x:cellStyleXfs count="1">
    <x:xf numFmtId="0" fontId="0" fillId="0" borderId="0"/>
  </x:cellStyleXfs>
  <x:cellXfs count="1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4" xfId="0" applyNumberFormat="1" applyFont="1" applyFill="1" applyBorder="1" applyAlignment="1">
      <x:alignment wrapText="1"/>
    </x:xf>
    <x:xf numFmtId="0" fontId="1" fillId="2" borderId="5" xfId="0" applyNumberFormat="1" applyFont="1" applyFill="1" applyBorder="1" applyAlignment="1">
      <x:alignment wrapText="1"/>
    </x:xf>
    <x:xf numFmtId="0" fontId="1" fillId="2" borderId="6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1" fillId="2" borderId="4" xfId="0" applyNumberFormat="1" applyFont="1" applyFill="1" applyBorder="1" applyAlignment="1">
      <x:alignment vertical="center" wrapText="1"/>
    </x:xf>
    <x:xf numFmtId="0" fontId="1" fillId="2" borderId="5" xfId="0" applyNumberFormat="1" applyFont="1" applyFill="1" applyBorder="1" applyAlignment="1">
      <x:alignment vertical="center" wrapText="1"/>
    </x:xf>
    <x:xf numFmtId="0" fontId="1" fillId="2" borderId="6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7" xfId="0" applyNumberFormat="1" applyFont="1" applyFill="1" applyBorder="1"/>
    <x:xf numFmtId="0" fontId="3" fillId="4" borderId="7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5" borderId="9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9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9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0" xfId="0" applyNumberFormat="1" applyFont="1" applyFill="1" applyBorder="1"/>
    <x:xf numFmtId="0" fontId="1" fillId="6" borderId="11" xfId="0" applyNumberFormat="1" applyFont="1" applyFill="1" applyBorder="1"/>
    <x:xf numFmtId="0" fontId="1" fillId="6" borderId="12" xfId="0" applyNumberFormat="1" applyFont="1" applyFill="1" applyBorder="1"/>
    <x:xf numFmtId="0" fontId="4" fillId="0" borderId="8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1" fillId="3" borderId="13" xfId="0" applyNumberFormat="1" applyFont="1" applyFill="1" applyBorder="1"/>
    <x:xf numFmtId="0" fontId="1" fillId="3" borderId="14" xfId="0" applyNumberFormat="1" applyFont="1" applyFill="1" applyBorder="1"/>
    <x:xf numFmtId="0" fontId="1" fillId="3" borderId="15" xfId="0" applyNumberFormat="1" applyFont="1" applyFill="1" applyBorder="1"/>
    <x:xf numFmtId="200" fontId="4" fillId="0" borderId="8" xfId="0" applyNumberFormat="1" applyFont="1" applyFill="1" applyBorder="1" applyAlignment="1">
      <x:alignment vertical="center" wrapText="1"/>
    </x:xf>
    <x:xf numFmtId="200" fontId="4" fillId="0" borderId="9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6" xfId="0" applyNumberFormat="1" applyFont="1" applyFill="1" applyBorder="1"/>
    <x:xf numFmtId="0" fontId="4" fillId="7" borderId="17" xfId="0" applyNumberFormat="1" applyFont="1" applyFill="1" applyBorder="1"/>
    <x:xf numFmtId="0" fontId="4" fillId="7" borderId="18" xfId="0" applyNumberFormat="1" applyFont="1" applyFill="1" applyBorder="1"/>
    <x:xf numFmtId="0" fontId="4" fillId="7" borderId="19" xfId="0" applyNumberFormat="1" applyFont="1" applyFill="1" applyBorder="1"/>
    <x:xf numFmtId="0" fontId="4" fillId="7" borderId="8" xfId="0" applyNumberFormat="1" applyFont="1" applyFill="1" applyBorder="1"/>
    <x:xf numFmtId="0" fontId="4" fillId="7" borderId="20" xfId="0" applyNumberFormat="1" applyFont="1" applyFill="1" applyBorder="1"/>
    <x:xf numFmtId="0" fontId="4" fillId="7" borderId="16" xfId="0" applyNumberFormat="1" applyFont="1" applyFill="1" applyBorder="1" applyAlignment="1">
      <x:alignment wrapText="1"/>
    </x:xf>
    <x:xf numFmtId="0" fontId="4" fillId="7" borderId="17" xfId="0" applyNumberFormat="1" applyFont="1" applyFill="1" applyBorder="1" applyAlignment="1">
      <x:alignment wrapText="1"/>
    </x:xf>
    <x:xf numFmtId="0" fontId="4" fillId="7" borderId="18" xfId="0" applyNumberFormat="1" applyFont="1" applyFill="1" applyBorder="1" applyAlignment="1">
      <x:alignment wrapText="1"/>
    </x:xf>
    <x:xf numFmtId="0" fontId="4" fillId="7" borderId="19" xfId="0" applyNumberFormat="1" applyFont="1" applyFill="1" applyBorder="1" applyAlignment="1">
      <x:alignment wrapText="1"/>
    </x:xf>
    <x:xf numFmtId="0" fontId="4" fillId="7" borderId="8" xfId="0" applyNumberFormat="1" applyFont="1" applyFill="1" applyBorder="1" applyAlignment="1">
      <x:alignment wrapText="1"/>
    </x:xf>
    <x:xf numFmtId="0" fontId="4" fillId="7" borderId="20" xfId="0" applyNumberFormat="1" applyFont="1" applyFill="1" applyBorder="1" applyAlignment="1">
      <x:alignment wrapText="1"/>
    </x:xf>
    <x:xf numFmtId="0" fontId="4" fillId="7" borderId="16" xfId="0" applyNumberFormat="1" applyFont="1" applyFill="1" applyBorder="1" applyAlignment="1">
      <x:alignment vertical="center" wrapText="1"/>
    </x:xf>
    <x:xf numFmtId="0" fontId="4" fillId="7" borderId="17" xfId="0" applyNumberFormat="1" applyFont="1" applyFill="1" applyBorder="1" applyAlignment="1">
      <x:alignment vertical="center" wrapText="1"/>
    </x:xf>
    <x:xf numFmtId="0" fontId="4" fillId="7" borderId="18" xfId="0" applyNumberFormat="1" applyFont="1" applyFill="1" applyBorder="1" applyAlignment="1">
      <x:alignment vertical="center" wrapText="1"/>
    </x:xf>
    <x:xf numFmtId="0" fontId="4" fillId="7" borderId="19" xfId="0" applyNumberFormat="1" applyFont="1" applyFill="1" applyBorder="1" applyAlignment="1">
      <x:alignment vertical="center" wrapText="1"/>
    </x:xf>
    <x:xf numFmtId="0" fontId="4" fillId="7" borderId="8" xfId="0" applyNumberFormat="1" applyFont="1" applyFill="1" applyBorder="1" applyAlignment="1">
      <x:alignment vertical="center" wrapText="1"/>
    </x:xf>
    <x:xf numFmtId="0" fontId="4" fillId="7" borderId="2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4" fillId="8" borderId="8" xfId="0" applyNumberFormat="1" applyFont="1" applyFill="1" applyBorder="1" applyAlignment="1">
      <x:alignment vertical="center"/>
    </x:xf>
    <x:xf numFmtId="0" fontId="4" fillId="8" borderId="9" xfId="0" applyNumberFormat="1" applyFont="1" applyFill="1" applyBorder="1" applyAlignment="1">
      <x:alignment vertical="center"/>
    </x:xf>
    <x:xf numFmtId="0" fontId="5" fillId="8" borderId="8" xfId="0" applyNumberFormat="1" applyFont="1" applyFill="1" applyBorder="1" applyAlignment="1">
      <x:alignment vertical="center"/>
    </x:xf>
    <x:xf numFmtId="0" fontId="5" fillId="8" borderId="9" xfId="0" applyNumberFormat="1" applyFont="1" applyFill="1" applyBorder="1" applyAlignment="1">
      <x:alignment vertical="center"/>
    </x:xf>
    <x:xf numFmtId="201" fontId="5" fillId="8" borderId="8" xfId="0" applyNumberFormat="1" applyFont="1" applyFill="1" applyBorder="1" applyAlignment="1">
      <x:alignment vertical="center"/>
    </x:xf>
    <x:xf numFmtId="201" fontId="5" fillId="8" borderId="9" xfId="0" applyNumberFormat="1" applyFont="1" applyFill="1" applyBorder="1" applyAlignment="1">
      <x:alignment vertical="center"/>
    </x:xf>
    <x:xf numFmtId="202" fontId="5" fillId="8" borderId="9" xfId="0" applyNumberFormat="1" applyFont="1" applyFill="1" applyBorder="1" applyAlignment="1">
      <x:alignment vertical="center"/>
    </x:xf>
    <x:xf numFmtId="203" fontId="5" fillId="8" borderId="9" xfId="0" applyNumberFormat="1" applyFont="1" applyFill="1" applyBorder="1" applyAlignment="1">
      <x:alignment vertical="center"/>
    </x:xf>
    <x:xf numFmtId="0" fontId="4" fillId="8" borderId="8" xfId="0" applyNumberFormat="1" applyFont="1" applyFill="1" applyBorder="1" applyAlignment="1">
      <x:alignment vertical="center" wrapText="1"/>
    </x:xf>
    <x:xf numFmtId="0" fontId="3" fillId="8" borderId="8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/>
    </x:xf>
    <x:xf numFmtId="0" fontId="4" fillId="5" borderId="8" xfId="0" applyNumberFormat="1" applyFont="1" applyFill="1" applyBorder="1" applyAlignment="1">
      <x:alignment vertical="center" wrapText="1"/>
    </x:xf>
    <x:xf numFmtId="0" fontId="3" fillId="5" borderId="8" xfId="0" applyNumberFormat="1" applyFont="1" applyFill="1" applyBorder="1" applyAlignment="1">
      <x:alignment vertical="center" wrapText="1"/>
    </x:xf>
    <x:xf numFmtId="0" fontId="4" fillId="9" borderId="8" xfId="0" applyNumberFormat="1" applyFont="1" applyFill="1" applyBorder="1" applyAlignment="1">
      <x:alignment vertical="center"/>
    </x:xf>
    <x:xf numFmtId="0" fontId="4" fillId="9" borderId="8" xfId="0" applyNumberFormat="1" applyFont="1" applyFill="1" applyBorder="1" applyAlignment="1">
      <x:alignment vertical="center" wrapText="1"/>
    </x:xf>
    <x:xf numFmtId="0" fontId="3" fillId="9" borderId="8" xfId="0" applyNumberFormat="1" applyFont="1" applyFill="1" applyBorder="1" applyAlignment="1">
      <x:alignment vertical="center" wrapText="1"/>
    </x:xf>
    <x:xf numFmtId="0" fontId="4" fillId="10" borderId="8" xfId="0" applyNumberFormat="1" applyFont="1" applyFill="1" applyBorder="1" applyAlignment="1">
      <x:alignment vertical="center"/>
    </x:xf>
    <x:xf numFmtId="0" fontId="4" fillId="10" borderId="8" xfId="0" applyNumberFormat="1" applyFont="1" applyFill="1" applyBorder="1" applyAlignment="1">
      <x:alignment vertical="center" wrapText="1"/>
    </x:xf>
    <x:xf numFmtId="0" fontId="3" fillId="10" borderId="8" xfId="0" applyNumberFormat="1" applyFont="1" applyFill="1" applyBorder="1" applyAlignment="1">
      <x:alignment vertical="center" wrapText="1"/>
    </x:xf>
    <x:xf numFmtId="0" fontId="4" fillId="11" borderId="8" xfId="0" applyNumberFormat="1" applyFont="1" applyFill="1" applyBorder="1" applyAlignment="1">
      <x:alignment vertical="center"/>
    </x:xf>
    <x:xf numFmtId="0" fontId="4" fillId="11" borderId="8" xfId="0" applyNumberFormat="1" applyFont="1" applyFill="1" applyBorder="1" applyAlignment="1">
      <x:alignment vertical="center" wrapText="1"/>
    </x:xf>
    <x:xf numFmtId="0" fontId="3" fillId="11" borderId="8" xfId="0" applyNumberFormat="1" applyFont="1" applyFill="1" applyBorder="1" applyAlignment="1">
      <x:alignment vertical="center" wrapText="1"/>
    </x:xf>
    <x:xf numFmtId="0" fontId="4" fillId="7" borderId="8" xfId="0" applyNumberFormat="1" applyFont="1" applyFill="1" applyBorder="1" applyAlignment="1">
      <x:alignment vertical="center"/>
    </x:xf>
    <x:xf numFmtId="0" fontId="3" fillId="7" borderId="8" xfId="0" applyNumberFormat="1" applyFont="1" applyFill="1" applyBorder="1" applyAlignment="1">
      <x:alignment vertical="center" wrapText="1"/>
    </x:xf>
    <x:xf numFmtId="202" fontId="5" fillId="8" borderId="8" xfId="0" applyNumberFormat="1" applyFont="1" applyFill="1" applyBorder="1" applyAlignment="1">
      <x:alignment vertical="center"/>
    </x:xf>
    <x:xf numFmtId="201" fontId="4" fillId="0" borderId="8" xfId="0" applyNumberFormat="1" applyFont="1" applyFill="1" applyBorder="1" applyAlignment="1">
      <x:alignment vertical="center"/>
    </x:xf>
    <x:xf numFmtId="201" fontId="4" fillId="0" borderId="9" xfId="0" applyNumberFormat="1" applyFont="1" applyFill="1" applyBorder="1" applyAlignment="1">
      <x:alignment vertical="center"/>
    </x:xf>
    <x:xf numFmtId="201" fontId="6" fillId="0" borderId="8" xfId="0" applyNumberFormat="1" applyFont="1" applyFill="1" applyBorder="1" applyAlignment="1">
      <x:alignment vertical="center"/>
    </x:xf>
    <x:xf numFmtId="201" fontId="6" fillId="0" borderId="9" xfId="0" applyNumberFormat="1" applyFont="1" applyFill="1" applyBorder="1" applyAlignment="1">
      <x:alignment vertical="center"/>
    </x:xf>
    <x:xf numFmtId="201" fontId="6" fillId="10" borderId="8" xfId="0" applyNumberFormat="1" applyFont="1" applyFill="1" applyBorder="1" applyAlignment="1">
      <x:alignment vertical="center"/>
    </x:xf>
    <x:xf numFmtId="0" fontId="4" fillId="11" borderId="9" xfId="0" applyNumberFormat="1" applyFont="1" applyFill="1" applyBorder="1" applyAlignment="1">
      <x:alignment vertical="center"/>
    </x:xf>
    <x:xf numFmtId="201" fontId="6" fillId="11" borderId="9" xfId="0" applyNumberFormat="1" applyFont="1" applyFill="1" applyBorder="1" applyAlignment="1">
      <x:alignment vertical="center"/>
    </x:xf>
    <x:xf numFmtId="0" fontId="4" fillId="10" borderId="9" xfId="0" applyNumberFormat="1" applyFont="1" applyFill="1" applyBorder="1" applyAlignment="1">
      <x:alignment vertical="center"/>
    </x:xf>
    <x:xf numFmtId="201" fontId="4" fillId="10" borderId="9" xfId="0" applyNumberFormat="1" applyFont="1" applyFill="1" applyBorder="1" applyAlignment="1">
      <x:alignment vertical="center"/>
    </x:xf>
    <x:xf numFmtId="201" fontId="4" fillId="5" borderId="9" xfId="0" applyNumberFormat="1" applyFont="1" applyFill="1" applyBorder="1" applyAlignment="1">
      <x:alignment vertical="center"/>
    </x:xf>
    <x:xf numFmtId="201" fontId="3" fillId="5" borderId="9" xfId="0" applyNumberFormat="1" applyFont="1" applyFill="1" applyBorder="1" applyAlignment="1">
      <x:alignment vertical="center"/>
    </x:xf>
    <x:xf numFmtId="0" fontId="3" fillId="5" borderId="21" xfId="0" applyNumberFormat="1" applyFont="1" applyFill="1" applyBorder="1" applyAlignment="1">
      <x:alignment vertical="center"/>
    </x:xf>
    <x:xf numFmtId="201" fontId="3" fillId="5" borderId="22" xfId="0" applyNumberFormat="1" applyFont="1" applyFill="1" applyBorder="1" applyAlignment="1">
      <x:alignment vertical="center"/>
    </x:xf>
    <x:xf numFmtId="0" fontId="3" fillId="5" borderId="22" xfId="0" applyNumberFormat="1" applyFont="1" applyFill="1" applyBorder="1" applyAlignment="1">
      <x:alignment vertical="center"/>
    </x:xf>
    <x:xf numFmtId="0" fontId="3" fillId="5" borderId="23" xfId="0" applyNumberFormat="1" applyFont="1" applyFill="1" applyBorder="1" applyAlignment="1">
      <x:alignment vertical="center"/>
    </x:xf>
    <x:xf numFmtId="0" fontId="3" fillId="5" borderId="21" xfId="0" applyNumberFormat="1" applyFont="1" applyFill="1" applyBorder="1" applyAlignment="1">
      <x:alignment vertical="center" wrapText="1"/>
    </x:xf>
    <x:xf numFmtId="201" fontId="3" fillId="5" borderId="22" xfId="0" applyNumberFormat="1" applyFont="1" applyFill="1" applyBorder="1" applyAlignment="1">
      <x:alignment vertical="center" wrapText="1"/>
    </x:xf>
    <x:xf numFmtId="0" fontId="3" fillId="5" borderId="22" xfId="0" applyNumberFormat="1" applyFont="1" applyFill="1" applyBorder="1" applyAlignment="1">
      <x:alignment vertical="center" wrapText="1"/>
    </x:xf>
    <x:xf numFmtId="0" fontId="3" fillId="5" borderId="23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24" xfId="0" applyNumberFormat="1" applyFont="1" applyFill="1" applyBorder="1"/>
    <x:xf numFmtId="0" fontId="1" fillId="12" borderId="25" xfId="0" applyNumberFormat="1" applyFont="1" applyFill="1" applyBorder="1"/>
    <x:xf numFmtId="0" fontId="1" fillId="12" borderId="26" xfId="0" applyNumberFormat="1" applyFont="1" applyFill="1" applyBorder="1"/>
    <x:xf numFmtId="201" fontId="4" fillId="11" borderId="8" xfId="0" applyNumberFormat="1" applyFont="1" applyFill="1" applyBorder="1" applyAlignment="1">
      <x:alignment vertical="center"/>
    </x:xf>
    <x:xf numFmtId="201" fontId="4" fillId="11" borderId="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3dceee12934ff7" /><Relationship Type="http://schemas.openxmlformats.org/officeDocument/2006/relationships/theme" Target="/xl/theme/theme1.xml" Id="Rd3634511416143af" /><Relationship Type="http://schemas.openxmlformats.org/officeDocument/2006/relationships/sharedStrings" Target="/xl/sharedStrings.xml" Id="R7a4cb9de1cfe4459" /><Relationship Type="http://schemas.openxmlformats.org/officeDocument/2006/relationships/worksheet" Target="/xl/worksheets/sheet1.xml" Id="R9e8471d714c840bb" /><Relationship Type="http://schemas.openxmlformats.org/officeDocument/2006/relationships/worksheet" Target="/xl/worksheets/sheet2.xml" Id="R0745b42e19364785" /><Relationship Type="http://schemas.openxmlformats.org/officeDocument/2006/relationships/worksheet" Target="/xl/worksheets/sheet3.xml" Id="Rbf974e19dcb64f59" /><Relationship Type="http://schemas.openxmlformats.org/officeDocument/2006/relationships/worksheet" Target="/xl/worksheets/sheet4.xml" Id="R178a1f3354094904" /><Relationship Type="http://schemas.openxmlformats.org/officeDocument/2006/relationships/worksheet" Target="/xl/worksheets/sheet5.xml" Id="R0049f8081a8d41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8" hidden="0" customWidth="1"/>
    <x:col min="3" max="3" width="27" hidden="0" customWidth="1"/>
    <x:col min="4" max="4" width="28" hidden="0" customWidth="1"/>
    <x:col min="5" max="5" width="27" hidden="0" customWidth="1"/>
    <x:col min="6" max="6" width="25" hidden="0" customWidth="1"/>
  </x:cols>
  <x:sheetData>
    <x:row r="1" ht="28" customHeight="1">
      <x:c r="A1" s="15" t="str">
        <x:v>Case 2 — Spreadsheet control failures</x:v>
      </x:c>
      <x:c r="B1" s="16" t="str">
        <x:v>Case 2 — Spreadsheet control failures</x:v>
      </x:c>
      <x:c r="C1" s="16" t="str">
        <x:v>Case 2 — Spreadsheet control failures</x:v>
      </x:c>
      <x:c r="D1" s="16" t="str">
        <x:v>Case 2 — Spreadsheet control failures</x:v>
      </x:c>
      <x:c r="E1" s="16" t="str">
        <x:v>Case 2 — Spreadsheet control failures</x:v>
      </x:c>
      <x:c r="F1" s="17" t="str">
        <x:v>Case 2 — Spreadsheet control failures</x:v>
      </x:c>
    </x:row>
    <x:row r="2" ht="28" customHeight="1">
      <x:c r="A2" s="18" t="str">
        <x:v>Case 2 — Spreadsheet control failures</x:v>
      </x:c>
      <x:c r="B2" s="19" t="str">
        <x:v>Case 2 — Spreadsheet control failures</x:v>
      </x:c>
      <x:c r="C2" s="19" t="str">
        <x:v>Case 2 — Spreadsheet control failures</x:v>
      </x:c>
      <x:c r="D2" s="19" t="str">
        <x:v>Case 2 — Spreadsheet control failures</x:v>
      </x:c>
      <x:c r="E2" s="19" t="str">
        <x:v>Case 2 — Spreadsheet control failures</x:v>
      </x:c>
      <x:c r="F2" s="20" t="str">
        <x:v>Case 2 — Spreadsheet control failures</x:v>
      </x:c>
    </x:row>
    <x:row r="3" ht="24" customHeight="1">
      <x:c r="A3" s="24" t="str">
        <x:v>Intentional warning, omission, unsupported formula and circular-reference defects</x:v>
      </x:c>
      <x:c r="B3" s="24" t="str">
        <x:v>Intentional warning, omission, unsupported formula and circular-reference defects</x:v>
      </x:c>
      <x:c r="C3" s="24" t="str">
        <x:v>Intentional warning, omission, unsupported formula and circular-reference defects</x:v>
      </x:c>
      <x:c r="D3" s="24" t="str">
        <x:v>Intentional warning, omission, unsupported formula and circular-reference defects</x:v>
      </x:c>
      <x:c r="E3" s="24" t="str">
        <x:v>Intentional warning, omission, unsupported formula and circular-reference defects</x:v>
      </x:c>
      <x:c r="F3" s="24" t="str">
        <x:v>Intentional warning, omission, unsupported formula and circular-reference defects</x:v>
      </x:c>
    </x:row>
    <x:row r="5">
      <x:c r="A5" s="29" t="str">
        <x:v>Workbook context</x:v>
      </x:c>
      <x:c r="B5" s="29" t="str">
        <x:v>Value</x:v>
      </x:c>
    </x:row>
    <x:row r="6">
      <x:c r="A6" s="33" t="str">
        <x:v>Entity</x:v>
      </x:c>
      <x:c r="B6" s="33" t="str">
        <x:v>Aurora Life SA</x:v>
      </x:c>
    </x:row>
    <x:row r="7">
      <x:c r="A7" s="34" t="str">
        <x:v>Period</x:v>
      </x:c>
      <x:c r="B7" s="34" t="str">
        <x:v>2025-Q4</x:v>
      </x:c>
    </x:row>
    <x:row r="8">
      <x:c r="A8" s="34" t="str">
        <x:v>Currency</x:v>
      </x:c>
      <x:c r="B8" s="34" t="str">
        <x:v>EUR</x:v>
      </x:c>
    </x:row>
    <x:row r="9">
      <x:c r="A9" s="34" t="str">
        <x:v>Basis</x:v>
      </x:c>
      <x:c r="B9" s="34" t="str">
        <x:v>IFRS 17 — synthetic demonstration</x:v>
      </x:c>
    </x:row>
    <x:row r="10" ht="28" customHeight="1">
      <x:c r="A10" s="34" t="str">
        <x:v>Designated output(s)</x:v>
      </x:c>
      <x:c r="B10" s="39" t="str">
        <x:v>Reserve Calculation!B14</x:v>
      </x:c>
      <x:c r="C10" s="40"/>
      <x:c r="D10" s="40"/>
      <x:c r="E10" s="40"/>
      <x:c r="F10" s="40"/>
    </x:row>
    <x:row r="12">
      <x:c r="A12" s="43" t="str">
        <x:v>Demonstration instructions</x:v>
      </x:c>
      <x:c r="B12" s="44" t="str">
        <x:v>Demonstration instructions</x:v>
      </x:c>
      <x:c r="C12" s="44" t="str">
        <x:v>Demonstration instructions</x:v>
      </x:c>
      <x:c r="D12" s="44" t="str">
        <x:v>Demonstration instructions</x:v>
      </x:c>
      <x:c r="E12" s="44" t="str">
        <x:v>Demonstration instructions</x:v>
      </x:c>
      <x:c r="F12" s="45" t="str">
        <x:v>Demonstration instructions</x:v>
      </x:c>
    </x:row>
    <x:row r="13" ht="32" customHeight="1">
      <x:c r="A13" s="46" t="str">
        <x:v>1</x:v>
      </x:c>
      <x:c r="B13" s="46" t="str">
        <x:v>Upload this workbook</x:v>
      </x:c>
      <x:c r="C13" s="46" t="str">
        <x:v>Use the context above</x:v>
      </x:c>
      <x:c r="D13" s="46" t="str">
        <x:v>Reference figures</x:v>
      </x:c>
      <x:c r="E13" s="46" t="str">
        <x:v>Leave CFO reconciliation off</x:v>
      </x:c>
      <x:c r="F13" s="46" t="str">
        <x:v>Confirm Gate 1</x:v>
      </x:c>
    </x:row>
    <x:row r="14" ht="32" customHeight="1">
      <x:c r="A14" s="47" t="str">
        <x:v>2</x:v>
      </x:c>
      <x:c r="B14" s="47" t="str">
        <x:v>Gate 2</x:v>
      </x:c>
      <x:c r="C14" s="47" t="str">
        <x:v>Review every finding</x:v>
      </x:c>
      <x:c r="D14" s="47" t="str">
        <x:v>Expected actions</x:v>
      </x:c>
      <x:c r="E14" s="47" t="str">
        <x:v>Confirm, override or dismiss with reasons</x:v>
      </x:c>
      <x:c r="F14" s="47" t="str">
        <x:v>No finding may disappear</x:v>
      </x:c>
    </x:row>
    <x:row r="15" ht="32" customHeight="1">
      <x:c r="A15" s="47" t="str">
        <x:v>3</x:v>
      </x:c>
      <x:c r="B15" s="47" t="str">
        <x:v>Output designation</x:v>
      </x:c>
      <x:c r="C15" s="47" t="str">
        <x:v>Reserve Calculation!B14</x:v>
      </x:c>
      <x:c r="D15" s="47" t="str">
        <x:v>Expected reconstruction</x:v>
      </x:c>
      <x:c r="E15" s="47" t="str">
        <x:v>Incomplete</x:v>
      </x:c>
      <x:c r="F15" s="47" t="str">
        <x:v>Acknowledge incompleteness</x:v>
      </x:c>
    </x:row>
    <x:row r="16" ht="32" customHeight="1">
      <x:c r="A16" s="47" t="str">
        <x:v>4</x:v>
      </x:c>
      <x:c r="B16" s="47" t="str">
        <x:v>Do not repair the workbook</x:v>
      </x:c>
      <x:c r="C16" s="47" t="str">
        <x:v>This is a detection demo</x:v>
      </x:c>
      <x:c r="D16" s="47" t="str">
        <x:v>Circular cells</x:v>
      </x:c>
      <x:c r="E16" s="47" t="str">
        <x:v>Circular Control!B7:B8</x:v>
      </x:c>
      <x:c r="F16" s="47" t="str">
        <x:v>Preserve evidence</x:v>
      </x:c>
    </x:row>
    <x:row r="18">
      <x:c r="A18" s="49" t="str">
        <x:v>Expected outcome</x:v>
      </x:c>
      <x:c r="B18" s="50" t="str">
        <x:v>Expected outcome</x:v>
      </x:c>
      <x:c r="C18" s="50" t="str">
        <x:v>Expected outcome</x:v>
      </x:c>
      <x:c r="D18" s="50" t="str">
        <x:v>Expected outcome</x:v>
      </x:c>
      <x:c r="E18" s="50" t="str">
        <x:v>Expected outcome</x:v>
      </x:c>
      <x:c r="F18" s="51" t="str">
        <x:v>Expected outcome</x:v>
      </x:c>
    </x:row>
    <x:row r="19" ht="34" customHeight="1">
      <x:c r="A19" s="52" t="str">
        <x:v>Hardcoded literal</x:v>
      </x:c>
      <x:c r="B19" s="52" t="str">
        <x:v>Reserve Calculation!B7 contains 1.075</x:v>
      </x:c>
      <x:c r="C19" s="52" t="str">
        <x:v>Expected severity</x:v>
      </x:c>
      <x:c r="D19" s="52" t="str">
        <x:v>warning</x:v>
      </x:c>
      <x:c r="E19" s="52" t="str">
        <x:v>Human review</x:v>
      </x:c>
      <x:c r="F19" s="52" t="str">
        <x:v>required</x:v>
      </x:c>
    </x:row>
    <x:row r="20" ht="34" customHeight="1">
      <x:c r="A20" s="53" t="str">
        <x:v>SUM omission</x:v>
      </x:c>
      <x:c r="B20" s="53" t="str">
        <x:v>Reserve Calculation!B12 skips B10</x:v>
      </x:c>
      <x:c r="C20" s="53" t="str">
        <x:v>Expected severity</x:v>
      </x:c>
      <x:c r="D20" s="53" t="str">
        <x:v>warning</x:v>
      </x:c>
      <x:c r="E20" s="53" t="str">
        <x:v>Human review</x:v>
      </x:c>
      <x:c r="F20" s="53" t="str">
        <x:v>required</x:v>
      </x:c>
    </x:row>
    <x:row r="21" ht="34" customHeight="1">
      <x:c r="A21" s="53" t="str">
        <x:v>Circular reference</x:v>
      </x:c>
      <x:c r="B21" s="53" t="str">
        <x:v>Circular Control!B7 ↔ B8</x:v>
      </x:c>
      <x:c r="C21" s="53" t="str">
        <x:v>Expected severity</x:v>
      </x:c>
      <x:c r="D21" s="53" t="str">
        <x:v>blocker</x:v>
      </x:c>
      <x:c r="E21" s="53" t="str">
        <x:v>Human review</x:v>
      </x:c>
      <x:c r="F21" s="53" t="str">
        <x:v>required</x:v>
      </x:c>
    </x:row>
    <x:row r="22" ht="34" customHeight="1">
      <x:c r="A22" s="53" t="str">
        <x:v>Unsupported output path</x:v>
      </x:c>
      <x:c r="B22" s="53" t="str">
        <x:v>VLOOKUP at Reserve Calculation!B13</x:v>
      </x:c>
      <x:c r="C22" s="53" t="str">
        <x:v>Expected output verdict</x:v>
      </x:c>
      <x:c r="D22" s="53" t="str">
        <x:v>incomplete</x:v>
      </x:c>
      <x:c r="E22" s="53" t="str">
        <x:v>Silent success</x:v>
      </x:c>
      <x:c r="F22" s="53" t="str">
        <x:v>not permitted</x:v>
      </x:c>
    </x:row>
    <x:row r="24">
      <x:c r="A24" s="68" t="str">
        <x:v>Synthetic demonstration data only. It is not derived from a policyholder, insurer, ledger, actuarial model, or production workbook.</x:v>
      </x:c>
      <x:c r="B24" s="69" t="str">
        <x:v>Synthetic demonstration data only. It is not derived from a policyholder, insurer, ledger, actuarial model, or production workbook.</x:v>
      </x:c>
      <x:c r="C24" s="69" t="str">
        <x:v>Synthetic demonstration data only. It is not derived from a policyholder, insurer, ledger, actuarial model, or production workbook.</x:v>
      </x:c>
      <x:c r="D24" s="69" t="str">
        <x:v>Synthetic demonstration data only. It is not derived from a policyholder, insurer, ledger, actuarial model, or production workbook.</x:v>
      </x:c>
      <x:c r="E24" s="69" t="str">
        <x:v>Synthetic demonstration data only. It is not derived from a policyholder, insurer, ledger, actuarial model, or production workbook.</x:v>
      </x:c>
      <x:c r="F24" s="70" t="str">
        <x:v>Synthetic demonstration data only. It is not derived from a policyholder, insurer, ledger, actuarial model, or production workbook.</x:v>
      </x:c>
    </x:row>
    <x:row r="25">
      <x:c r="A25" s="71" t="str">
        <x:v>Synthetic demonstration data only. It is not derived from a policyholder, insurer, ledger, actuarial model, or production workbook.</x:v>
      </x:c>
      <x:c r="B25" s="72" t="str">
        <x:v>Synthetic demonstration data only. It is not derived from a policyholder, insurer, ledger, actuarial model, or production workbook.</x:v>
      </x:c>
      <x:c r="C25" s="72" t="str">
        <x:v>Synthetic demonstration data only. It is not derived from a policyholder, insurer, ledger, actuarial model, or production workbook.</x:v>
      </x:c>
      <x:c r="D25" s="72" t="str">
        <x:v>Synthetic demonstration data only. It is not derived from a policyholder, insurer, ledger, actuarial model, or production workbook.</x:v>
      </x:c>
      <x:c r="E25" s="72" t="str">
        <x:v>Synthetic demonstration data only. It is not derived from a policyholder, insurer, ledger, actuarial model, or production workbook.</x:v>
      </x:c>
      <x:c r="F25" s="73" t="str">
        <x:v>Synthetic demonstration data only. It is not derived from a policyholder, insurer, ledger, actuarial model, or production workbook.</x:v>
      </x:c>
    </x:row>
  </x:sheetData>
  <x:mergeCells>
    <x:mergeCell ref="A1:F2"/>
    <x:mergeCell ref="A3:F3"/>
    <x:mergeCell ref="B10:F10"/>
    <x:mergeCell ref="A12:F12"/>
    <x:mergeCell ref="A18:F18"/>
    <x:mergeCell ref="A24:F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8" hidden="0" customWidth="1"/>
    <x:col min="3" max="3" width="18" hidden="0" customWidth="1"/>
    <x:col min="4" max="4" width="46" hidden="0" customWidth="1"/>
    <x:col min="5" max="5" width="14" hidden="0" customWidth="1"/>
    <x:col min="6" max="6" width="14" hidden="0" customWidth="1"/>
  </x:cols>
  <x:sheetData>
    <x:row r="1" ht="28" customHeight="1">
      <x:c r="A1" s="15" t="str">
        <x:v>Case 2 — Assumptions</x:v>
      </x:c>
      <x:c r="B1" s="16" t="str">
        <x:v>Case 2 — Assumptions</x:v>
      </x:c>
      <x:c r="C1" s="16" t="str">
        <x:v>Case 2 — Assumptions</x:v>
      </x:c>
      <x:c r="D1" s="16" t="str">
        <x:v>Case 2 — Assumptions</x:v>
      </x:c>
      <x:c r="E1" s="16" t="str">
        <x:v>Case 2 — Assumptions</x:v>
      </x:c>
      <x:c r="F1" s="17" t="str">
        <x:v>Case 2 — Assumptions</x:v>
      </x:c>
    </x:row>
    <x:row r="2" ht="28" customHeight="1">
      <x:c r="A2" s="18" t="str">
        <x:v>Case 2 — Assumptions</x:v>
      </x:c>
      <x:c r="B2" s="19" t="str">
        <x:v>Case 2 — Assumptions</x:v>
      </x:c>
      <x:c r="C2" s="19" t="str">
        <x:v>Case 2 — Assumptions</x:v>
      </x:c>
      <x:c r="D2" s="19" t="str">
        <x:v>Case 2 — Assumptions</x:v>
      </x:c>
      <x:c r="E2" s="19" t="str">
        <x:v>Case 2 — Assumptions</x:v>
      </x:c>
      <x:c r="F2" s="20" t="str">
        <x:v>Case 2 — Assumptions</x:v>
      </x:c>
    </x:row>
    <x:row r="3" ht="24" customHeight="1">
      <x:c r="A3" s="76" t="str">
        <x:v>The workbook contains deliberate control defects documented on Demo Guide.</x:v>
      </x:c>
      <x:c r="B3" s="76" t="str">
        <x:v>The workbook contains deliberate control defects documented on Demo Guide.</x:v>
      </x:c>
      <x:c r="C3" s="76" t="str">
        <x:v>The workbook contains deliberate control defects documented on Demo Guide.</x:v>
      </x:c>
      <x:c r="D3" s="76" t="str">
        <x:v>The workbook contains deliberate control defects documented on Demo Guide.</x:v>
      </x:c>
      <x:c r="E3" s="76" t="str">
        <x:v>The workbook contains deliberate control defects documented on Demo Guide.</x:v>
      </x:c>
      <x:c r="F3" s="76" t="str">
        <x:v>The workbook contains deliberate control defects documented on Demo Guide.</x:v>
      </x:c>
    </x:row>
    <x:row r="5">
      <x:c r="A5" s="43" t="str">
        <x:v>Synthetic input assumptions</x:v>
      </x:c>
      <x:c r="B5" s="44" t="str">
        <x:v>Synthetic input assumptions</x:v>
      </x:c>
      <x:c r="C5" s="44" t="str">
        <x:v>Synthetic input assumptions</x:v>
      </x:c>
      <x:c r="D5" s="45" t="str">
        <x:v>Synthetic input assumptions</x:v>
      </x:c>
    </x:row>
    <x:row r="6">
      <x:c r="A6" s="29" t="str">
        <x:v>Assumption</x:v>
      </x:c>
      <x:c r="B6" s="29" t="str">
        <x:v>Value</x:v>
      </x:c>
      <x:c r="C6" s="29" t="str">
        <x:v>Units</x:v>
      </x:c>
      <x:c r="D6" s="29" t="str">
        <x:v>Source / rationale</x:v>
      </x:c>
    </x:row>
    <x:row r="7">
      <x:c r="A7" s="33" t="str">
        <x:v>Written premium</x:v>
      </x:c>
      <x:c r="B7" s="81" t="n">
        <x:v>10000000</x:v>
      </x:c>
      <x:c r="C7" s="33" t="str">
        <x:v>EUR</x:v>
      </x:c>
      <x:c r="D7" s="33" t="str">
        <x:v>Synthetic premium base</x:v>
      </x:c>
    </x:row>
    <x:row r="8">
      <x:c r="A8" s="34" t="str">
        <x:v>Outstanding reported claims</x:v>
      </x:c>
      <x:c r="B8" s="82" t="n">
        <x:v>1800000</x:v>
      </x:c>
      <x:c r="C8" s="34" t="str">
        <x:v>EUR</x:v>
      </x:c>
      <x:c r="D8" s="34" t="str">
        <x:v>Synthetic claims balance</x:v>
      </x:c>
    </x:row>
    <x:row r="9">
      <x:c r="A9" s="34" t="str">
        <x:v>IBNR estimate</x:v>
      </x:c>
      <x:c r="B9" s="82" t="n">
        <x:v>650000</x:v>
      </x:c>
      <x:c r="C9" s="34" t="str">
        <x:v>EUR</x:v>
      </x:c>
      <x:c r="D9" s="34" t="str">
        <x:v>Synthetic actuarial estimate</x:v>
      </x:c>
    </x:row>
    <x:row r="10">
      <x:c r="A10" s="34" t="str">
        <x:v>Claims handling expense</x:v>
      </x:c>
      <x:c r="B10" s="82" t="n">
        <x:v>125000</x:v>
      </x:c>
      <x:c r="C10" s="34" t="str">
        <x:v>EUR</x:v>
      </x:c>
      <x:c r="D10" s="34" t="str">
        <x:v>Intentionally omitted from the SUM in the calculation sheet</x:v>
      </x:c>
    </x:row>
    <x:row r="11">
      <x:c r="A11" s="34" t="str">
        <x:v>Risk margin rate</x:v>
      </x:c>
      <x:c r="B11" s="83" t="n">
        <x:v>0.05</x:v>
      </x:c>
      <x:c r="C11" s="34" t="str">
        <x:v>%</x:v>
      </x:c>
      <x:c r="D11" s="34" t="str">
        <x:v>Synthetic assumption</x:v>
      </x:c>
    </x:row>
    <x:row r="12">
      <x:c r="A12" s="34" t="str">
        <x:v>Scenario</x:v>
      </x:c>
      <x:c r="B12" s="82" t="str">
        <x:v>Moderate</x:v>
      </x:c>
      <x:c r="C12" s="34" t="str">
        <x:v>text</x:v>
      </x:c>
      <x:c r="D12" s="34" t="str">
        <x:v>Lookup key used by the intentionally unsupported VLOOKUP</x:v>
      </x:c>
    </x:row>
    <x:row r="13">
      <x:c r="A13" s="34" t="str">
        <x:v>Lookup column index</x:v>
      </x:c>
      <x:c r="B13" s="84" t="n">
        <x:v>2</x:v>
      </x:c>
      <x:c r="C13" s="34" t="str">
        <x:v>index</x:v>
      </x:c>
      <x:c r="D13" s="34" t="str">
        <x:v>Stored visibly to avoid a second hardcoded-literal finding</x:v>
      </x:c>
    </x:row>
    <x:row r="18">
      <x:c r="A18" s="43" t="str">
        <x:v>Cell colour legend</x:v>
      </x:c>
      <x:c r="B18" s="44" t="str">
        <x:v>Cell colour legend</x:v>
      </x:c>
      <x:c r="C18" s="44" t="str">
        <x:v>Cell colour legend</x:v>
      </x:c>
      <x:c r="D18" s="44" t="str">
        <x:v>Cell colour legend</x:v>
      </x:c>
      <x:c r="E18" s="44" t="str">
        <x:v>Cell colour legend</x:v>
      </x:c>
      <x:c r="F18" s="45" t="str">
        <x:v>Cell colour legend</x:v>
      </x:c>
    </x:row>
    <x:row r="19" ht="24" customHeight="1">
      <x:c r="A19" s="86" t="str">
        <x:v>Input</x:v>
      </x:c>
      <x:c r="B19" s="85" t="str">
        <x:v>Blue text with pale yellow fill — editable synthetic assumption</x:v>
      </x:c>
      <x:c r="C19" s="85"/>
      <x:c r="D19" s="85"/>
      <x:c r="E19" s="85"/>
      <x:c r="F19" s="85"/>
    </x:row>
    <x:row r="20" ht="24" customHeight="1">
      <x:c r="A20" s="89" t="str">
        <x:v>Cross-sheet formula</x:v>
      </x:c>
      <x:c r="B20" s="88" t="str">
        <x:v>Green text — formula linked to another worksheet</x:v>
      </x:c>
      <x:c r="C20" s="88"/>
      <x:c r="D20" s="88"/>
      <x:c r="E20" s="88"/>
      <x:c r="F20" s="88"/>
    </x:row>
    <x:row r="21" ht="24" customHeight="1">
      <x:c r="A21" s="92" t="str">
        <x:v>Within-sheet formula</x:v>
      </x:c>
      <x:c r="B21" s="91" t="str">
        <x:v>Black text — formula calculated within the worksheet</x:v>
      </x:c>
      <x:c r="C21" s="91"/>
      <x:c r="D21" s="91"/>
      <x:c r="E21" s="91"/>
      <x:c r="F21" s="91"/>
    </x:row>
    <x:row r="22" ht="24" customHeight="1">
      <x:c r="A22" s="89" t="str">
        <x:v>Designated output</x:v>
      </x:c>
      <x:c r="B22" s="88" t="str">
        <x:v>Pale green fill — cell selected for reconstruction and reconciliation</x:v>
      </x:c>
      <x:c r="C22" s="88"/>
      <x:c r="D22" s="88"/>
      <x:c r="E22" s="88"/>
      <x:c r="F22" s="88"/>
    </x:row>
    <x:row r="23" ht="24" customHeight="1">
      <x:c r="A23" s="95" t="str">
        <x:v>Expected warning</x:v>
      </x:c>
      <x:c r="B23" s="94" t="str">
        <x:v>Amber fill — condition requiring a human review decision</x:v>
      </x:c>
      <x:c r="C23" s="94"/>
      <x:c r="D23" s="94"/>
      <x:c r="E23" s="94"/>
      <x:c r="F23" s="94"/>
    </x:row>
    <x:row r="24" ht="24" customHeight="1">
      <x:c r="A24" s="98" t="str">
        <x:v>Expected blocker</x:v>
      </x:c>
      <x:c r="B24" s="97" t="str">
        <x:v>Pale red fill — intentional defect that prevents silent progress</x:v>
      </x:c>
      <x:c r="C24" s="97"/>
      <x:c r="D24" s="97"/>
      <x:c r="E24" s="97"/>
      <x:c r="F24" s="97"/>
    </x:row>
    <x:row r="25" ht="24" customHeight="1">
      <x:c r="A25" s="100" t="str">
        <x:v>Model context</x:v>
      </x:c>
      <x:c r="B25" s="72" t="str">
        <x:v>Amounts are EUR unless the case guide says otherwise; period is 2025-Q4</x:v>
      </x:c>
      <x:c r="C25" s="72"/>
      <x:c r="D25" s="72"/>
      <x:c r="E25" s="72"/>
      <x:c r="F25" s="72"/>
    </x:row>
  </x:sheetData>
  <x:mergeCells>
    <x:mergeCell ref="A1:F2"/>
    <x:mergeCell ref="A3:F3"/>
    <x:mergeCell ref="A5:D5"/>
    <x:mergeCell ref="A18:F18"/>
    <x:mergeCell ref="B19:F19"/>
    <x:mergeCell ref="B20:F20"/>
    <x:mergeCell ref="B21:F21"/>
    <x:mergeCell ref="B22:F22"/>
    <x:mergeCell ref="B23:F23"/>
    <x:mergeCell ref="B24:F24"/>
    <x:mergeCell ref="B25:F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48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8" customHeight="1">
      <x:c r="A1" s="15" t="str">
        <x:v>Case 2 — Lookup table</x:v>
      </x:c>
      <x:c r="B1" s="16" t="str">
        <x:v>Case 2 — Lookup table</x:v>
      </x:c>
      <x:c r="C1" s="16" t="str">
        <x:v>Case 2 — Lookup table</x:v>
      </x:c>
      <x:c r="D1" s="16" t="str">
        <x:v>Case 2 — Lookup table</x:v>
      </x:c>
      <x:c r="E1" s="16" t="str">
        <x:v>Case 2 — Lookup table</x:v>
      </x:c>
      <x:c r="F1" s="17" t="str">
        <x:v>Case 2 — Lookup table</x:v>
      </x:c>
    </x:row>
    <x:row r="2" ht="28" customHeight="1">
      <x:c r="A2" s="18" t="str">
        <x:v>Case 2 — Lookup table</x:v>
      </x:c>
      <x:c r="B2" s="19" t="str">
        <x:v>Case 2 — Lookup table</x:v>
      </x:c>
      <x:c r="C2" s="19" t="str">
        <x:v>Case 2 — Lookup table</x:v>
      </x:c>
      <x:c r="D2" s="19" t="str">
        <x:v>Case 2 — Lookup table</x:v>
      </x:c>
      <x:c r="E2" s="19" t="str">
        <x:v>Case 2 — Lookup table</x:v>
      </x:c>
      <x:c r="F2" s="20" t="str">
        <x:v>Case 2 — Lookup table</x:v>
      </x:c>
    </x:row>
    <x:row r="3" ht="24" customHeight="1">
      <x:c r="A3" s="76" t="str">
        <x:v>Synthetic scenario factors used by an intentionally unsupported VLOOKUP</x:v>
      </x:c>
      <x:c r="B3" s="76" t="str">
        <x:v>Synthetic scenario factors used by an intentionally unsupported VLOOKUP</x:v>
      </x:c>
      <x:c r="C3" s="76" t="str">
        <x:v>Synthetic scenario factors used by an intentionally unsupported VLOOKUP</x:v>
      </x:c>
      <x:c r="D3" s="76" t="str">
        <x:v>Synthetic scenario factors used by an intentionally unsupported VLOOKUP</x:v>
      </x:c>
      <x:c r="E3" s="76" t="str">
        <x:v>Synthetic scenario factors used by an intentionally unsupported VLOOKUP</x:v>
      </x:c>
      <x:c r="F3" s="76" t="str">
        <x:v>Synthetic scenario factors used by an intentionally unsupported VLOOKUP</x:v>
      </x:c>
    </x:row>
    <x:row r="5">
      <x:c r="A5" s="43" t="str">
        <x:v>Scenario factor table</x:v>
      </x:c>
      <x:c r="B5" s="44" t="str">
        <x:v>Scenario factor table</x:v>
      </x:c>
      <x:c r="C5" s="45" t="str">
        <x:v>Scenario factor table</x:v>
      </x:c>
    </x:row>
    <x:row r="6">
      <x:c r="A6" s="29" t="str">
        <x:v>Scenario</x:v>
      </x:c>
      <x:c r="B6" s="29" t="str">
        <x:v>Factor</x:v>
      </x:c>
      <x:c r="C6" s="29" t="str">
        <x:v>Note</x:v>
      </x:c>
    </x:row>
    <x:row r="7">
      <x:c r="A7" s="33" t="str">
        <x:v>Low</x:v>
      </x:c>
      <x:c r="B7" s="101" t="n">
        <x:v>0.02</x:v>
      </x:c>
      <x:c r="C7" s="33" t="str">
        <x:v>Synthetic factor</x:v>
      </x:c>
    </x:row>
    <x:row r="8">
      <x:c r="A8" s="34" t="str">
        <x:v>Moderate</x:v>
      </x:c>
      <x:c r="B8" s="83" t="n">
        <x:v>0.04</x:v>
      </x:c>
      <x:c r="C8" s="34" t="str">
        <x:v>Synthetic factor</x:v>
      </x:c>
    </x:row>
    <x:row r="9">
      <x:c r="A9" s="34" t="str">
        <x:v>High</x:v>
      </x:c>
      <x:c r="B9" s="83" t="n">
        <x:v>0.07</x:v>
      </x:c>
      <x:c r="C9" s="34" t="str">
        <x:v>Synthetic factor</x:v>
      </x:c>
    </x:row>
  </x:sheetData>
  <x:mergeCells>
    <x:mergeCell ref="A1:F2"/>
    <x:mergeCell ref="A3:F3"/>
    <x:mergeCell ref="A5:C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30" hidden="0" customWidth="1"/>
    <x:col min="4" max="4" width="52" hidden="0" customWidth="1"/>
    <x:col min="5" max="5" width="14" hidden="0" customWidth="1"/>
    <x:col min="6" max="6" width="14" hidden="0" customWidth="1"/>
  </x:cols>
  <x:sheetData>
    <x:row r="1" ht="28" customHeight="1">
      <x:c r="A1" s="15" t="str">
        <x:v>Case 2 — Reserve calculation</x:v>
      </x:c>
      <x:c r="B1" s="16" t="str">
        <x:v>Case 2 — Reserve calculation</x:v>
      </x:c>
      <x:c r="C1" s="16" t="str">
        <x:v>Case 2 — Reserve calculation</x:v>
      </x:c>
      <x:c r="D1" s="16" t="str">
        <x:v>Case 2 — Reserve calculation</x:v>
      </x:c>
      <x:c r="E1" s="16" t="str">
        <x:v>Case 2 — Reserve calculation</x:v>
      </x:c>
      <x:c r="F1" s="17" t="str">
        <x:v>Case 2 — Reserve calculation</x:v>
      </x:c>
    </x:row>
    <x:row r="2" ht="28" customHeight="1">
      <x:c r="A2" s="18" t="str">
        <x:v>Case 2 — Reserve calculation</x:v>
      </x:c>
      <x:c r="B2" s="19" t="str">
        <x:v>Case 2 — Reserve calculation</x:v>
      </x:c>
      <x:c r="C2" s="19" t="str">
        <x:v>Case 2 — Reserve calculation</x:v>
      </x:c>
      <x:c r="D2" s="19" t="str">
        <x:v>Case 2 — Reserve calculation</x:v>
      </x:c>
      <x:c r="E2" s="19" t="str">
        <x:v>Case 2 — Reserve calculation</x:v>
      </x:c>
      <x:c r="F2" s="20" t="str">
        <x:v>Case 2 — Reserve calculation</x:v>
      </x:c>
    </x:row>
    <x:row r="3" ht="24" customHeight="1">
      <x:c r="A3" s="76" t="str">
        <x:v>Intentional defects are not visually repaired; the audit agent must surface them</x:v>
      </x:c>
      <x:c r="B3" s="76" t="str">
        <x:v>Intentional defects are not visually repaired; the audit agent must surface them</x:v>
      </x:c>
      <x:c r="C3" s="76" t="str">
        <x:v>Intentional defects are not visually repaired; the audit agent must surface them</x:v>
      </x:c>
      <x:c r="D3" s="76" t="str">
        <x:v>Intentional defects are not visually repaired; the audit agent must surface them</x:v>
      </x:c>
      <x:c r="E3" s="76" t="str">
        <x:v>Intentional defects are not visually repaired; the audit agent must surface them</x:v>
      </x:c>
      <x:c r="F3" s="76" t="str">
        <x:v>Intentional defects are not visually repaired; the audit agent must surface them</x:v>
      </x:c>
    </x:row>
    <x:row r="5">
      <x:c r="A5" s="49" t="str">
        <x:v>Calculation containing intentional defects</x:v>
      </x:c>
      <x:c r="B5" s="50" t="str">
        <x:v>Calculation containing intentional defects</x:v>
      </x:c>
      <x:c r="C5" s="50" t="str">
        <x:v>Calculation containing intentional defects</x:v>
      </x:c>
      <x:c r="D5" s="51" t="str">
        <x:v>Calculation containing intentional defects</x:v>
      </x:c>
    </x:row>
    <x:row r="6">
      <x:c r="A6" s="29" t="str">
        <x:v>Calculation line</x:v>
      </x:c>
      <x:c r="B6" s="29" t="str">
        <x:v>EUR</x:v>
      </x:c>
      <x:c r="C6" s="29" t="str">
        <x:v>Expected control signal</x:v>
      </x:c>
      <x:c r="D6" s="29" t="str">
        <x:v>Explanation</x:v>
      </x:c>
    </x:row>
    <x:row r="7">
      <x:c r="A7" s="93" t="str">
        <x:v>Trend-adjusted premium</x:v>
      </x:c>
      <x:c r="B7" s="106" t="n">
        <x:f>'Assumptions'!B7*1.075</x:f>
        <x:v>10750000</x:v>
      </x:c>
      <x:c r="C7" s="93" t="str">
        <x:v>Hardcoded literal warning</x:v>
      </x:c>
      <x:c r="D7" s="93" t="str">
        <x:v>Formula contains the hidden factor 1.075</x:v>
      </x:c>
    </x:row>
    <x:row r="8">
      <x:c r="A8" s="34" t="str">
        <x:v>Outstanding reported claims</x:v>
      </x:c>
      <x:c r="B8" s="105" t="n">
        <x:f>'Assumptions'!B8</x:f>
        <x:v>1800000</x:v>
      </x:c>
      <x:c r="C8" s="34" t="str">
        <x:v>Supported</x:v>
      </x:c>
      <x:c r="D8" s="34" t="str">
        <x:v>Linked from assumptions</x:v>
      </x:c>
    </x:row>
    <x:row r="9">
      <x:c r="A9" s="34" t="str">
        <x:v>IBNR estimate</x:v>
      </x:c>
      <x:c r="B9" s="105" t="n">
        <x:f>'Assumptions'!B9</x:f>
        <x:v>650000</x:v>
      </x:c>
      <x:c r="C9" s="34" t="str">
        <x:v>Supported</x:v>
      </x:c>
      <x:c r="D9" s="34" t="str">
        <x:v>Linked from assumptions</x:v>
      </x:c>
    </x:row>
    <x:row r="10">
      <x:c r="A10" s="107" t="str">
        <x:v>Claims handling expense</x:v>
      </x:c>
      <x:c r="B10" s="108" t="n">
        <x:f>'Assumptions'!B10</x:f>
        <x:v>125000</x:v>
      </x:c>
      <x:c r="C10" s="107" t="str">
        <x:v>Skipped by subtotal</x:v>
      </x:c>
      <x:c r="D10" s="107" t="str">
        <x:v>This populated row is deliberately omitted</x:v>
      </x:c>
    </x:row>
    <x:row r="11">
      <x:c r="A11" s="34" t="str">
        <x:v>Risk margin</x:v>
      </x:c>
      <x:c r="B11" s="105" t="n">
        <x:f>B8*'Assumptions'!B11</x:f>
        <x:v>90000</x:v>
      </x:c>
      <x:c r="C11" s="34" t="str">
        <x:v>Supported</x:v>
      </x:c>
      <x:c r="D11" s="34" t="str">
        <x:v>Outstanding claims × risk margin rate</x:v>
      </x:c>
    </x:row>
    <x:row r="12">
      <x:c r="A12" s="109" t="str">
        <x:v>Reported reserve subtotal</x:v>
      </x:c>
      <x:c r="B12" s="110" t="n">
        <x:f>SUM(B8:B9,B11:B11)</x:f>
        <x:v>2540000</x:v>
      </x:c>
      <x:c r="C12" s="109" t="str">
        <x:v>SUM omission warning</x:v>
      </x:c>
      <x:c r="D12" s="109" t="str">
        <x:v>SUM(B8:B9,B11:B11) skips B10</x:v>
      </x:c>
    </x:row>
    <x:row r="13">
      <x:c r="A13" s="109" t="str">
        <x:v>Scenario adjustment</x:v>
      </x:c>
      <x:c r="B13" s="110" t="n">
        <x:f>VLOOKUP('Assumptions'!B12,'Lookup Table'!A7:B9,'Assumptions'!B13,FALSE)*B12</x:f>
        <x:v>101600</x:v>
      </x:c>
      <x:c r="C13" s="109" t="str">
        <x:v>Unsupported VLOOKUP</x:v>
      </x:c>
      <x:c r="D13" s="109" t="str">
        <x:v>Must make the designated output incomplete</x:v>
      </x:c>
    </x:row>
    <x:row r="14" ht="30" customHeight="1">
      <x:c r="A14" s="117" t="str">
        <x:v>Total technical provisions</x:v>
      </x:c>
      <x:c r="B14" s="118" t="n">
        <x:f>SUM(B12:B13)</x:f>
        <x:v>2641600</x:v>
      </x:c>
      <x:c r="C14" s="119" t="str">
        <x:v>Designated output — incomplete</x:v>
      </x:c>
      <x:c r="D14" s="120" t="str">
        <x:v>Depends on the unsupported scenario adjustment</x:v>
      </x:c>
    </x:row>
    <x:row r="18">
      <x:c r="A18" s="43" t="str">
        <x:v>Cell colour legend</x:v>
      </x:c>
      <x:c r="B18" s="44" t="str">
        <x:v>Cell colour legend</x:v>
      </x:c>
      <x:c r="C18" s="44" t="str">
        <x:v>Cell colour legend</x:v>
      </x:c>
      <x:c r="D18" s="44" t="str">
        <x:v>Cell colour legend</x:v>
      </x:c>
      <x:c r="E18" s="44" t="str">
        <x:v>Cell colour legend</x:v>
      </x:c>
      <x:c r="F18" s="45" t="str">
        <x:v>Cell colour legend</x:v>
      </x:c>
    </x:row>
    <x:row r="19" ht="24" customHeight="1">
      <x:c r="A19" s="86" t="str">
        <x:v>Input</x:v>
      </x:c>
      <x:c r="B19" s="85" t="str">
        <x:v>Blue text with pale yellow fill — editable synthetic assumption</x:v>
      </x:c>
      <x:c r="C19" s="85"/>
      <x:c r="D19" s="85"/>
      <x:c r="E19" s="85"/>
      <x:c r="F19" s="85"/>
    </x:row>
    <x:row r="20" ht="24" customHeight="1">
      <x:c r="A20" s="89" t="str">
        <x:v>Cross-sheet formula</x:v>
      </x:c>
      <x:c r="B20" s="88" t="str">
        <x:v>Green text — formula linked to another worksheet</x:v>
      </x:c>
      <x:c r="C20" s="88"/>
      <x:c r="D20" s="88"/>
      <x:c r="E20" s="88"/>
      <x:c r="F20" s="88"/>
    </x:row>
    <x:row r="21" ht="24" customHeight="1">
      <x:c r="A21" s="92" t="str">
        <x:v>Within-sheet formula</x:v>
      </x:c>
      <x:c r="B21" s="91" t="str">
        <x:v>Black text — formula calculated within the worksheet</x:v>
      </x:c>
      <x:c r="C21" s="91"/>
      <x:c r="D21" s="91"/>
      <x:c r="E21" s="91"/>
      <x:c r="F21" s="91"/>
    </x:row>
    <x:row r="22" ht="24" customHeight="1">
      <x:c r="A22" s="89" t="str">
        <x:v>Designated output</x:v>
      </x:c>
      <x:c r="B22" s="88" t="str">
        <x:v>Pale green fill — cell selected for reconstruction and reconciliation</x:v>
      </x:c>
      <x:c r="C22" s="88"/>
      <x:c r="D22" s="88"/>
      <x:c r="E22" s="88"/>
      <x:c r="F22" s="88"/>
    </x:row>
    <x:row r="23" ht="24" customHeight="1">
      <x:c r="A23" s="95" t="str">
        <x:v>Expected warning</x:v>
      </x:c>
      <x:c r="B23" s="94" t="str">
        <x:v>Amber fill — condition requiring a human review decision</x:v>
      </x:c>
      <x:c r="C23" s="94"/>
      <x:c r="D23" s="94"/>
      <x:c r="E23" s="94"/>
      <x:c r="F23" s="94"/>
    </x:row>
    <x:row r="24" ht="24" customHeight="1">
      <x:c r="A24" s="98" t="str">
        <x:v>Expected blocker</x:v>
      </x:c>
      <x:c r="B24" s="97" t="str">
        <x:v>Pale red fill — intentional defect that prevents silent progress</x:v>
      </x:c>
      <x:c r="C24" s="97"/>
      <x:c r="D24" s="97"/>
      <x:c r="E24" s="97"/>
      <x:c r="F24" s="97"/>
    </x:row>
    <x:row r="25" ht="24" customHeight="1">
      <x:c r="A25" s="100" t="str">
        <x:v>Model context</x:v>
      </x:c>
      <x:c r="B25" s="72" t="str">
        <x:v>Amounts are EUR unless the case guide says otherwise; period is 2025-Q4</x:v>
      </x:c>
      <x:c r="C25" s="72"/>
      <x:c r="D25" s="72"/>
      <x:c r="E25" s="72"/>
      <x:c r="F25" s="72"/>
    </x:row>
  </x:sheetData>
  <x:mergeCells>
    <x:mergeCell ref="A1:F2"/>
    <x:mergeCell ref="A3:F3"/>
    <x:mergeCell ref="A5:D5"/>
    <x:mergeCell ref="A18:F18"/>
    <x:mergeCell ref="B19:F19"/>
    <x:mergeCell ref="B20:F20"/>
    <x:mergeCell ref="B21:F21"/>
    <x:mergeCell ref="B22:F22"/>
    <x:mergeCell ref="B23:F23"/>
    <x:mergeCell ref="B24:F24"/>
    <x:mergeCell ref="B25:F2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54" hidden="0" customWidth="1"/>
    <x:col min="5" max="5" width="14" hidden="0" customWidth="1"/>
    <x:col min="6" max="6" width="14" hidden="0" customWidth="1"/>
  </x:cols>
  <x:sheetData>
    <x:row r="1" ht="28" customHeight="1">
      <x:c r="A1" s="15" t="str">
        <x:v>Case 2 — Circular control</x:v>
      </x:c>
      <x:c r="B1" s="16" t="str">
        <x:v>Case 2 — Circular control</x:v>
      </x:c>
      <x:c r="C1" s="16" t="str">
        <x:v>Case 2 — Circular control</x:v>
      </x:c>
      <x:c r="D1" s="16" t="str">
        <x:v>Case 2 — Circular control</x:v>
      </x:c>
      <x:c r="E1" s="16" t="str">
        <x:v>Case 2 — Circular control</x:v>
      </x:c>
      <x:c r="F1" s="17" t="str">
        <x:v>Case 2 — Circular control</x:v>
      </x:c>
    </x:row>
    <x:row r="2" ht="28" customHeight="1">
      <x:c r="A2" s="18" t="str">
        <x:v>Case 2 — Circular control</x:v>
      </x:c>
      <x:c r="B2" s="19" t="str">
        <x:v>Case 2 — Circular control</x:v>
      </x:c>
      <x:c r="C2" s="19" t="str">
        <x:v>Case 2 — Circular control</x:v>
      </x:c>
      <x:c r="D2" s="19" t="str">
        <x:v>Case 2 — Circular control</x:v>
      </x:c>
      <x:c r="E2" s="19" t="str">
        <x:v>Case 2 — Circular control</x:v>
      </x:c>
      <x:c r="F2" s="20" t="str">
        <x:v>Case 2 — Circular control</x:v>
      </x:c>
    </x:row>
    <x:row r="3" ht="24" customHeight="1">
      <x:c r="A3" s="76" t="str">
        <x:v>Two cells intentionally depend on each other so the cell-level graph must block</x:v>
      </x:c>
      <x:c r="B3" s="76" t="str">
        <x:v>Two cells intentionally depend on each other so the cell-level graph must block</x:v>
      </x:c>
      <x:c r="C3" s="76" t="str">
        <x:v>Two cells intentionally depend on each other so the cell-level graph must block</x:v>
      </x:c>
      <x:c r="D3" s="76" t="str">
        <x:v>Two cells intentionally depend on each other so the cell-level graph must block</x:v>
      </x:c>
      <x:c r="E3" s="76" t="str">
        <x:v>Two cells intentionally depend on each other so the cell-level graph must block</x:v>
      </x:c>
      <x:c r="F3" s="76" t="str">
        <x:v>Two cells intentionally depend on each other so the cell-level graph must block</x:v>
      </x:c>
    </x:row>
    <x:row r="5">
      <x:c r="A5" s="123" t="str">
        <x:v>Intentional circular reference</x:v>
      </x:c>
      <x:c r="B5" s="124" t="str">
        <x:v>Intentional circular reference</x:v>
      </x:c>
      <x:c r="C5" s="124" t="str">
        <x:v>Intentional circular reference</x:v>
      </x:c>
      <x:c r="D5" s="125" t="str">
        <x:v>Intentional circular reference</x:v>
      </x:c>
    </x:row>
    <x:row r="6">
      <x:c r="A6" s="29" t="str">
        <x:v>Control line</x:v>
      </x:c>
      <x:c r="B6" s="29" t="str">
        <x:v>Value</x:v>
      </x:c>
      <x:c r="C6" s="29" t="str">
        <x:v>Expected signal</x:v>
      </x:c>
      <x:c r="D6" s="29" t="str">
        <x:v>Explanation</x:v>
      </x:c>
    </x:row>
    <x:row r="7">
      <x:c r="A7" s="96" t="str">
        <x:v>Circular control A</x:v>
      </x:c>
      <x:c r="B7" s="126">
        <x:f>'Circular Control'!B8</x:f>
      </x:c>
      <x:c r="C7" s="96" t="str">
        <x:v>blocker</x:v>
      </x:c>
      <x:c r="D7" s="96" t="str">
        <x:v>Depends on Circular Control!B8</x:v>
      </x:c>
    </x:row>
    <x:row r="8">
      <x:c r="A8" s="107" t="str">
        <x:v>Circular control B</x:v>
      </x:c>
      <x:c r="B8" s="127">
        <x:f>'Circular Control'!B7</x:f>
      </x:c>
      <x:c r="C8" s="107" t="str">
        <x:v>blocker</x:v>
      </x:c>
      <x:c r="D8" s="107" t="str">
        <x:v>Depends on Circular Control!B7</x:v>
      </x:c>
    </x:row>
  </x:sheetData>
  <x:mergeCells>
    <x:mergeCell ref="A1:F2"/>
    <x:mergeCell ref="A3:F3"/>
    <x:mergeCell ref="A5:D5"/>
  </x:mergeCells>
  <x:pageMargins left="0.7" right="0.7" top="0.75" bottom="0.75" header="0.3" footer="0.3"/>
</x:worksheet>
</file>
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mo Guide" sheetId="1" state="visible" r:id="rId3"/>
    <sheet name="Assumptions" sheetId="2" state="visible" r:id="rId4"/>
    <sheet name="Lookup Table" sheetId="3" state="visible" r:id="rId5"/>
    <sheet name="Reserve Calculation" sheetId="4" state="visible" r:id="rId6"/>
    <sheet name="Circular Control" sheetId="5" state="visible" r:id="rId7"/>
  </sheets>
  <calcPr calcId="191029" calcMode="auto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<sst xmlns="http://schemas.openxmlformats.org/spreadsheetml/2006/main" count="297" uniqueCount="136">
  <si>
    <t xml:space="preserve">Case 2 — Spreadsheet control failures</t>
  </si>
  <si>
    <t xml:space="preserve">Intentional warning, omission, unsupported formula and circular-reference defects</t>
  </si>
  <si>
    <t xml:space="preserve">Workbook context</t>
  </si>
  <si>
    <t xml:space="preserve">Value</t>
  </si>
  <si>
    <t xml:space="preserve">Entity</t>
  </si>
  <si>
    <t xml:space="preserve">Aurora Life SA</t>
  </si>
  <si>
    <t xml:space="preserve">Period</t>
  </si>
  <si>
    <t xml:space="preserve">2025-Q4</t>
  </si>
  <si>
    <t xml:space="preserve">Currency</t>
  </si>
  <si>
    <t xml:space="preserve">EUR</t>
  </si>
  <si>
    <t xml:space="preserve">Basis</t>
  </si>
  <si>
    <t xml:space="preserve">IFRS 17 — synthetic demonstration</t>
  </si>
  <si>
    <t xml:space="preserve">Designated output(s)</t>
  </si>
  <si>
    <t xml:space="preserve">Reserve Calculation!B14</t>
  </si>
  <si>
    <t xml:space="preserve">Demonstration instructions</t>
  </si>
  <si>
    <t xml:space="preserve">1</t>
  </si>
  <si>
    <t xml:space="preserve">Upload this workbook</t>
  </si>
  <si>
    <t xml:space="preserve">Use the context above</t>
  </si>
  <si>
    <t xml:space="preserve">Reference figures</t>
  </si>
  <si>
    <t xml:space="preserve">Leave CFO reconciliation off</t>
  </si>
  <si>
    <t xml:space="preserve">Confirm Gate 1</t>
  </si>
  <si>
    <t xml:space="preserve">2</t>
  </si>
  <si>
    <t xml:space="preserve">Gate 2</t>
  </si>
  <si>
    <t xml:space="preserve">Review every finding</t>
  </si>
  <si>
    <t xml:space="preserve">Expected actions</t>
  </si>
  <si>
    <t xml:space="preserve">Confirm, override or dismiss with reasons</t>
  </si>
  <si>
    <t xml:space="preserve">No finding may disappear</t>
  </si>
  <si>
    <t xml:space="preserve">3</t>
  </si>
  <si>
    <t xml:space="preserve">Output designation</t>
  </si>
  <si>
    <t xml:space="preserve">Expected reconstruction</t>
  </si>
  <si>
    <t xml:space="preserve">Incomplete</t>
  </si>
  <si>
    <t xml:space="preserve">Acknowledge incompleteness</t>
  </si>
  <si>
    <t xml:space="preserve">4</t>
  </si>
  <si>
    <t xml:space="preserve">Do not repair the workbook</t>
  </si>
  <si>
    <t xml:space="preserve">This is a detection demo</t>
  </si>
  <si>
    <t xml:space="preserve">Circular cells</t>
  </si>
  <si>
    <t xml:space="preserve">Circular Control!B7:B8</t>
  </si>
  <si>
    <t xml:space="preserve">Preserve evidence</t>
  </si>
  <si>
    <t xml:space="preserve">Expected outcome</t>
  </si>
  <si>
    <t xml:space="preserve">Hardcoded literal</t>
  </si>
  <si>
    <t xml:space="preserve">Reserve Calculation!B7 contains 1.075</t>
  </si>
  <si>
    <t xml:space="preserve">Expected severity</t>
  </si>
  <si>
    <t xml:space="preserve">warning</t>
  </si>
  <si>
    <t xml:space="preserve">Human review</t>
  </si>
  <si>
    <t xml:space="preserve">required</t>
  </si>
  <si>
    <t xml:space="preserve">SUM omission</t>
  </si>
  <si>
    <t xml:space="preserve">Reserve Calculation!B12 skips B10</t>
  </si>
  <si>
    <t xml:space="preserve">Circular reference</t>
  </si>
  <si>
    <t xml:space="preserve">Circular Control!B7 ↔ B8</t>
  </si>
  <si>
    <t xml:space="preserve">blocker</t>
  </si>
  <si>
    <t xml:space="preserve">Unsupported output path</t>
  </si>
  <si>
    <t xml:space="preserve">VLOOKUP at Reserve Calculation!B13</t>
  </si>
  <si>
    <t xml:space="preserve">Expected output verdict</t>
  </si>
  <si>
    <t xml:space="preserve">incomplete</t>
  </si>
  <si>
    <t xml:space="preserve">Silent success</t>
  </si>
  <si>
    <t xml:space="preserve">not permitted</t>
  </si>
  <si>
    <t xml:space="preserve">Synthetic demonstration data only. It is not derived from a policyholder, insurer, ledger, actuarial model, or production workbook.</t>
  </si>
  <si>
    <t xml:space="preserve">Case 2 — Assumptions</t>
  </si>
  <si>
    <t xml:space="preserve">The workbook contains deliberate control defects documented on Demo Guide.</t>
  </si>
  <si>
    <t xml:space="preserve">Synthetic input assumptions</t>
  </si>
  <si>
    <t xml:space="preserve">Assumption</t>
  </si>
  <si>
    <t xml:space="preserve">Units</t>
  </si>
  <si>
    <t xml:space="preserve">Source / rationale</t>
  </si>
  <si>
    <t xml:space="preserve">Written premium</t>
  </si>
  <si>
    <t xml:space="preserve">Synthetic premium base</t>
  </si>
  <si>
    <t xml:space="preserve">Outstanding reported claims</t>
  </si>
  <si>
    <t xml:space="preserve">Synthetic claims balance</t>
  </si>
  <si>
    <t xml:space="preserve">IBNR estimate</t>
  </si>
  <si>
    <t xml:space="preserve">Synthetic actuarial estimate</t>
  </si>
  <si>
    <t xml:space="preserve">Claims handling expense</t>
  </si>
  <si>
    <t xml:space="preserve">Intentionally omitted from the SUM in the calculation sheet</t>
  </si>
  <si>
    <t xml:space="preserve">Risk margin rate</t>
  </si>
  <si>
    <t xml:space="preserve">%</t>
  </si>
  <si>
    <t xml:space="preserve">Synthetic assumption</t>
  </si>
  <si>
    <t xml:space="preserve">Scenario</t>
  </si>
  <si>
    <t xml:space="preserve">Moderate</t>
  </si>
  <si>
    <t xml:space="preserve">text</t>
  </si>
  <si>
    <t xml:space="preserve">Lookup key used by the intentionally unsupported VLOOKUP</t>
  </si>
  <si>
    <t xml:space="preserve">Lookup column index</t>
  </si>
  <si>
    <t xml:space="preserve">index</t>
  </si>
  <si>
    <t xml:space="preserve">Stored visibly to avoid a second hardcoded-literal finding</t>
  </si>
  <si>
    <t xml:space="preserve">Cell colour legend</t>
  </si>
  <si>
    <t xml:space="preserve">Input</t>
  </si>
  <si>
    <t xml:space="preserve">Blue text with pale yellow fill — editable synthetic assumption</t>
  </si>
  <si>
    <t xml:space="preserve">Cross-sheet formula</t>
  </si>
  <si>
    <t xml:space="preserve">Green text — formula linked to another worksheet</t>
  </si>
  <si>
    <t xml:space="preserve">Within-sheet formula</t>
  </si>
  <si>
    <t xml:space="preserve">Black text — formula calculated within the worksheet</t>
  </si>
  <si>
    <t xml:space="preserve">Designated output</t>
  </si>
  <si>
    <t xml:space="preserve">Pale green fill — cell selected for reconstruction and reconciliation</t>
  </si>
  <si>
    <t xml:space="preserve">Expected warning</t>
  </si>
  <si>
    <t xml:space="preserve">Amber fill — condition requiring a human review decision</t>
  </si>
  <si>
    <t xml:space="preserve">Expected blocker</t>
  </si>
  <si>
    <t xml:space="preserve">Pale red fill — intentional defect that prevents silent progress</t>
  </si>
  <si>
    <t xml:space="preserve">Model context</t>
  </si>
  <si>
    <t xml:space="preserve">Amounts are EUR unless the case guide says otherwise; period is 2025-Q4</t>
  </si>
  <si>
    <t xml:space="preserve">Case 2 — Lookup table</t>
  </si>
  <si>
    <t xml:space="preserve">Synthetic scenario factors used by an intentionally unsupported VLOOKUP</t>
  </si>
  <si>
    <t xml:space="preserve">Scenario factor table</t>
  </si>
  <si>
    <t xml:space="preserve">Factor</t>
  </si>
  <si>
    <t xml:space="preserve">Note</t>
  </si>
  <si>
    <t xml:space="preserve">Low</t>
  </si>
  <si>
    <t xml:space="preserve">Synthetic factor</t>
  </si>
  <si>
    <t xml:space="preserve">High</t>
  </si>
  <si>
    <t xml:space="preserve">Case 2 — Reserve calculation</t>
  </si>
  <si>
    <t xml:space="preserve">Intentional defects are not visually repaired; the audit agent must surface them</t>
  </si>
  <si>
    <t xml:space="preserve">Calculation containing intentional defects</t>
  </si>
  <si>
    <t xml:space="preserve">Calculation line</t>
  </si>
  <si>
    <t xml:space="preserve">Expected control signal</t>
  </si>
  <si>
    <t xml:space="preserve">Explanation</t>
  </si>
  <si>
    <t xml:space="preserve">Trend-adjusted premium</t>
  </si>
  <si>
    <t xml:space="preserve">Hardcoded literal warning</t>
  </si>
  <si>
    <t xml:space="preserve">Formula contains the hidden factor 1.075</t>
  </si>
  <si>
    <t xml:space="preserve">Supported</t>
  </si>
  <si>
    <t xml:space="preserve">Linked from assumptions</t>
  </si>
  <si>
    <t xml:space="preserve">Skipped by subtotal</t>
  </si>
  <si>
    <t xml:space="preserve">This populated row is deliberately omitted</t>
  </si>
  <si>
    <t xml:space="preserve">Risk margin</t>
  </si>
  <si>
    <t xml:space="preserve">Outstanding claims × risk margin rate</t>
  </si>
  <si>
    <t xml:space="preserve">Reported reserve subtotal</t>
  </si>
  <si>
    <t xml:space="preserve">SUM omission warning</t>
  </si>
  <si>
    <t xml:space="preserve">SUM(B8:B9,B11:B11) skips B10</t>
  </si>
  <si>
    <t xml:space="preserve">Scenario adjustment</t>
  </si>
  <si>
    <t xml:space="preserve">Unsupported VLOOKUP</t>
  </si>
  <si>
    <t xml:space="preserve">Must make the designated output incomplete</t>
  </si>
  <si>
    <t xml:space="preserve">Total technical provisions</t>
  </si>
  <si>
    <t xml:space="preserve">Designated output — incomplete</t>
  </si>
  <si>
    <t xml:space="preserve">Depends on the unsupported scenario adjustment</t>
  </si>
  <si>
    <t xml:space="preserve">Case 2 — Circular control</t>
  </si>
  <si>
    <t xml:space="preserve">Two cells intentionally depend on each other so the cell-level graph must block</t>
  </si>
  <si>
    <t xml:space="preserve">Intentional circular reference</t>
  </si>
  <si>
    <t xml:space="preserve">Control line</t>
  </si>
  <si>
    <t xml:space="preserve">Circular control A</t>
  </si>
  <si>
    <t xml:space="preserve">Depends on Circular Control!B8</t>
  </si>
  <si>
    <t xml:space="preserve">Circular control B</t>
  </si>
  <si>
    <t xml:space="preserve">Depends on Circular Control!B7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</si>
</sst>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€#,##0;[RED]&quot;(€&quot;#,##0\);\-"/>
    <numFmt numFmtId="167" formatCode="0.0%;[RED]\(0.0%\);\-"/>
    <numFmt numFmtId="168" formatCode="0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FFFFFF"/>
      <name val="Calibri"/>
      <family val="0"/>
      <charset val="1"/>
    </font>
    <font>
      <b val="true"/>
      <sz val="11"/>
      <color rgb="FF16324F"/>
      <name val="Calibri"/>
      <family val="0"/>
      <charset val="1"/>
    </font>
    <font>
      <sz val="11"/>
      <color rgb="FF1F2937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8000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6324F"/>
        <bgColor rgb="FF1F2937"/>
      </patternFill>
    </fill>
    <fill>
      <patternFill patternType="solid">
        <fgColor rgb="FFA16207"/>
        <bgColor rgb="FF993300"/>
      </patternFill>
    </fill>
    <fill>
      <patternFill patternType="solid">
        <fgColor rgb="FFE8F1F5"/>
        <bgColor rgb="FFF3F4F6"/>
      </patternFill>
    </fill>
    <fill>
      <patternFill patternType="solid">
        <fgColor rgb="FFE2F0D9"/>
        <bgColor rgb="FFE8F1F5"/>
      </patternFill>
    </fill>
    <fill>
      <patternFill patternType="solid">
        <fgColor rgb="FF1F7A8C"/>
        <bgColor rgb="FF008080"/>
      </patternFill>
    </fill>
    <fill>
      <patternFill patternType="solid">
        <fgColor rgb="FFF3F4F6"/>
        <bgColor rgb="FFE8F1F5"/>
      </patternFill>
    </fill>
    <fill>
      <patternFill patternType="solid">
        <fgColor rgb="FFFFF2CC"/>
        <bgColor rgb="FFFFF4CE"/>
      </patternFill>
    </fill>
    <fill>
      <patternFill patternType="solid">
        <fgColor rgb="FFFFFFFF"/>
        <bgColor rgb="FFF3F4F6"/>
      </patternFill>
    </fill>
    <fill>
      <patternFill patternType="solid">
        <fgColor rgb="FFFFF4CE"/>
        <bgColor rgb="FFFFF2CC"/>
      </patternFill>
    </fill>
    <fill>
      <patternFill patternType="solid">
        <fgColor rgb="FFFCE8E6"/>
        <bgColor rgb="FFFFF2CC"/>
      </patternFill>
    </fill>
    <fill>
      <patternFill patternType="solid">
        <fgColor rgb="FF9F1239"/>
        <bgColor rgb="FF8000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>
        <color rgb="FF16324F"/>
      </left>
      <right style="medium">
        <color rgb="FF16324F"/>
      </right>
      <top style="medium">
        <color rgb="FF16324F"/>
      </top>
      <bottom style="medium">
        <color rgb="FF16324F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/>
      <right/>
      <top/>
      <bottom style="thin">
        <color rgb="FFCBD5E1"/>
      </bottom>
      <diagonal/>
    </border>
    <border diagonalUp="false" diagonalDown="false">
      <left/>
      <right/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1F7A8C"/>
      </left>
      <right style="thin">
        <color rgb="FF1F7A8C"/>
      </right>
      <top style="thin">
        <color rgb="FF1F7A8C"/>
      </top>
      <bottom style="thin">
        <color rgb="FF1F7A8C"/>
      </bottom>
      <diagonal/>
    </border>
    <border diagonalUp="false" diagonalDown="false">
      <left style="thin">
        <color rgb="FFA16207"/>
      </left>
      <right style="thin">
        <color rgb="FFA16207"/>
      </right>
      <top style="thin">
        <color rgb="FFA16207"/>
      </top>
      <bottom style="thin">
        <color rgb="FFA16207"/>
      </bottom>
      <diagonal/>
    </border>
    <border diagonalUp="false" diagonalDown="false">
      <left style="medium">
        <color rgb="FF1F7A8C"/>
      </left>
      <right/>
      <top style="medium">
        <color rgb="FF1F7A8C"/>
      </top>
      <bottom style="medium">
        <color rgb="FF1F7A8C"/>
      </bottom>
      <diagonal/>
    </border>
    <border diagonalUp="false" diagonalDown="false">
      <left/>
      <right/>
      <top style="medium">
        <color rgb="FF1F7A8C"/>
      </top>
      <bottom style="medium">
        <color rgb="FF1F7A8C"/>
      </bottom>
      <diagonal/>
    </border>
    <border diagonalUp="false" diagonalDown="false">
      <left/>
      <right style="medium">
        <color rgb="FF1F7A8C"/>
      </right>
      <top style="medium">
        <color rgb="FF1F7A8C"/>
      </top>
      <bottom style="medium">
        <color rgb="FF1F7A8C"/>
      </bottom>
      <diagonal/>
    </border>
    <border diagonalUp="false" diagonalDown="false">
      <left style="thin">
        <color rgb="FF9F1239"/>
      </left>
      <right style="thin">
        <color rgb="FF9F1239"/>
      </right>
      <top style="thin">
        <color rgb="FF9F1239"/>
      </top>
      <bottom style="thin">
        <color rgb="FF9F123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3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4" borderId="2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5" borderId="4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6" borderId="5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4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3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8" fillId="0" borderId="4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7" borderId="2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6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9" fillId="8" borderId="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9" fillId="8" borderId="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9" fillId="8" borderId="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9" fillId="8" borderId="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8" borderId="3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8" borderId="3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5" borderId="3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5" borderId="3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9" borderId="3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9" borderId="3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10" borderId="3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10" borderId="3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11" borderId="3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11" borderId="3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7" borderId="3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7" borderId="3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9" fillId="8" borderId="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10" borderId="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" fillId="10" borderId="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" fillId="0" borderId="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11" borderId="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" fillId="11" borderId="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10" borderId="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" fillId="10" borderId="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5" borderId="7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7" fillId="5" borderId="8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5" borderId="8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5" borderId="9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12" borderId="1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" fillId="11" borderId="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" fillId="11" borderId="4" xfId="2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A16207"/>
      <rgbColor rgb="FF800080"/>
      <rgbColor rgb="FF1F7A8C"/>
      <rgbColor rgb="FFC0C0C0"/>
      <rgbColor rgb="FF808080"/>
      <rgbColor rgb="FF9999FF"/>
      <rgbColor rgb="FF993366"/>
      <rgbColor rgb="FFFFF4CE"/>
      <rgbColor rgb="FFE8F1F5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E2F0D9"/>
      <rgbColor rgb="FFFFF2CC"/>
      <rgbColor rgb="FF99CCFF"/>
      <rgbColor rgb="FFFF99CC"/>
      <rgbColor rgb="FFCC99FF"/>
      <rgbColor rgb="FFFCE8E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324F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38"/>
    <col collapsed="false" customWidth="true" hidden="false" outlineLevel="0" max="3" min="3" style="1" width="27"/>
    <col collapsed="false" customWidth="true" hidden="false" outlineLevel="0" max="4" min="4" style="1" width="28"/>
    <col collapsed="false" customWidth="true" hidden="false" outlineLevel="0" max="5" min="5" style="1" width="27"/>
    <col collapsed="false" customWidth="true" hidden="false" outlineLevel="0" max="6" min="6" style="1" width="25"/>
  </cols>
  <sheetData>
    <row r="1" customFormat="false" ht="28" hidden="false" customHeight="true" outlineLevel="0" collapsed="false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</row>
    <row r="2" customFormat="false" ht="28" hidden="false" customHeight="true" outlineLevel="0" collapsed="false">
      <c r="A2" s="2" t="s">
        <v>0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</row>
    <row r="3" customFormat="false" ht="24" hidden="false" customHeight="true" outlineLevel="0" collapsed="false">
      <c r="A3" s="3" t="s">
        <v>1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</row>
    <row r="5" customFormat="false" ht="15" hidden="false" customHeight="false" outlineLevel="0" collapsed="false">
      <c r="A5" s="4" t="s">
        <v>2</v>
      </c>
      <c r="B5" s="4" t="s">
        <v>3</v>
      </c>
    </row>
    <row r="6" customFormat="false" ht="15" hidden="false" customHeight="false" outlineLevel="0" collapsed="false">
      <c r="A6" s="5" t="s">
        <v>4</v>
      </c>
      <c r="B6" s="5" t="s">
        <v>5</v>
      </c>
    </row>
    <row r="7" customFormat="false" ht="15" hidden="false" customHeight="false" outlineLevel="0" collapsed="false">
      <c r="A7" s="6" t="s">
        <v>6</v>
      </c>
      <c r="B7" s="6" t="s">
        <v>7</v>
      </c>
    </row>
    <row r="8" customFormat="false" ht="15" hidden="false" customHeight="false" outlineLevel="0" collapsed="false">
      <c r="A8" s="6" t="s">
        <v>8</v>
      </c>
      <c r="B8" s="6" t="s">
        <v>9</v>
      </c>
    </row>
    <row r="9" customFormat="false" ht="15" hidden="false" customHeight="false" outlineLevel="0" collapsed="false">
      <c r="A9" s="6" t="s">
        <v>10</v>
      </c>
      <c r="B9" s="6" t="s">
        <v>11</v>
      </c>
    </row>
    <row r="10" customFormat="false" ht="28" hidden="false" customHeight="true" outlineLevel="0" collapsed="false">
      <c r="A10" s="6" t="s">
        <v>12</v>
      </c>
      <c r="B10" s="7" t="s">
        <v>13</v>
      </c>
      <c r="C10" s="7"/>
      <c r="D10" s="7"/>
      <c r="E10" s="7"/>
      <c r="F10" s="7"/>
    </row>
    <row r="12" customFormat="false" ht="15" hidden="false" customHeight="false" outlineLevel="0" collapsed="false">
      <c r="A12" s="8" t="s">
        <v>14</v>
      </c>
      <c r="B12" s="8" t="s">
        <v>14</v>
      </c>
      <c r="C12" s="8" t="s">
        <v>14</v>
      </c>
      <c r="D12" s="8" t="s">
        <v>14</v>
      </c>
      <c r="E12" s="8" t="s">
        <v>14</v>
      </c>
      <c r="F12" s="8" t="s">
        <v>14</v>
      </c>
    </row>
    <row r="13" customFormat="false" ht="32" hidden="false" customHeight="true" outlineLevel="0" collapsed="false">
      <c r="A13" s="9" t="s">
        <v>15</v>
      </c>
      <c r="B13" s="9" t="s">
        <v>16</v>
      </c>
      <c r="C13" s="9" t="s">
        <v>17</v>
      </c>
      <c r="D13" s="9" t="s">
        <v>18</v>
      </c>
      <c r="E13" s="9" t="s">
        <v>19</v>
      </c>
      <c r="F13" s="9" t="s">
        <v>20</v>
      </c>
    </row>
    <row r="14" customFormat="false" ht="32" hidden="false" customHeight="true" outlineLevel="0" collapsed="false">
      <c r="A14" s="10" t="s">
        <v>21</v>
      </c>
      <c r="B14" s="10" t="s">
        <v>22</v>
      </c>
      <c r="C14" s="10" t="s">
        <v>23</v>
      </c>
      <c r="D14" s="10" t="s">
        <v>24</v>
      </c>
      <c r="E14" s="10" t="s">
        <v>25</v>
      </c>
      <c r="F14" s="10" t="s">
        <v>26</v>
      </c>
    </row>
    <row r="15" customFormat="false" ht="32" hidden="false" customHeight="true" outlineLevel="0" collapsed="false">
      <c r="A15" s="10" t="s">
        <v>27</v>
      </c>
      <c r="B15" s="10" t="s">
        <v>28</v>
      </c>
      <c r="C15" s="10" t="s">
        <v>13</v>
      </c>
      <c r="D15" s="10" t="s">
        <v>29</v>
      </c>
      <c r="E15" s="10" t="s">
        <v>30</v>
      </c>
      <c r="F15" s="10" t="s">
        <v>31</v>
      </c>
    </row>
    <row r="16" customFormat="false" ht="32" hidden="false" customHeight="true" outlineLevel="0" collapsed="false">
      <c r="A16" s="10" t="s">
        <v>32</v>
      </c>
      <c r="B16" s="10" t="s">
        <v>33</v>
      </c>
      <c r="C16" s="10" t="s">
        <v>34</v>
      </c>
      <c r="D16" s="10" t="s">
        <v>35</v>
      </c>
      <c r="E16" s="10" t="s">
        <v>36</v>
      </c>
      <c r="F16" s="10" t="s">
        <v>37</v>
      </c>
    </row>
    <row r="18" customFormat="false" ht="15" hidden="false" customHeight="false" outlineLevel="0" collapsed="false">
      <c r="A18" s="11" t="s">
        <v>38</v>
      </c>
      <c r="B18" s="11" t="s">
        <v>38</v>
      </c>
      <c r="C18" s="11" t="s">
        <v>38</v>
      </c>
      <c r="D18" s="11" t="s">
        <v>38</v>
      </c>
      <c r="E18" s="11" t="s">
        <v>38</v>
      </c>
      <c r="F18" s="11" t="s">
        <v>38</v>
      </c>
    </row>
    <row r="19" customFormat="false" ht="34" hidden="false" customHeight="true" outlineLevel="0" collapsed="false">
      <c r="A19" s="12" t="s">
        <v>39</v>
      </c>
      <c r="B19" s="12" t="s">
        <v>40</v>
      </c>
      <c r="C19" s="12" t="s">
        <v>41</v>
      </c>
      <c r="D19" s="12" t="s">
        <v>42</v>
      </c>
      <c r="E19" s="12" t="s">
        <v>43</v>
      </c>
      <c r="F19" s="12" t="s">
        <v>44</v>
      </c>
    </row>
    <row r="20" customFormat="false" ht="34" hidden="false" customHeight="true" outlineLevel="0" collapsed="false">
      <c r="A20" s="13" t="s">
        <v>45</v>
      </c>
      <c r="B20" s="13" t="s">
        <v>46</v>
      </c>
      <c r="C20" s="13" t="s">
        <v>41</v>
      </c>
      <c r="D20" s="13" t="s">
        <v>42</v>
      </c>
      <c r="E20" s="13" t="s">
        <v>43</v>
      </c>
      <c r="F20" s="13" t="s">
        <v>44</v>
      </c>
    </row>
    <row r="21" customFormat="false" ht="34" hidden="false" customHeight="true" outlineLevel="0" collapsed="false">
      <c r="A21" s="13" t="s">
        <v>47</v>
      </c>
      <c r="B21" s="13" t="s">
        <v>48</v>
      </c>
      <c r="C21" s="13" t="s">
        <v>41</v>
      </c>
      <c r="D21" s="13" t="s">
        <v>49</v>
      </c>
      <c r="E21" s="13" t="s">
        <v>43</v>
      </c>
      <c r="F21" s="13" t="s">
        <v>44</v>
      </c>
    </row>
    <row r="22" customFormat="false" ht="34" hidden="false" customHeight="true" outlineLevel="0" collapsed="false">
      <c r="A22" s="13" t="s">
        <v>50</v>
      </c>
      <c r="B22" s="13" t="s">
        <v>51</v>
      </c>
      <c r="C22" s="13" t="s">
        <v>52</v>
      </c>
      <c r="D22" s="13" t="s">
        <v>53</v>
      </c>
      <c r="E22" s="13" t="s">
        <v>54</v>
      </c>
      <c r="F22" s="13" t="s">
        <v>55</v>
      </c>
    </row>
    <row r="24" customFormat="false" ht="15" hidden="false" customHeight="true" outlineLevel="0" collapsed="false">
      <c r="A24" s="14" t="s">
        <v>56</v>
      </c>
      <c r="B24" s="14" t="s">
        <v>56</v>
      </c>
      <c r="C24" s="14" t="s">
        <v>56</v>
      </c>
      <c r="D24" s="14" t="s">
        <v>56</v>
      </c>
      <c r="E24" s="14" t="s">
        <v>56</v>
      </c>
      <c r="F24" s="14" t="s">
        <v>56</v>
      </c>
    </row>
    <row r="25" customFormat="false" ht="15" hidden="false" customHeight="false" outlineLevel="0" collapsed="false">
      <c r="A25" s="14" t="s">
        <v>56</v>
      </c>
      <c r="B25" s="14" t="s">
        <v>56</v>
      </c>
      <c r="C25" s="14" t="s">
        <v>56</v>
      </c>
      <c r="D25" s="14" t="s">
        <v>56</v>
      </c>
      <c r="E25" s="14" t="s">
        <v>56</v>
      </c>
      <c r="F25" s="14" t="s">
        <v>56</v>
      </c>
    </row>
  </sheetData>
  <mergeCells count="6">
    <mergeCell ref="A1:F2"/>
    <mergeCell ref="A3:F3"/>
    <mergeCell ref="B10:F10"/>
    <mergeCell ref="A12:F12"/>
    <mergeCell ref="A18:F18"/>
    <mergeCell ref="A24:F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8"/>
    <col collapsed="false" customWidth="true" hidden="false" outlineLevel="0" max="4" min="4" style="1" width="46"/>
    <col collapsed="false" customWidth="true" hidden="false" outlineLevel="0" max="6" min="5" style="1" width="14"/>
  </cols>
  <sheetData>
    <row r="1" customFormat="false" ht="28" hidden="false" customHeight="true" outlineLevel="0" collapsed="false">
      <c r="A1" s="2" t="s">
        <v>57</v>
      </c>
      <c r="B1" s="2" t="s">
        <v>57</v>
      </c>
      <c r="C1" s="2" t="s">
        <v>57</v>
      </c>
      <c r="D1" s="2" t="s">
        <v>57</v>
      </c>
      <c r="E1" s="2" t="s">
        <v>57</v>
      </c>
      <c r="F1" s="2" t="s">
        <v>57</v>
      </c>
    </row>
    <row r="2" customFormat="false" ht="28" hidden="false" customHeight="true" outlineLevel="0" collapsed="false">
      <c r="A2" s="2" t="s">
        <v>57</v>
      </c>
      <c r="B2" s="2" t="s">
        <v>57</v>
      </c>
      <c r="C2" s="2" t="s">
        <v>57</v>
      </c>
      <c r="D2" s="2" t="s">
        <v>57</v>
      </c>
      <c r="E2" s="2" t="s">
        <v>57</v>
      </c>
      <c r="F2" s="2" t="s">
        <v>57</v>
      </c>
    </row>
    <row r="3" customFormat="false" ht="24" hidden="false" customHeight="true" outlineLevel="0" collapsed="false">
      <c r="A3" s="15" t="s">
        <v>58</v>
      </c>
      <c r="B3" s="15" t="s">
        <v>58</v>
      </c>
      <c r="C3" s="15" t="s">
        <v>58</v>
      </c>
      <c r="D3" s="15" t="s">
        <v>58</v>
      </c>
      <c r="E3" s="15" t="s">
        <v>58</v>
      </c>
      <c r="F3" s="15" t="s">
        <v>58</v>
      </c>
    </row>
    <row r="5" customFormat="false" ht="15" hidden="false" customHeight="false" outlineLevel="0" collapsed="false">
      <c r="A5" s="8" t="s">
        <v>59</v>
      </c>
      <c r="B5" s="8" t="s">
        <v>59</v>
      </c>
      <c r="C5" s="8" t="s">
        <v>59</v>
      </c>
      <c r="D5" s="8" t="s">
        <v>59</v>
      </c>
    </row>
    <row r="6" customFormat="false" ht="15" hidden="false" customHeight="false" outlineLevel="0" collapsed="false">
      <c r="A6" s="4" t="s">
        <v>60</v>
      </c>
      <c r="B6" s="4" t="s">
        <v>3</v>
      </c>
      <c r="C6" s="4" t="s">
        <v>61</v>
      </c>
      <c r="D6" s="4" t="s">
        <v>62</v>
      </c>
    </row>
    <row r="7" customFormat="false" ht="15" hidden="false" customHeight="false" outlineLevel="0" collapsed="false">
      <c r="A7" s="5" t="s">
        <v>63</v>
      </c>
      <c r="B7" s="16" t="n">
        <v>10000000</v>
      </c>
      <c r="C7" s="5" t="s">
        <v>9</v>
      </c>
      <c r="D7" s="5" t="s">
        <v>64</v>
      </c>
    </row>
    <row r="8" customFormat="false" ht="15" hidden="false" customHeight="false" outlineLevel="0" collapsed="false">
      <c r="A8" s="6" t="s">
        <v>65</v>
      </c>
      <c r="B8" s="17" t="n">
        <v>1800000</v>
      </c>
      <c r="C8" s="6" t="s">
        <v>9</v>
      </c>
      <c r="D8" s="6" t="s">
        <v>66</v>
      </c>
    </row>
    <row r="9" customFormat="false" ht="15" hidden="false" customHeight="false" outlineLevel="0" collapsed="false">
      <c r="A9" s="6" t="s">
        <v>67</v>
      </c>
      <c r="B9" s="17" t="n">
        <v>650000</v>
      </c>
      <c r="C9" s="6" t="s">
        <v>9</v>
      </c>
      <c r="D9" s="6" t="s">
        <v>68</v>
      </c>
    </row>
    <row r="10" customFormat="false" ht="15" hidden="false" customHeight="false" outlineLevel="0" collapsed="false">
      <c r="A10" s="6" t="s">
        <v>69</v>
      </c>
      <c r="B10" s="17" t="n">
        <v>125000</v>
      </c>
      <c r="C10" s="6" t="s">
        <v>9</v>
      </c>
      <c r="D10" s="6" t="s">
        <v>70</v>
      </c>
    </row>
    <row r="11" customFormat="false" ht="15" hidden="false" customHeight="false" outlineLevel="0" collapsed="false">
      <c r="A11" s="6" t="s">
        <v>71</v>
      </c>
      <c r="B11" s="18" t="n">
        <v>0.05</v>
      </c>
      <c r="C11" s="6" t="s">
        <v>72</v>
      </c>
      <c r="D11" s="6" t="s">
        <v>73</v>
      </c>
    </row>
    <row r="12" customFormat="false" ht="15" hidden="false" customHeight="false" outlineLevel="0" collapsed="false">
      <c r="A12" s="6" t="s">
        <v>74</v>
      </c>
      <c r="B12" s="17" t="s">
        <v>75</v>
      </c>
      <c r="C12" s="6" t="s">
        <v>76</v>
      </c>
      <c r="D12" s="6" t="s">
        <v>77</v>
      </c>
    </row>
    <row r="13" customFormat="false" ht="15" hidden="false" customHeight="false" outlineLevel="0" collapsed="false">
      <c r="A13" s="6" t="s">
        <v>78</v>
      </c>
      <c r="B13" s="19" t="n">
        <v>2</v>
      </c>
      <c r="C13" s="6" t="s">
        <v>79</v>
      </c>
      <c r="D13" s="6" t="s">
        <v>80</v>
      </c>
    </row>
    <row r="18" customFormat="false" ht="15" hidden="false" customHeight="false" outlineLevel="0" collapsed="false">
      <c r="A18" s="8" t="s">
        <v>81</v>
      </c>
      <c r="B18" s="8" t="s">
        <v>81</v>
      </c>
      <c r="C18" s="8" t="s">
        <v>81</v>
      </c>
      <c r="D18" s="8" t="s">
        <v>81</v>
      </c>
      <c r="E18" s="8" t="s">
        <v>81</v>
      </c>
      <c r="F18" s="8" t="s">
        <v>81</v>
      </c>
    </row>
    <row r="19" customFormat="false" ht="24" hidden="false" customHeight="true" outlineLevel="0" collapsed="false">
      <c r="A19" s="20" t="s">
        <v>82</v>
      </c>
      <c r="B19" s="21" t="s">
        <v>83</v>
      </c>
      <c r="C19" s="21"/>
      <c r="D19" s="21"/>
      <c r="E19" s="21"/>
      <c r="F19" s="21"/>
    </row>
    <row r="20" customFormat="false" ht="24" hidden="false" customHeight="true" outlineLevel="0" collapsed="false">
      <c r="A20" s="22" t="s">
        <v>84</v>
      </c>
      <c r="B20" s="23" t="s">
        <v>85</v>
      </c>
      <c r="C20" s="23"/>
      <c r="D20" s="23"/>
      <c r="E20" s="23"/>
      <c r="F20" s="23"/>
    </row>
    <row r="21" customFormat="false" ht="24" hidden="false" customHeight="true" outlineLevel="0" collapsed="false">
      <c r="A21" s="24" t="s">
        <v>86</v>
      </c>
      <c r="B21" s="25" t="s">
        <v>87</v>
      </c>
      <c r="C21" s="25"/>
      <c r="D21" s="25"/>
      <c r="E21" s="25"/>
      <c r="F21" s="25"/>
    </row>
    <row r="22" customFormat="false" ht="24" hidden="false" customHeight="true" outlineLevel="0" collapsed="false">
      <c r="A22" s="22" t="s">
        <v>88</v>
      </c>
      <c r="B22" s="23" t="s">
        <v>89</v>
      </c>
      <c r="C22" s="23"/>
      <c r="D22" s="23"/>
      <c r="E22" s="23"/>
      <c r="F22" s="23"/>
    </row>
    <row r="23" customFormat="false" ht="24" hidden="false" customHeight="true" outlineLevel="0" collapsed="false">
      <c r="A23" s="26" t="s">
        <v>90</v>
      </c>
      <c r="B23" s="27" t="s">
        <v>91</v>
      </c>
      <c r="C23" s="27"/>
      <c r="D23" s="27"/>
      <c r="E23" s="27"/>
      <c r="F23" s="27"/>
    </row>
    <row r="24" customFormat="false" ht="24" hidden="false" customHeight="true" outlineLevel="0" collapsed="false">
      <c r="A24" s="28" t="s">
        <v>92</v>
      </c>
      <c r="B24" s="29" t="s">
        <v>93</v>
      </c>
      <c r="C24" s="29"/>
      <c r="D24" s="29"/>
      <c r="E24" s="29"/>
      <c r="F24" s="29"/>
    </row>
    <row r="25" customFormat="false" ht="24" hidden="false" customHeight="true" outlineLevel="0" collapsed="false">
      <c r="A25" s="30" t="s">
        <v>94</v>
      </c>
      <c r="B25" s="31" t="s">
        <v>95</v>
      </c>
      <c r="C25" s="31"/>
      <c r="D25" s="31"/>
      <c r="E25" s="31"/>
      <c r="F25" s="31"/>
    </row>
  </sheetData>
  <mergeCells count="11">
    <mergeCell ref="A1:F2"/>
    <mergeCell ref="A3:F3"/>
    <mergeCell ref="A5:D5"/>
    <mergeCell ref="A18:F18"/>
    <mergeCell ref="B19:F19"/>
    <mergeCell ref="B20:F20"/>
    <mergeCell ref="B21:F21"/>
    <mergeCell ref="B22:F22"/>
    <mergeCell ref="B23:F23"/>
    <mergeCell ref="B24:F24"/>
    <mergeCell ref="B25:F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8"/>
    <col collapsed="false" customWidth="true" hidden="false" outlineLevel="0" max="3" min="3" style="1" width="48"/>
    <col collapsed="false" customWidth="true" hidden="false" outlineLevel="0" max="6" min="4" style="1" width="14"/>
  </cols>
  <sheetData>
    <row r="1" customFormat="false" ht="28" hidden="false" customHeight="true" outlineLevel="0" collapsed="false">
      <c r="A1" s="2" t="s">
        <v>96</v>
      </c>
      <c r="B1" s="2" t="s">
        <v>96</v>
      </c>
      <c r="C1" s="2" t="s">
        <v>96</v>
      </c>
      <c r="D1" s="2" t="s">
        <v>96</v>
      </c>
      <c r="E1" s="2" t="s">
        <v>96</v>
      </c>
      <c r="F1" s="2" t="s">
        <v>96</v>
      </c>
    </row>
    <row r="2" customFormat="false" ht="28" hidden="false" customHeight="true" outlineLevel="0" collapsed="false">
      <c r="A2" s="2" t="s">
        <v>96</v>
      </c>
      <c r="B2" s="2" t="s">
        <v>96</v>
      </c>
      <c r="C2" s="2" t="s">
        <v>96</v>
      </c>
      <c r="D2" s="2" t="s">
        <v>96</v>
      </c>
      <c r="E2" s="2" t="s">
        <v>96</v>
      </c>
      <c r="F2" s="2" t="s">
        <v>96</v>
      </c>
    </row>
    <row r="3" customFormat="false" ht="24" hidden="false" customHeight="true" outlineLevel="0" collapsed="false">
      <c r="A3" s="15" t="s">
        <v>97</v>
      </c>
      <c r="B3" s="15" t="s">
        <v>97</v>
      </c>
      <c r="C3" s="15" t="s">
        <v>97</v>
      </c>
      <c r="D3" s="15" t="s">
        <v>97</v>
      </c>
      <c r="E3" s="15" t="s">
        <v>97</v>
      </c>
      <c r="F3" s="15" t="s">
        <v>97</v>
      </c>
    </row>
    <row r="5" customFormat="false" ht="15" hidden="false" customHeight="false" outlineLevel="0" collapsed="false">
      <c r="A5" s="8" t="s">
        <v>98</v>
      </c>
      <c r="B5" s="8" t="s">
        <v>98</v>
      </c>
      <c r="C5" s="8" t="s">
        <v>98</v>
      </c>
    </row>
    <row r="6" customFormat="false" ht="15" hidden="false" customHeight="false" outlineLevel="0" collapsed="false">
      <c r="A6" s="4" t="s">
        <v>74</v>
      </c>
      <c r="B6" s="4" t="s">
        <v>99</v>
      </c>
      <c r="C6" s="4" t="s">
        <v>100</v>
      </c>
    </row>
    <row r="7" customFormat="false" ht="15" hidden="false" customHeight="false" outlineLevel="0" collapsed="false">
      <c r="A7" s="5" t="s">
        <v>101</v>
      </c>
      <c r="B7" s="32" t="n">
        <v>0.02</v>
      </c>
      <c r="C7" s="5" t="s">
        <v>102</v>
      </c>
    </row>
    <row r="8" customFormat="false" ht="15" hidden="false" customHeight="false" outlineLevel="0" collapsed="false">
      <c r="A8" s="6" t="s">
        <v>75</v>
      </c>
      <c r="B8" s="18" t="n">
        <v>0.04</v>
      </c>
      <c r="C8" s="6" t="s">
        <v>102</v>
      </c>
    </row>
    <row r="9" customFormat="false" ht="15" hidden="false" customHeight="false" outlineLevel="0" collapsed="false">
      <c r="A9" s="6" t="s">
        <v>103</v>
      </c>
      <c r="B9" s="18" t="n">
        <v>0.07</v>
      </c>
      <c r="C9" s="6" t="s">
        <v>102</v>
      </c>
    </row>
  </sheetData>
  <mergeCells count="3">
    <mergeCell ref="A1:F2"/>
    <mergeCell ref="A3:F3"/>
    <mergeCell ref="A5:C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8"/>
    <col collapsed="false" customWidth="true" hidden="false" outlineLevel="0" max="3" min="3" style="1" width="30"/>
    <col collapsed="false" customWidth="true" hidden="false" outlineLevel="0" max="4" min="4" style="1" width="52"/>
    <col collapsed="false" customWidth="true" hidden="false" outlineLevel="0" max="6" min="5" style="1" width="14"/>
  </cols>
  <sheetData>
    <row r="1" customFormat="false" ht="28" hidden="false" customHeight="true" outlineLevel="0" collapsed="false">
      <c r="A1" s="2" t="s">
        <v>104</v>
      </c>
      <c r="B1" s="2" t="s">
        <v>104</v>
      </c>
      <c r="C1" s="2" t="s">
        <v>104</v>
      </c>
      <c r="D1" s="2" t="s">
        <v>104</v>
      </c>
      <c r="E1" s="2" t="s">
        <v>104</v>
      </c>
      <c r="F1" s="2" t="s">
        <v>104</v>
      </c>
    </row>
    <row r="2" customFormat="false" ht="28" hidden="false" customHeight="true" outlineLevel="0" collapsed="false">
      <c r="A2" s="2" t="s">
        <v>104</v>
      </c>
      <c r="B2" s="2" t="s">
        <v>104</v>
      </c>
      <c r="C2" s="2" t="s">
        <v>104</v>
      </c>
      <c r="D2" s="2" t="s">
        <v>104</v>
      </c>
      <c r="E2" s="2" t="s">
        <v>104</v>
      </c>
      <c r="F2" s="2" t="s">
        <v>104</v>
      </c>
    </row>
    <row r="3" customFormat="false" ht="24" hidden="false" customHeight="true" outlineLevel="0" collapsed="false">
      <c r="A3" s="15" t="s">
        <v>105</v>
      </c>
      <c r="B3" s="15" t="s">
        <v>105</v>
      </c>
      <c r="C3" s="15" t="s">
        <v>105</v>
      </c>
      <c r="D3" s="15" t="s">
        <v>105</v>
      </c>
      <c r="E3" s="15" t="s">
        <v>105</v>
      </c>
      <c r="F3" s="15" t="s">
        <v>105</v>
      </c>
    </row>
    <row r="5" customFormat="false" ht="15" hidden="false" customHeight="false" outlineLevel="0" collapsed="false">
      <c r="A5" s="11" t="s">
        <v>106</v>
      </c>
      <c r="B5" s="11" t="s">
        <v>106</v>
      </c>
      <c r="C5" s="11" t="s">
        <v>106</v>
      </c>
      <c r="D5" s="11" t="s">
        <v>106</v>
      </c>
    </row>
    <row r="6" customFormat="false" ht="15" hidden="false" customHeight="false" outlineLevel="0" collapsed="false">
      <c r="A6" s="4" t="s">
        <v>107</v>
      </c>
      <c r="B6" s="4" t="s">
        <v>9</v>
      </c>
      <c r="C6" s="4" t="s">
        <v>108</v>
      </c>
      <c r="D6" s="4" t="s">
        <v>109</v>
      </c>
    </row>
    <row r="7" customFormat="false" ht="15" hidden="false" customHeight="false" outlineLevel="0" collapsed="false">
      <c r="A7" s="33" t="s">
        <v>110</v>
      </c>
      <c r="B7" s="34" t="n">
        <f aca="false">Assumptions!B7*1.075</f>
        <v>10750000</v>
      </c>
      <c r="C7" s="33" t="s">
        <v>111</v>
      </c>
      <c r="D7" s="33" t="s">
        <v>112</v>
      </c>
    </row>
    <row r="8" customFormat="false" ht="15" hidden="false" customHeight="false" outlineLevel="0" collapsed="false">
      <c r="A8" s="6" t="s">
        <v>65</v>
      </c>
      <c r="B8" s="35" t="n">
        <f aca="false">Assumptions!B8</f>
        <v>1800000</v>
      </c>
      <c r="C8" s="6" t="s">
        <v>113</v>
      </c>
      <c r="D8" s="6" t="s">
        <v>114</v>
      </c>
    </row>
    <row r="9" customFormat="false" ht="15" hidden="false" customHeight="false" outlineLevel="0" collapsed="false">
      <c r="A9" s="6" t="s">
        <v>67</v>
      </c>
      <c r="B9" s="35" t="n">
        <f aca="false">Assumptions!B9</f>
        <v>650000</v>
      </c>
      <c r="C9" s="6" t="s">
        <v>113</v>
      </c>
      <c r="D9" s="6" t="s">
        <v>114</v>
      </c>
    </row>
    <row r="10" customFormat="false" ht="15" hidden="false" customHeight="false" outlineLevel="0" collapsed="false">
      <c r="A10" s="36" t="s">
        <v>69</v>
      </c>
      <c r="B10" s="37" t="n">
        <f aca="false">Assumptions!B10</f>
        <v>125000</v>
      </c>
      <c r="C10" s="36" t="s">
        <v>115</v>
      </c>
      <c r="D10" s="36" t="s">
        <v>116</v>
      </c>
    </row>
    <row r="11" customFormat="false" ht="15" hidden="false" customHeight="false" outlineLevel="0" collapsed="false">
      <c r="A11" s="6" t="s">
        <v>117</v>
      </c>
      <c r="B11" s="35" t="n">
        <f aca="false">B8*Assumptions!B11</f>
        <v>90000</v>
      </c>
      <c r="C11" s="6" t="s">
        <v>113</v>
      </c>
      <c r="D11" s="6" t="s">
        <v>118</v>
      </c>
    </row>
    <row r="12" customFormat="false" ht="15" hidden="false" customHeight="false" outlineLevel="0" collapsed="false">
      <c r="A12" s="38" t="s">
        <v>119</v>
      </c>
      <c r="B12" s="39" t="n">
        <f aca="false">SUM(B8:B9,B11)</f>
        <v>2540000</v>
      </c>
      <c r="C12" s="38" t="s">
        <v>120</v>
      </c>
      <c r="D12" s="38" t="s">
        <v>121</v>
      </c>
    </row>
    <row r="13" customFormat="false" ht="15" hidden="false" customHeight="false" outlineLevel="0" collapsed="false">
      <c r="A13" s="38" t="s">
        <v>122</v>
      </c>
      <c r="B13" s="39" t="n">
        <f aca="false">VLOOKUP(Assumptions!B12,'Lookup Table'!A7:B9,Assumptions!B13,TRUE())*B12</f>
        <v>101600</v>
      </c>
      <c r="C13" s="38" t="s">
        <v>123</v>
      </c>
      <c r="D13" s="38" t="s">
        <v>124</v>
      </c>
    </row>
    <row r="14" customFormat="false" ht="30" hidden="false" customHeight="true" outlineLevel="0" collapsed="false">
      <c r="A14" s="40" t="s">
        <v>125</v>
      </c>
      <c r="B14" s="41" t="n">
        <f aca="false">SUM(B12:B13)</f>
        <v>2641600</v>
      </c>
      <c r="C14" s="42" t="s">
        <v>126</v>
      </c>
      <c r="D14" s="43" t="s">
        <v>127</v>
      </c>
    </row>
    <row r="18" customFormat="false" ht="15" hidden="false" customHeight="false" outlineLevel="0" collapsed="false">
      <c r="A18" s="8" t="s">
        <v>81</v>
      </c>
      <c r="B18" s="8" t="s">
        <v>81</v>
      </c>
      <c r="C18" s="8" t="s">
        <v>81</v>
      </c>
      <c r="D18" s="8" t="s">
        <v>81</v>
      </c>
      <c r="E18" s="8" t="s">
        <v>81</v>
      </c>
      <c r="F18" s="8" t="s">
        <v>81</v>
      </c>
    </row>
    <row r="19" customFormat="false" ht="24" hidden="false" customHeight="true" outlineLevel="0" collapsed="false">
      <c r="A19" s="20" t="s">
        <v>82</v>
      </c>
      <c r="B19" s="21" t="s">
        <v>83</v>
      </c>
      <c r="C19" s="21"/>
      <c r="D19" s="21"/>
      <c r="E19" s="21"/>
      <c r="F19" s="21"/>
    </row>
    <row r="20" customFormat="false" ht="24" hidden="false" customHeight="true" outlineLevel="0" collapsed="false">
      <c r="A20" s="22" t="s">
        <v>84</v>
      </c>
      <c r="B20" s="23" t="s">
        <v>85</v>
      </c>
      <c r="C20" s="23"/>
      <c r="D20" s="23"/>
      <c r="E20" s="23"/>
      <c r="F20" s="23"/>
    </row>
    <row r="21" customFormat="false" ht="24" hidden="false" customHeight="true" outlineLevel="0" collapsed="false">
      <c r="A21" s="24" t="s">
        <v>86</v>
      </c>
      <c r="B21" s="25" t="s">
        <v>87</v>
      </c>
      <c r="C21" s="25"/>
      <c r="D21" s="25"/>
      <c r="E21" s="25"/>
      <c r="F21" s="25"/>
    </row>
    <row r="22" customFormat="false" ht="24" hidden="false" customHeight="true" outlineLevel="0" collapsed="false">
      <c r="A22" s="22" t="s">
        <v>88</v>
      </c>
      <c r="B22" s="23" t="s">
        <v>89</v>
      </c>
      <c r="C22" s="23"/>
      <c r="D22" s="23"/>
      <c r="E22" s="23"/>
      <c r="F22" s="23"/>
    </row>
    <row r="23" customFormat="false" ht="24" hidden="false" customHeight="true" outlineLevel="0" collapsed="false">
      <c r="A23" s="26" t="s">
        <v>90</v>
      </c>
      <c r="B23" s="27" t="s">
        <v>91</v>
      </c>
      <c r="C23" s="27"/>
      <c r="D23" s="27"/>
      <c r="E23" s="27"/>
      <c r="F23" s="27"/>
    </row>
    <row r="24" customFormat="false" ht="24" hidden="false" customHeight="true" outlineLevel="0" collapsed="false">
      <c r="A24" s="28" t="s">
        <v>92</v>
      </c>
      <c r="B24" s="29" t="s">
        <v>93</v>
      </c>
      <c r="C24" s="29"/>
      <c r="D24" s="29"/>
      <c r="E24" s="29"/>
      <c r="F24" s="29"/>
    </row>
    <row r="25" customFormat="false" ht="24" hidden="false" customHeight="true" outlineLevel="0" collapsed="false">
      <c r="A25" s="30" t="s">
        <v>94</v>
      </c>
      <c r="B25" s="31" t="s">
        <v>95</v>
      </c>
      <c r="C25" s="31"/>
      <c r="D25" s="31"/>
      <c r="E25" s="31"/>
      <c r="F25" s="31"/>
    </row>
  </sheetData>
  <mergeCells count="11">
    <mergeCell ref="A1:F2"/>
    <mergeCell ref="A3:F3"/>
    <mergeCell ref="A5:D5"/>
    <mergeCell ref="A18:F18"/>
    <mergeCell ref="B19:F19"/>
    <mergeCell ref="B20:F20"/>
    <mergeCell ref="B21:F21"/>
    <mergeCell ref="B22:F22"/>
    <mergeCell ref="B23:F23"/>
    <mergeCell ref="B24:F24"/>
    <mergeCell ref="B25:F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28"/>
    <col collapsed="false" customWidth="true" hidden="false" outlineLevel="0" max="4" min="4" style="1" width="54"/>
    <col collapsed="false" customWidth="true" hidden="false" outlineLevel="0" max="6" min="5" style="1" width="14"/>
  </cols>
  <sheetData>
    <row r="1" customFormat="false" ht="28" hidden="false" customHeight="true" outlineLevel="0" collapsed="false">
      <c r="A1" s="2" t="s">
        <v>128</v>
      </c>
      <c r="B1" s="2" t="s">
        <v>128</v>
      </c>
      <c r="C1" s="2" t="n">
        <v>1</v>
      </c>
      <c r="D1" s="2" t="s">
        <v>128</v>
      </c>
      <c r="E1" s="2" t="s">
        <v>128</v>
      </c>
      <c r="F1" s="2" t="s">
        <v>128</v>
      </c>
    </row>
    <row r="2" customFormat="false" ht="28" hidden="false" customHeight="true" outlineLevel="0" collapsed="false">
      <c r="A2" s="2" t="s">
        <v>128</v>
      </c>
      <c r="B2" s="2" t="s">
        <v>128</v>
      </c>
      <c r="C2" s="2" t="n">
        <v>1</v>
      </c>
      <c r="D2" s="2" t="s">
        <v>128</v>
      </c>
      <c r="E2" s="2" t="s">
        <v>128</v>
      </c>
      <c r="F2" s="2" t="s">
        <v>128</v>
      </c>
    </row>
    <row r="3" customFormat="false" ht="24" hidden="false" customHeight="true" outlineLevel="0" collapsed="false">
      <c r="A3" s="15" t="s">
        <v>129</v>
      </c>
      <c r="B3" s="15" t="s">
        <v>129</v>
      </c>
      <c r="C3" s="15" t="n">
        <v>1</v>
      </c>
      <c r="D3" s="15" t="s">
        <v>129</v>
      </c>
      <c r="E3" s="15" t="s">
        <v>129</v>
      </c>
      <c r="F3" s="15" t="s">
        <v>129</v>
      </c>
    </row>
    <row r="4" customFormat="false" ht="15" hidden="false" customHeight="false" outlineLevel="0" collapsed="false">
      <c r="C4" s="1" t="n">
        <v>1</v>
      </c>
    </row>
    <row r="5" customFormat="false" ht="15" hidden="false" customHeight="false" outlineLevel="0" collapsed="false">
      <c r="A5" s="44" t="s">
        <v>130</v>
      </c>
      <c r="B5" s="44" t="s">
        <v>130</v>
      </c>
      <c r="C5" s="44" t="n">
        <v>1</v>
      </c>
      <c r="D5" s="44" t="s">
        <v>130</v>
      </c>
    </row>
    <row r="6" customFormat="false" ht="15" hidden="false" customHeight="false" outlineLevel="0" collapsed="false">
      <c r="A6" s="4" t="s">
        <v>131</v>
      </c>
      <c r="B6" s="4" t="s">
        <v>3</v>
      </c>
      <c r="C6" s="1" t="n">
        <f aca="false">SUM(C1:C2,C4:C5)</f>
        <v>4</v>
      </c>
      <c r="D6" s="4" t="s">
        <v>109</v>
      </c>
    </row>
    <row r="7" customFormat="false" ht="15" hidden="false" customHeight="false" outlineLevel="0" collapsed="false">
      <c r="A7" s="45" t="s">
        <v>132</v>
      </c>
      <c r="B7" s="46" t="e">
        <f aca="false">'Circular Control'!B8</f>
        <v>#VALUE!</v>
      </c>
      <c r="C7" s="45" t="s">
        <v>49</v>
      </c>
      <c r="D7" s="45" t="s">
        <v>133</v>
      </c>
    </row>
    <row r="8" customFormat="false" ht="15" hidden="false" customHeight="false" outlineLevel="0" collapsed="false">
      <c r="A8" s="36" t="s">
        <v>134</v>
      </c>
      <c r="B8" s="47" t="e">
        <f aca="false">'Circular Control'!B7</f>
        <v>#VALUE!</v>
      </c>
      <c r="C8" s="36" t="s">
        <v>49</v>
      </c>
      <c r="D8" s="36" t="s">
        <v>135</v>
      </c>
    </row>
  </sheetData>
  <mergeCells count="3">
    <mergeCell ref="A1:F2"/>
    <mergeCell ref="A3:F3"/>
    <mergeCell ref="A5:D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fr-BE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
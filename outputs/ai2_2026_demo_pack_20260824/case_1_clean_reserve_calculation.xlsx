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957650beb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Guide" sheetId="1" r:id="R0a8ac1c470f94e2a"/>
    <x:sheet xmlns:r="http://schemas.openxmlformats.org/officeDocument/2006/relationships" name="Assumptions" sheetId="2" r:id="R1155a7f1d5104825"/>
    <x:sheet xmlns:r="http://schemas.openxmlformats.org/officeDocument/2006/relationships" name="Reserve Calculation" sheetId="3" r:id="R0fb638561531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€#,##0;[Red](€#,##0);-"/>
    <x:numFmt numFmtId="202" formatCode="0.0%;[Red](0.0%);-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1"/>
      <x:color rgb="FF16324F"/>
      <x:name val="Carlito"/>
    </x:font>
    <x:font>
      <x:sz val="11"/>
      <x:color rgb="FF1F2937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7A8C"/>
      </x:patternFill>
    </x:fill>
    <x:fill>
      <x:patternFill patternType="solid">
        <x:fgColor rgb="FFE8F1F5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4CE"/>
      </x:patternFill>
    </x:fill>
    <x:fill>
      <x:patternFill patternType="solid">
        <x:fgColor rgb="FFFCE8E6"/>
      </x:patternFill>
    </x:fill>
  </x:fills>
  <x:borders count="21">
    <x:border/>
    <x:border>
      <x:left style="medium">
        <x:color rgb="FF16324F"/>
      </x:left>
      <x:top style="medium">
        <x:color rgb="FF16324F"/>
      </x:top>
    </x:border>
    <x:border>
      <x:top style="medium">
        <x:color rgb="FF16324F"/>
      </x:top>
    </x:border>
    <x:border>
      <x:right style="medium">
        <x:color rgb="FF16324F"/>
      </x:right>
      <x:top style="medium">
        <x:color rgb="FF16324F"/>
      </x:top>
    </x:border>
    <x:border>
      <x:left style="medium">
        <x:color rgb="FF16324F"/>
      </x:left>
      <x:bottom style="medium">
        <x:color rgb="FF16324F"/>
      </x:bottom>
    </x:border>
    <x:border>
      <x:bottom style="medium">
        <x:color rgb="FF16324F"/>
      </x:bottom>
    </x:border>
    <x:border>
      <x:right style="medium">
        <x:color rgb="FF16324F"/>
      </x:right>
      <x:bottom style="medium">
        <x:color rgb="FF16324F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1F7A8C"/>
      </x:left>
      <x:top style="thin">
        <x:color rgb="FF1F7A8C"/>
      </x:top>
      <x:bottom style="thin">
        <x:color rgb="FF1F7A8C"/>
      </x:bottom>
    </x:border>
    <x:border>
      <x:top style="thin">
        <x:color rgb="FF1F7A8C"/>
      </x:top>
      <x:bottom style="thin">
        <x:color rgb="FF1F7A8C"/>
      </x:bottom>
    </x:border>
    <x:border>
      <x:right style="thin">
        <x:color rgb="FF1F7A8C"/>
      </x:right>
      <x:top style="thin">
        <x:color rgb="FF1F7A8C"/>
      </x:top>
      <x:bottom style="thin">
        <x:color rgb="FF1F7A8C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medium">
        <x:color rgb="FF1F7A8C"/>
      </x:left>
      <x:top style="medium">
        <x:color rgb="FF1F7A8C"/>
      </x:top>
      <x:bottom style="medium">
        <x:color rgb="FF1F7A8C"/>
      </x:bottom>
    </x:border>
    <x:border>
      <x:top style="medium">
        <x:color rgb="FF1F7A8C"/>
      </x:top>
      <x:bottom style="medium">
        <x:color rgb="FF1F7A8C"/>
      </x:bottom>
    </x:border>
    <x:border>
      <x:right style="medium">
        <x:color rgb="FF1F7A8C"/>
      </x:right>
      <x:top style="medium">
        <x:color rgb="FF1F7A8C"/>
      </x:top>
      <x:bottom style="medium">
        <x:color rgb="FF1F7A8C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9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3" fillId="5" borderId="9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8" xfId="0" applyNumberFormat="1" applyFont="1" applyFill="1" applyBorder="1"/>
    <x:xf numFmtId="0" fontId="4" fillId="6" borderId="17" xfId="0" applyNumberFormat="1" applyFont="1" applyFill="1" applyBorder="1"/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/>
    </x:xf>
    <x:xf numFmtId="0" fontId="4" fillId="7" borderId="9" xfId="0" applyNumberFormat="1" applyFont="1" applyFill="1" applyBorder="1" applyAlignment="1">
      <x:alignment vertical="center"/>
    </x:xf>
    <x:xf numFmtId="0" fontId="5" fillId="7" borderId="8" xfId="0" applyNumberFormat="1" applyFont="1" applyFill="1" applyBorder="1" applyAlignment="1">
      <x:alignment vertical="center"/>
    </x:xf>
    <x:xf numFmtId="0" fontId="5" fillId="7" borderId="9" xfId="0" applyNumberFormat="1" applyFont="1" applyFill="1" applyBorder="1" applyAlignment="1">
      <x:alignment vertical="center"/>
    </x:xf>
    <x:xf numFmtId="201" fontId="5" fillId="7" borderId="8" xfId="0" applyNumberFormat="1" applyFont="1" applyFill="1" applyBorder="1" applyAlignment="1">
      <x:alignment vertical="center"/>
    </x:xf>
    <x:xf numFmtId="201" fontId="5" fillId="7" borderId="9" xfId="0" applyNumberFormat="1" applyFont="1" applyFill="1" applyBorder="1" applyAlignment="1">
      <x:alignment vertical="center"/>
    </x:xf>
    <x:xf numFmtId="202" fontId="5" fillId="7" borderId="9" xfId="0" applyNumberFormat="1" applyFont="1" applyFill="1" applyBorder="1" applyAlignment="1">
      <x:alignment vertical="center"/>
    </x:xf>
    <x:xf numFmtId="0" fontId="4" fillId="7" borderId="8" xfId="0" applyNumberFormat="1" applyFont="1" applyFill="1" applyBorder="1" applyAlignment="1">
      <x:alignment vertical="center" wrapText="1"/>
    </x:xf>
    <x:xf numFmtId="0" fontId="3" fillId="7" borderId="8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4" fillId="9" borderId="8" xfId="0" applyNumberFormat="1" applyFont="1" applyFill="1" applyBorder="1" applyAlignment="1">
      <x:alignment vertical="center"/>
    </x:xf>
    <x:xf numFmtId="0" fontId="4" fillId="9" borderId="8" xfId="0" applyNumberFormat="1" applyFont="1" applyFill="1" applyBorder="1" applyAlignment="1">
      <x:alignment vertical="center" wrapText="1"/>
    </x:xf>
    <x:xf numFmtId="0" fontId="3" fillId="9" borderId="8" xfId="0" applyNumberFormat="1" applyFont="1" applyFill="1" applyBorder="1" applyAlignment="1">
      <x:alignment vertical="center" wrapText="1"/>
    </x:xf>
    <x:xf numFmtId="0" fontId="4" fillId="10" borderId="8" xfId="0" applyNumberFormat="1" applyFont="1" applyFill="1" applyBorder="1" applyAlignment="1">
      <x:alignment vertical="center"/>
    </x:xf>
    <x:xf numFmtId="0" fontId="4" fillId="10" borderId="8" xfId="0" applyNumberFormat="1" applyFont="1" applyFill="1" applyBorder="1" applyAlignment="1">
      <x:alignment vertical="center" wrapText="1"/>
    </x:xf>
    <x:xf numFmtId="0" fontId="3" fillId="10" borderId="8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9" xfId="0" applyNumberFormat="1" applyFont="1" applyFill="1" applyBorder="1" applyAlignment="1">
      <x:alignment vertical="center"/>
    </x:xf>
    <x:xf numFmtId="201" fontId="4" fillId="5" borderId="9" xfId="0" applyNumberFormat="1" applyFont="1" applyFill="1" applyBorder="1" applyAlignment="1">
      <x:alignment vertical="center"/>
    </x:xf>
    <x:xf numFmtId="201" fontId="3" fillId="5" borderId="9" xfId="0" applyNumberFormat="1" applyFont="1" applyFill="1" applyBorder="1" applyAlignment="1">
      <x:alignment vertical="center"/>
    </x:xf>
    <x:xf numFmtId="0" fontId="3" fillId="5" borderId="18" xfId="0" applyNumberFormat="1" applyFont="1" applyFill="1" applyBorder="1" applyAlignment="1">
      <x:alignment vertical="center"/>
    </x:xf>
    <x:xf numFmtId="201" fontId="3" fillId="5" borderId="19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2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83f71ae864081" /><Relationship Type="http://schemas.openxmlformats.org/officeDocument/2006/relationships/theme" Target="/xl/theme/theme1.xml" Id="R6c5c6533b4a24e23" /><Relationship Type="http://schemas.openxmlformats.org/officeDocument/2006/relationships/sharedStrings" Target="/xl/sharedStrings.xml" Id="Rc117cc8b29654a7b" /><Relationship Type="http://schemas.openxmlformats.org/officeDocument/2006/relationships/worksheet" Target="/xl/worksheets/sheet1.xml" Id="R0a8ac1c470f94e2a" /><Relationship Type="http://schemas.openxmlformats.org/officeDocument/2006/relationships/worksheet" Target="/xl/worksheets/sheet2.xml" Id="R1155a7f1d5104825" /><Relationship Type="http://schemas.openxmlformats.org/officeDocument/2006/relationships/worksheet" Target="/xl/worksheets/sheet3.xml" Id="R0fb63856153142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27" hidden="0" customWidth="1"/>
    <x:col min="4" max="4" width="28" hidden="0" customWidth="1"/>
    <x:col min="5" max="5" width="27" hidden="0" customWidth="1"/>
    <x:col min="6" max="6" width="25" hidden="0" customWidth="1"/>
  </x:cols>
  <x:sheetData>
    <x:row r="1" ht="28" customHeight="1">
      <x:c r="A1" s="15" t="str">
        <x:v>Case 1 — Clean reserve calculation</x:v>
      </x:c>
      <x:c r="B1" s="16" t="str">
        <x:v>Case 1 — Clean reserve calculation</x:v>
      </x:c>
      <x:c r="C1" s="16" t="str">
        <x:v>Case 1 — Clean reserve calculation</x:v>
      </x:c>
      <x:c r="D1" s="16" t="str">
        <x:v>Case 1 — Clean reserve calculation</x:v>
      </x:c>
      <x:c r="E1" s="16" t="str">
        <x:v>Case 1 — Clean reserve calculation</x:v>
      </x:c>
      <x:c r="F1" s="17" t="str">
        <x:v>Case 1 — Clean reserve calculation</x:v>
      </x:c>
    </x:row>
    <x:row r="2" ht="28" customHeight="1">
      <x:c r="A2" s="18" t="str">
        <x:v>Case 1 — Clean reserve calculation</x:v>
      </x:c>
      <x:c r="B2" s="19" t="str">
        <x:v>Case 1 — Clean reserve calculation</x:v>
      </x:c>
      <x:c r="C2" s="19" t="str">
        <x:v>Case 1 — Clean reserve calculation</x:v>
      </x:c>
      <x:c r="D2" s="19" t="str">
        <x:v>Case 1 — Clean reserve calculation</x:v>
      </x:c>
      <x:c r="E2" s="19" t="str">
        <x:v>Case 1 — Clean reserve calculation</x:v>
      </x:c>
      <x:c r="F2" s="20" t="str">
        <x:v>Case 1 — Clean reserve calculation</x:v>
      </x:c>
    </x:row>
    <x:row r="3" ht="24" customHeight="1">
      <x:c r="A3" s="24" t="str">
        <x:v>Successful end-to-end path with complete reconstruction and matching accounts input</x:v>
      </x:c>
      <x:c r="B3" s="24" t="str">
        <x:v>Successful end-to-end path with complete reconstruction and matching accounts input</x:v>
      </x:c>
      <x:c r="C3" s="24" t="str">
        <x:v>Successful end-to-end path with complete reconstruction and matching accounts input</x:v>
      </x:c>
      <x:c r="D3" s="24" t="str">
        <x:v>Successful end-to-end path with complete reconstruction and matching accounts input</x:v>
      </x:c>
      <x:c r="E3" s="24" t="str">
        <x:v>Successful end-to-end path with complete reconstruction and matching accounts input</x:v>
      </x:c>
      <x:c r="F3" s="24" t="str">
        <x:v>Successful end-to-end path with complete reconstruction and matching accounts input</x:v>
      </x:c>
    </x:row>
    <x:row r="5">
      <x:c r="A5" s="29" t="str">
        <x:v>Workbook context</x:v>
      </x:c>
      <x:c r="B5" s="29" t="str">
        <x:v>Value</x:v>
      </x:c>
    </x:row>
    <x:row r="6">
      <x:c r="A6" s="33" t="str">
        <x:v>Entity</x:v>
      </x:c>
      <x:c r="B6" s="33" t="str">
        <x:v>Aurora Life SA</x:v>
      </x:c>
    </x:row>
    <x:row r="7">
      <x:c r="A7" s="34" t="str">
        <x:v>Period</x:v>
      </x:c>
      <x:c r="B7" s="34" t="str">
        <x:v>2025-Q4</x:v>
      </x:c>
    </x:row>
    <x:row r="8">
      <x:c r="A8" s="34" t="str">
        <x:v>Currency</x:v>
      </x:c>
      <x:c r="B8" s="34" t="str">
        <x:v>EUR</x:v>
      </x:c>
    </x:row>
    <x:row r="9">
      <x:c r="A9" s="34" t="str">
        <x:v>Basis</x:v>
      </x:c>
      <x:c r="B9" s="34" t="str">
        <x:v>IFRS 17 — synthetic demonstration</x:v>
      </x:c>
    </x:row>
    <x:row r="10" ht="28" customHeight="1">
      <x:c r="A10" s="34" t="str">
        <x:v>Designated output(s)</x:v>
      </x:c>
      <x:c r="B10" s="39" t="str">
        <x:v>Reserve Calculation!B12</x:v>
      </x:c>
      <x:c r="C10" s="40"/>
      <x:c r="D10" s="40"/>
      <x:c r="E10" s="40"/>
      <x:c r="F10" s="40"/>
    </x:row>
    <x:row r="12">
      <x:c r="A12" s="42" t="str">
        <x:v>Demonstration instructions</x:v>
      </x:c>
      <x:c r="B12" s="43" t="str">
        <x:v>Demonstration instructions</x:v>
      </x:c>
      <x:c r="C12" s="43" t="str">
        <x:v>Demonstration instructions</x:v>
      </x:c>
      <x:c r="D12" s="43" t="str">
        <x:v>Demonstration instructions</x:v>
      </x:c>
      <x:c r="E12" s="43" t="str">
        <x:v>Demonstration instructions</x:v>
      </x:c>
      <x:c r="F12" s="44" t="str">
        <x:v>Demonstration instructions</x:v>
      </x:c>
    </x:row>
    <x:row r="13" ht="32" customHeight="1">
      <x:c r="A13" s="45" t="str">
        <x:v>1</x:v>
      </x:c>
      <x:c r="B13" s="45" t="str">
        <x:v>Upload this workbook</x:v>
      </x:c>
      <x:c r="C13" s="45" t="str">
        <x:v>Use the context above</x:v>
      </x:c>
      <x:c r="D13" s="45" t="str">
        <x:v>Include reference CSV</x:v>
      </x:c>
      <x:c r="E13" s="45" t="str">
        <x:v>case_1_reference_figures.csv</x:v>
      </x:c>
      <x:c r="F13" s="45" t="str">
        <x:v>Confirm Gate 1</x:v>
      </x:c>
    </x:row>
    <x:row r="14" ht="32" customHeight="1">
      <x:c r="A14" s="46" t="str">
        <x:v>2</x:v>
      </x:c>
      <x:c r="B14" s="46" t="str">
        <x:v>Gate 2</x:v>
      </x:c>
      <x:c r="C14" s="46" t="str">
        <x:v>Expected findings: none</x:v>
      </x:c>
      <x:c r="D14" s="46" t="str">
        <x:v>Designate output</x:v>
      </x:c>
      <x:c r="E14" s="46" t="str">
        <x:v>Reserve Calculation!B12</x:v>
      </x:c>
      <x:c r="F14" s="46" t="str">
        <x:v>Proceed</x:v>
      </x:c>
    </x:row>
    <x:row r="15" ht="32" customHeight="1">
      <x:c r="A15" s="46" t="str">
        <x:v>3</x:v>
      </x:c>
      <x:c r="B15" s="46" t="str">
        <x:v>Gate 3</x:v>
      </x:c>
      <x:c r="C15" s="46" t="str">
        <x:v>Approve the proposed mapping</x:v>
      </x:c>
      <x:c r="D15" s="46" t="str">
        <x:v>Set human thresholds</x:v>
      </x:c>
      <x:c r="E15" s="46" t="str">
        <x:v>Internal and external should pass</x:v>
      </x:c>
      <x:c r="F15" s="46" t="str">
        <x:v>Proceed</x:v>
      </x:c>
    </x:row>
    <x:row r="16" ht="32" customHeight="1">
      <x:c r="A16" s="46" t="str">
        <x:v>4</x:v>
      </x:c>
      <x:c r="B16" s="46" t="str">
        <x:v>Gate 4</x:v>
      </x:c>
      <x:c r="C16" s="46" t="str">
        <x:v>Enter an authorized name</x:v>
      </x:c>
      <x:c r="D16" s="46" t="str">
        <x:v>Create named approval record</x:v>
      </x:c>
      <x:c r="E16" s="46" t="str">
        <x:v>Generate PDF</x:v>
      </x:c>
      <x:c r="F16" s="46" t="str">
        <x:v>Verify audit chain</x:v>
      </x:c>
    </x:row>
    <x:row r="18">
      <x:c r="A18" s="42" t="str">
        <x:v>Expected outcome</x:v>
      </x:c>
      <x:c r="B18" s="43" t="str">
        <x:v>Expected outcome</x:v>
      </x:c>
      <x:c r="C18" s="43" t="str">
        <x:v>Expected outcome</x:v>
      </x:c>
      <x:c r="D18" s="43" t="str">
        <x:v>Expected outcome</x:v>
      </x:c>
      <x:c r="E18" s="43" t="str">
        <x:v>Expected outcome</x:v>
      </x:c>
      <x:c r="F18" s="44" t="str">
        <x:v>Expected outcome</x:v>
      </x:c>
    </x:row>
    <x:row r="19" ht="34" customHeight="1">
      <x:c r="A19" s="47" t="str">
        <x:v>Internal reconstruction</x:v>
      </x:c>
      <x:c r="B19" s="47" t="str">
        <x:v>Complete</x:v>
      </x:c>
      <x:c r="C19" s="47" t="str">
        <x:v>Expected value</x:v>
      </x:c>
      <x:c r="D19" s="47" t="n">
        <x:v>2797600</x:v>
      </x:c>
      <x:c r="E19" s="47" t="str">
        <x:v>Expected verdict</x:v>
      </x:c>
      <x:c r="F19" s="47" t="str">
        <x:v>pass</x:v>
      </x:c>
    </x:row>
    <x:row r="20" ht="34" customHeight="1">
      <x:c r="A20" s="48" t="str">
        <x:v>Accounts reconciliation</x:v>
      </x:c>
      <x:c r="B20" s="48" t="str">
        <x:v>Performed</x:v>
      </x:c>
      <x:c r="C20" s="48" t="str">
        <x:v>Reference value</x:v>
      </x:c>
      <x:c r="D20" s="48" t="n">
        <x:v>2797600</x:v>
      </x:c>
      <x:c r="E20" s="48" t="str">
        <x:v>Expected verdict</x:v>
      </x:c>
      <x:c r="F20" s="48" t="str">
        <x:v>pass after mapping approval</x:v>
      </x:c>
    </x:row>
    <x:row r="21" ht="34" customHeight="1">
      <x:c r="A21" s="48" t="str">
        <x:v>Blocking findings</x:v>
      </x:c>
      <x:c r="B21" s="48" t="n">
        <x:v>0</x:v>
      </x:c>
      <x:c r="C21" s="48" t="str">
        <x:v>Unsupported output elements</x:v>
      </x:c>
      <x:c r="D21" s="48" t="n">
        <x:v>0</x:v>
      </x:c>
      <x:c r="E21" s="48" t="str">
        <x:v>PDF</x:v>
      </x:c>
      <x:c r="F21" s="48" t="str">
        <x:v>available only after Gate 4</x:v>
      </x:c>
    </x:row>
    <x:row r="22" ht="34" customHeight="1">
      <x:c r="A22" s="48" t="str">
        <x:v>Manual spot-check</x:v>
      </x:c>
      <x:c r="B22" s="48" t="str">
        <x:v>2,440,000 + 250,000 + 107,600</x:v>
      </x:c>
      <x:c r="C22" s="48" t="str">
        <x:v>Expected total</x:v>
      </x:c>
      <x:c r="D22" s="48" t="n">
        <x:v>2797600</x:v>
      </x:c>
      <x:c r="E22" s="48" t="str">
        <x:v>Delta</x:v>
      </x:c>
      <x:c r="F22" s="48" t="n">
        <x:v>0</x:v>
      </x:c>
    </x:row>
    <x:row r="24">
      <x:c r="A24" s="63" t="str">
        <x:v>Synthetic demonstration data only. It is not derived from a policyholder, insurer, ledger, actuarial model, or production workbook.</x:v>
      </x:c>
      <x:c r="B24" s="64" t="str">
        <x:v>Synthetic demonstration data only. It is not derived from a policyholder, insurer, ledger, actuarial model, or production workbook.</x:v>
      </x:c>
      <x:c r="C24" s="64" t="str">
        <x:v>Synthetic demonstration data only. It is not derived from a policyholder, insurer, ledger, actuarial model, or production workbook.</x:v>
      </x:c>
      <x:c r="D24" s="64" t="str">
        <x:v>Synthetic demonstration data only. It is not derived from a policyholder, insurer, ledger, actuarial model, or production workbook.</x:v>
      </x:c>
      <x:c r="E24" s="64" t="str">
        <x:v>Synthetic demonstration data only. It is not derived from a policyholder, insurer, ledger, actuarial model, or production workbook.</x:v>
      </x:c>
      <x:c r="F24" s="65" t="str">
        <x:v>Synthetic demonstration data only. It is not derived from a policyholder, insurer, ledger, actuarial model, or production workbook.</x:v>
      </x:c>
    </x:row>
    <x:row r="25">
      <x:c r="A25" s="66" t="str">
        <x:v>Synthetic demonstration data only. It is not derived from a policyholder, insurer, ledger, actuarial model, or production workbook.</x:v>
      </x:c>
      <x:c r="B25" s="67" t="str">
        <x:v>Synthetic demonstration data only. It is not derived from a policyholder, insurer, ledger, actuarial model, or production workbook.</x:v>
      </x:c>
      <x:c r="C25" s="67" t="str">
        <x:v>Synthetic demonstration data only. It is not derived from a policyholder, insurer, ledger, actuarial model, or production workbook.</x:v>
      </x:c>
      <x:c r="D25" s="67" t="str">
        <x:v>Synthetic demonstration data only. It is not derived from a policyholder, insurer, ledger, actuarial model, or production workbook.</x:v>
      </x:c>
      <x:c r="E25" s="67" t="str">
        <x:v>Synthetic demonstration data only. It is not derived from a policyholder, insurer, ledger, actuarial model, or production workbook.</x:v>
      </x:c>
      <x:c r="F25" s="68" t="str">
        <x:v>Synthetic demonstration data only. It is not derived from a policyholder, insurer, ledger, actuarial model, or production workbook.</x:v>
      </x:c>
    </x:row>
  </x:sheetData>
  <x:mergeCells>
    <x:mergeCell ref="A1:F2"/>
    <x:mergeCell ref="A3:F3"/>
    <x:mergeCell ref="B10:F10"/>
    <x:mergeCell ref="A12:F12"/>
    <x:mergeCell ref="A18:F18"/>
    <x:mergeCell ref="A24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46" hidden="0" customWidth="1"/>
    <x:col min="5" max="5" width="14" hidden="0" customWidth="1"/>
    <x:col min="6" max="6" width="14" hidden="0" customWidth="1"/>
  </x:cols>
  <x:sheetData>
    <x:row r="1" ht="28" customHeight="1">
      <x:c r="A1" s="15" t="str">
        <x:v>Case 1 — Assumptions</x:v>
      </x:c>
      <x:c r="B1" s="16" t="str">
        <x:v>Case 1 — Assumptions</x:v>
      </x:c>
      <x:c r="C1" s="16" t="str">
        <x:v>Case 1 — Assumptions</x:v>
      </x:c>
      <x:c r="D1" s="16" t="str">
        <x:v>Case 1 — Assumptions</x:v>
      </x:c>
      <x:c r="E1" s="16" t="str">
        <x:v>Case 1 — Assumptions</x:v>
      </x:c>
      <x:c r="F1" s="17" t="str">
        <x:v>Case 1 — Assumptions</x:v>
      </x:c>
    </x:row>
    <x:row r="2" ht="28" customHeight="1">
      <x:c r="A2" s="18" t="str">
        <x:v>Case 1 — Assumptions</x:v>
      </x:c>
      <x:c r="B2" s="19" t="str">
        <x:v>Case 1 — Assumptions</x:v>
      </x:c>
      <x:c r="C2" s="19" t="str">
        <x:v>Case 1 — Assumptions</x:v>
      </x:c>
      <x:c r="D2" s="19" t="str">
        <x:v>Case 1 — Assumptions</x:v>
      </x:c>
      <x:c r="E2" s="19" t="str">
        <x:v>Case 1 — Assumptions</x:v>
      </x:c>
      <x:c r="F2" s="20" t="str">
        <x:v>Case 1 — Assumptions</x:v>
      </x:c>
    </x:row>
    <x:row r="3" ht="24" customHeight="1">
      <x:c r="A3" s="24" t="str">
        <x:v>All editable inputs are synthetic and clearly separated from calculations.</x:v>
      </x:c>
      <x:c r="B3" s="24" t="str">
        <x:v>All editable inputs are synthetic and clearly separated from calculations.</x:v>
      </x:c>
      <x:c r="C3" s="24" t="str">
        <x:v>All editable inputs are synthetic and clearly separated from calculations.</x:v>
      </x:c>
      <x:c r="D3" s="24" t="str">
        <x:v>All editable inputs are synthetic and clearly separated from calculations.</x:v>
      </x:c>
      <x:c r="E3" s="24" t="str">
        <x:v>All editable inputs are synthetic and clearly separated from calculations.</x:v>
      </x:c>
      <x:c r="F3" s="24" t="str">
        <x:v>All editable inputs are synthetic and clearly separated from calculations.</x:v>
      </x:c>
    </x:row>
    <x:row r="5">
      <x:c r="A5" s="42" t="str">
        <x:v>Synthetic input assumptions</x:v>
      </x:c>
      <x:c r="B5" s="43" t="str">
        <x:v>Synthetic input assumptions</x:v>
      </x:c>
      <x:c r="C5" s="43" t="str">
        <x:v>Synthetic input assumptions</x:v>
      </x:c>
      <x:c r="D5" s="44" t="str">
        <x:v>Synthetic input assumptions</x:v>
      </x:c>
    </x:row>
    <x:row r="6">
      <x:c r="A6" s="29" t="str">
        <x:v>Assumption</x:v>
      </x:c>
      <x:c r="B6" s="29" t="str">
        <x:v>Value</x:v>
      </x:c>
      <x:c r="C6" s="29" t="str">
        <x:v>Units</x:v>
      </x:c>
      <x:c r="D6" s="29" t="str">
        <x:v>Source / rationale</x:v>
      </x:c>
    </x:row>
    <x:row r="7">
      <x:c r="A7" s="33" t="str">
        <x:v>Earned premium</x:v>
      </x:c>
      <x:c r="B7" s="73" t="n">
        <x:v>12000000</x:v>
      </x:c>
      <x:c r="C7" s="33" t="str">
        <x:v>EUR</x:v>
      </x:c>
      <x:c r="D7" s="33" t="str">
        <x:v>Synthetic premium base</x:v>
      </x:c>
    </x:row>
    <x:row r="8">
      <x:c r="A8" s="34" t="str">
        <x:v>Expected loss ratio</x:v>
      </x:c>
      <x:c r="B8" s="75" t="n">
        <x:v>0.62</x:v>
      </x:c>
      <x:c r="C8" s="34" t="str">
        <x:v>%</x:v>
      </x:c>
      <x:c r="D8" s="34" t="str">
        <x:v>Synthetic actuarial assumption</x:v>
      </x:c>
    </x:row>
    <x:row r="9">
      <x:c r="A9" s="34" t="str">
        <x:v>Claims paid to date</x:v>
      </x:c>
      <x:c r="B9" s="74" t="n">
        <x:v>5000000</x:v>
      </x:c>
      <x:c r="C9" s="34" t="str">
        <x:v>EUR</x:v>
      </x:c>
      <x:c r="D9" s="34" t="str">
        <x:v>Synthetic claims ledger</x:v>
      </x:c>
    </x:row>
    <x:row r="10">
      <x:c r="A10" s="34" t="str">
        <x:v>Expense reserve</x:v>
      </x:c>
      <x:c r="B10" s="74" t="n">
        <x:v>250000</x:v>
      </x:c>
      <x:c r="C10" s="34" t="str">
        <x:v>EUR</x:v>
      </x:c>
      <x:c r="D10" s="34" t="str">
        <x:v>Synthetic expense estimate</x:v>
      </x:c>
    </x:row>
    <x:row r="11">
      <x:c r="A11" s="34" t="str">
        <x:v>Risk margin rate</x:v>
      </x:c>
      <x:c r="B11" s="75" t="n">
        <x:v>0.04</x:v>
      </x:c>
      <x:c r="C11" s="34" t="str">
        <x:v>%</x:v>
      </x:c>
      <x:c r="D11" s="34" t="str">
        <x:v>Synthetic risk margin assumption</x:v>
      </x:c>
    </x:row>
    <x:row r="18">
      <x:c r="A18" s="42" t="str">
        <x:v>Cell colour legend</x:v>
      </x:c>
      <x:c r="B18" s="43" t="str">
        <x:v>Cell colour legend</x:v>
      </x:c>
      <x:c r="C18" s="43" t="str">
        <x:v>Cell colour legend</x:v>
      </x:c>
      <x:c r="D18" s="43" t="str">
        <x:v>Cell colour legend</x:v>
      </x:c>
      <x:c r="E18" s="43" t="str">
        <x:v>Cell colour legend</x:v>
      </x:c>
      <x:c r="F18" s="44" t="str">
        <x:v>Cell colour legend</x:v>
      </x:c>
    </x:row>
    <x:row r="19" ht="24" customHeight="1">
      <x:c r="A19" s="77" t="str">
        <x:v>Input</x:v>
      </x:c>
      <x:c r="B19" s="76" t="str">
        <x:v>Blue text with pale yellow fill — editable synthetic assumption</x:v>
      </x:c>
      <x:c r="C19" s="76"/>
      <x:c r="D19" s="76"/>
      <x:c r="E19" s="76"/>
      <x:c r="F19" s="76"/>
    </x:row>
    <x:row r="20" ht="24" customHeight="1">
      <x:c r="A20" s="80" t="str">
        <x:v>Cross-sheet formula</x:v>
      </x:c>
      <x:c r="B20" s="79" t="str">
        <x:v>Green text — formula linked to another worksheet</x:v>
      </x:c>
      <x:c r="C20" s="79"/>
      <x:c r="D20" s="79"/>
      <x:c r="E20" s="79"/>
      <x:c r="F20" s="79"/>
    </x:row>
    <x:row r="21" ht="24" customHeight="1">
      <x:c r="A21" s="83" t="str">
        <x:v>Within-sheet formula</x:v>
      </x:c>
      <x:c r="B21" s="82" t="str">
        <x:v>Black text — formula calculated within the worksheet</x:v>
      </x:c>
      <x:c r="C21" s="82"/>
      <x:c r="D21" s="82"/>
      <x:c r="E21" s="82"/>
      <x:c r="F21" s="82"/>
    </x:row>
    <x:row r="22" ht="24" customHeight="1">
      <x:c r="A22" s="80" t="str">
        <x:v>Designated output</x:v>
      </x:c>
      <x:c r="B22" s="79" t="str">
        <x:v>Pale green fill — cell selected for reconstruction and reconciliation</x:v>
      </x:c>
      <x:c r="C22" s="79"/>
      <x:c r="D22" s="79"/>
      <x:c r="E22" s="79"/>
      <x:c r="F22" s="79"/>
    </x:row>
    <x:row r="23" ht="24" customHeight="1">
      <x:c r="A23" s="86" t="str">
        <x:v>Expected warning</x:v>
      </x:c>
      <x:c r="B23" s="85" t="str">
        <x:v>Amber fill — condition requiring a human review decision</x:v>
      </x:c>
      <x:c r="C23" s="85"/>
      <x:c r="D23" s="85"/>
      <x:c r="E23" s="85"/>
      <x:c r="F23" s="85"/>
    </x:row>
    <x:row r="24" ht="24" customHeight="1">
      <x:c r="A24" s="89" t="str">
        <x:v>Expected blocker</x:v>
      </x:c>
      <x:c r="B24" s="88" t="str">
        <x:v>Pale red fill — intentional defect that prevents silent progress</x:v>
      </x:c>
      <x:c r="C24" s="88"/>
      <x:c r="D24" s="88"/>
      <x:c r="E24" s="88"/>
      <x:c r="F24" s="88"/>
    </x:row>
    <x:row r="25" ht="24" customHeight="1">
      <x:c r="A25" s="91" t="str">
        <x:v>Model context</x:v>
      </x:c>
      <x:c r="B25" s="67" t="str">
        <x:v>Amounts are EUR unless the case guide says otherwise; period is 2025-Q4</x:v>
      </x:c>
      <x:c r="C25" s="67"/>
      <x:c r="D25" s="67"/>
      <x:c r="E25" s="67"/>
      <x:c r="F25" s="67"/>
    </x:row>
  </x:sheetData>
  <x:mergeCells>
    <x:mergeCell ref="A1:F2"/>
    <x:mergeCell ref="A3:F3"/>
    <x:mergeCell ref="A5:D5"/>
    <x:mergeCell ref="A18:F18"/>
    <x:mergeCell ref="B19:F19"/>
    <x:mergeCell ref="B20:F20"/>
    <x:mergeCell ref="B21:F21"/>
    <x:mergeCell ref="B22:F22"/>
    <x:mergeCell ref="B23:F23"/>
    <x:mergeCell ref="B24:F24"/>
    <x:mergeCell ref="B25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8" hidden="0" customWidth="1"/>
    <x:col min="5" max="5" width="14" hidden="0" customWidth="1"/>
    <x:col min="6" max="6" width="14" hidden="0" customWidth="1"/>
  </x:cols>
  <x:sheetData>
    <x:row r="1" ht="28" customHeight="1">
      <x:c r="A1" s="15" t="str">
        <x:v>Case 1 — Reserve calculation</x:v>
      </x:c>
      <x:c r="B1" s="16" t="str">
        <x:v>Case 1 — Reserve calculation</x:v>
      </x:c>
      <x:c r="C1" s="16" t="str">
        <x:v>Case 1 — Reserve calculation</x:v>
      </x:c>
      <x:c r="D1" s="16" t="str">
        <x:v>Case 1 — Reserve calculation</x:v>
      </x:c>
      <x:c r="E1" s="16" t="str">
        <x:v>Case 1 — Reserve calculation</x:v>
      </x:c>
      <x:c r="F1" s="17" t="str">
        <x:v>Case 1 — Reserve calculation</x:v>
      </x:c>
    </x:row>
    <x:row r="2" ht="28" customHeight="1">
      <x:c r="A2" s="18" t="str">
        <x:v>Case 1 — Reserve calculation</x:v>
      </x:c>
      <x:c r="B2" s="19" t="str">
        <x:v>Case 1 — Reserve calculation</x:v>
      </x:c>
      <x:c r="C2" s="19" t="str">
        <x:v>Case 1 — Reserve calculation</x:v>
      </x:c>
      <x:c r="D2" s="19" t="str">
        <x:v>Case 1 — Reserve calculation</x:v>
      </x:c>
      <x:c r="E2" s="19" t="str">
        <x:v>Case 1 — Reserve calculation</x:v>
      </x:c>
      <x:c r="F2" s="20" t="str">
        <x:v>Case 1 — Reserve calculation</x:v>
      </x:c>
    </x:row>
    <x:row r="3" ht="24" customHeight="1">
      <x:c r="A3" s="24" t="str">
        <x:v>Supported catalogue only: direct references, +, −, × and SUM</x:v>
      </x:c>
      <x:c r="B3" s="24" t="str">
        <x:v>Supported catalogue only: direct references, +, −, × and SUM</x:v>
      </x:c>
      <x:c r="C3" s="24" t="str">
        <x:v>Supported catalogue only: direct references, +, −, × and SUM</x:v>
      </x:c>
      <x:c r="D3" s="24" t="str">
        <x:v>Supported catalogue only: direct references, +, −, × and SUM</x:v>
      </x:c>
      <x:c r="E3" s="24" t="str">
        <x:v>Supported catalogue only: direct references, +, −, × and SUM</x:v>
      </x:c>
      <x:c r="F3" s="24" t="str">
        <x:v>Supported catalogue only: direct references, +, −, × and SUM</x:v>
      </x:c>
    </x:row>
    <x:row r="5">
      <x:c r="A5" s="42" t="str">
        <x:v>Technical provisions calculation</x:v>
      </x:c>
      <x:c r="B5" s="43" t="str">
        <x:v>Technical provisions calculation</x:v>
      </x:c>
      <x:c r="C5" s="43" t="str">
        <x:v>Technical provisions calculation</x:v>
      </x:c>
      <x:c r="D5" s="44" t="str">
        <x:v>Technical provisions calculation</x:v>
      </x:c>
    </x:row>
    <x:row r="6">
      <x:c r="A6" s="29" t="str">
        <x:v>Calculation line</x:v>
      </x:c>
      <x:c r="B6" s="29" t="str">
        <x:v>EUR</x:v>
      </x:c>
      <x:c r="C6" s="29" t="str">
        <x:v>Formula role</x:v>
      </x:c>
      <x:c r="D6" s="29" t="str">
        <x:v>Review note</x:v>
      </x:c>
    </x:row>
    <x:row r="7">
      <x:c r="A7" s="33" t="str">
        <x:v>Gross ultimate claims</x:v>
      </x:c>
      <x:c r="B7" s="94" t="n">
        <x:f>'Assumptions'!B7*'Assumptions'!B8</x:f>
        <x:v>7440000</x:v>
      </x:c>
      <x:c r="C7" s="33" t="str">
        <x:v>Cross-sheet formula</x:v>
      </x:c>
      <x:c r="D7" s="33" t="str">
        <x:v>Earned premium × expected loss ratio</x:v>
      </x:c>
    </x:row>
    <x:row r="8">
      <x:c r="A8" s="34" t="str">
        <x:v>Outstanding claims</x:v>
      </x:c>
      <x:c r="B8" s="93" t="n">
        <x:f>B7-'Assumptions'!B9</x:f>
        <x:v>2440000</x:v>
      </x:c>
      <x:c r="C8" s="34" t="str">
        <x:v>Within-sheet formula</x:v>
      </x:c>
      <x:c r="D8" s="34" t="str">
        <x:v>Ultimate claims less claims paid</x:v>
      </x:c>
    </x:row>
    <x:row r="9">
      <x:c r="A9" s="34" t="str">
        <x:v>Expense reserve</x:v>
      </x:c>
      <x:c r="B9" s="95" t="n">
        <x:f>'Assumptions'!B10</x:f>
        <x:v>250000</x:v>
      </x:c>
      <x:c r="C9" s="34" t="str">
        <x:v>Cross-sheet formula</x:v>
      </x:c>
      <x:c r="D9" s="34" t="str">
        <x:v>Linked directly from assumptions</x:v>
      </x:c>
    </x:row>
    <x:row r="10">
      <x:c r="A10" s="34" t="str">
        <x:v>Base technical provisions</x:v>
      </x:c>
      <x:c r="B10" s="93" t="n">
        <x:f>SUM(B8:B9)</x:f>
        <x:v>2690000</x:v>
      </x:c>
      <x:c r="C10" s="34" t="str">
        <x:v>Within-sheet SUM</x:v>
      </x:c>
      <x:c r="D10" s="34" t="str">
        <x:v>Outstanding claims plus expense reserve</x:v>
      </x:c>
    </x:row>
    <x:row r="11">
      <x:c r="A11" s="34" t="str">
        <x:v>Risk margin</x:v>
      </x:c>
      <x:c r="B11" s="95" t="n">
        <x:f>B10*'Assumptions'!B11</x:f>
        <x:v>107600</x:v>
      </x:c>
      <x:c r="C11" s="34" t="str">
        <x:v>Mixed formula</x:v>
      </x:c>
      <x:c r="D11" s="34" t="str">
        <x:v>Base technical provisions × risk margin rate</x:v>
      </x:c>
    </x:row>
    <x:row r="12">
      <x:c r="A12" s="98" t="str">
        <x:v>Total technical provisions</x:v>
      </x:c>
      <x:c r="B12" s="99" t="n">
        <x:f>SUM(B10:B11)</x:f>
        <x:v>2797600</x:v>
      </x:c>
      <x:c r="C12" s="100" t="str">
        <x:v>Designated output</x:v>
      </x:c>
      <x:c r="D12" s="101" t="str">
        <x:v>Expected value: EUR 2,797,600</x:v>
      </x:c>
    </x:row>
    <x:row r="16">
      <x:c r="A16" s="42" t="str">
        <x:v>Cell colour legend</x:v>
      </x:c>
      <x:c r="B16" s="43" t="str">
        <x:v>Cell colour legend</x:v>
      </x:c>
      <x:c r="C16" s="43" t="str">
        <x:v>Cell colour legend</x:v>
      </x:c>
      <x:c r="D16" s="43" t="str">
        <x:v>Cell colour legend</x:v>
      </x:c>
      <x:c r="E16" s="43" t="str">
        <x:v>Cell colour legend</x:v>
      </x:c>
      <x:c r="F16" s="44" t="str">
        <x:v>Cell colour legend</x:v>
      </x:c>
    </x:row>
    <x:row r="17" ht="24" customHeight="1">
      <x:c r="A17" s="77" t="str">
        <x:v>Input</x:v>
      </x:c>
      <x:c r="B17" s="76" t="str">
        <x:v>Blue text with pale yellow fill — editable synthetic assumption</x:v>
      </x:c>
      <x:c r="C17" s="76"/>
      <x:c r="D17" s="76"/>
      <x:c r="E17" s="76"/>
      <x:c r="F17" s="76"/>
    </x:row>
    <x:row r="18" ht="24" customHeight="1">
      <x:c r="A18" s="80" t="str">
        <x:v>Cross-sheet formula</x:v>
      </x:c>
      <x:c r="B18" s="79" t="str">
        <x:v>Green text — formula linked to another worksheet</x:v>
      </x:c>
      <x:c r="C18" s="79"/>
      <x:c r="D18" s="79"/>
      <x:c r="E18" s="79"/>
      <x:c r="F18" s="79"/>
    </x:row>
    <x:row r="19" ht="24" customHeight="1">
      <x:c r="A19" s="83" t="str">
        <x:v>Within-sheet formula</x:v>
      </x:c>
      <x:c r="B19" s="82" t="str">
        <x:v>Black text — formula calculated within the worksheet</x:v>
      </x:c>
      <x:c r="C19" s="82"/>
      <x:c r="D19" s="82"/>
      <x:c r="E19" s="82"/>
      <x:c r="F19" s="82"/>
    </x:row>
    <x:row r="20" ht="24" customHeight="1">
      <x:c r="A20" s="80" t="str">
        <x:v>Designated output</x:v>
      </x:c>
      <x:c r="B20" s="79" t="str">
        <x:v>Pale green fill — cell selected for reconstruction and reconciliation</x:v>
      </x:c>
      <x:c r="C20" s="79"/>
      <x:c r="D20" s="79"/>
      <x:c r="E20" s="79"/>
      <x:c r="F20" s="79"/>
    </x:row>
    <x:row r="21" ht="24" customHeight="1">
      <x:c r="A21" s="86" t="str">
        <x:v>Expected warning</x:v>
      </x:c>
      <x:c r="B21" s="85" t="str">
        <x:v>Amber fill — condition requiring a human review decision</x:v>
      </x:c>
      <x:c r="C21" s="85"/>
      <x:c r="D21" s="85"/>
      <x:c r="E21" s="85"/>
      <x:c r="F21" s="85"/>
    </x:row>
    <x:row r="22" ht="24" customHeight="1">
      <x:c r="A22" s="89" t="str">
        <x:v>Expected blocker</x:v>
      </x:c>
      <x:c r="B22" s="88" t="str">
        <x:v>Pale red fill — intentional defect that prevents silent progress</x:v>
      </x:c>
      <x:c r="C22" s="88"/>
      <x:c r="D22" s="88"/>
      <x:c r="E22" s="88"/>
      <x:c r="F22" s="88"/>
    </x:row>
    <x:row r="23" ht="24" customHeight="1">
      <x:c r="A23" s="91" t="str">
        <x:v>Model context</x:v>
      </x:c>
      <x:c r="B23" s="67" t="str">
        <x:v>Amounts are EUR unless the case guide says otherwise; period is 2025-Q4</x:v>
      </x:c>
      <x:c r="C23" s="67"/>
      <x:c r="D23" s="67"/>
      <x:c r="E23" s="67"/>
      <x:c r="F23" s="67"/>
    </x:row>
  </x:sheetData>
  <x:mergeCells>
    <x:mergeCell ref="A1:F2"/>
    <x:mergeCell ref="A3:F3"/>
    <x:mergeCell ref="A5:D5"/>
    <x:mergeCell ref="A16:F16"/>
    <x:mergeCell ref="B17:F17"/>
    <x:mergeCell ref="B18:F18"/>
    <x:mergeCell ref="B19:F19"/>
    <x:mergeCell ref="B20:F20"/>
    <x:mergeCell ref="B21:F21"/>
    <x:mergeCell ref="B22:F22"/>
    <x:mergeCell ref="B23:F23"/>
  </x:mergeCells>
  <x:pageMargins left="0.7" right="0.7" top="0.75" bottom="0.75" header="0.3" footer="0.3"/>
</x:worksheet>
</file>
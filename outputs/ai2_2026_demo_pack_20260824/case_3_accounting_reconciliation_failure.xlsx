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4ee1cc549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Guide" sheetId="1" r:id="Re9c37c2049164d42"/>
    <x:sheet xmlns:r="http://schemas.openxmlformats.org/officeDocument/2006/relationships" name="Assumptions" sheetId="2" r:id="Re2c41cb6b3514d0f"/>
    <x:sheet xmlns:r="http://schemas.openxmlformats.org/officeDocument/2006/relationships" name="Reserve Summary" sheetId="3" r:id="R5cf0d38e897e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€#,##0;[Red](€#,##0);-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16324F"/>
      <x:name val="Carlito"/>
    </x:font>
    <x:font>
      <x:sz val="11"/>
      <x:color rgb="FF1F2937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9F1239"/>
      </x:patternFill>
    </x:fill>
    <x:fill>
      <x:patternFill patternType="solid">
        <x:fgColor rgb="FFE8F1F5"/>
      </x:patternFill>
    </x:fill>
    <x:fill>
      <x:patternFill patternType="solid">
        <x:fgColor rgb="FFE2F0D9"/>
      </x:patternFill>
    </x:fill>
    <x:fill>
      <x:patternFill patternType="solid">
        <x:fgColor rgb="FF1F7A8C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4CE"/>
      </x:patternFill>
    </x:fill>
    <x:fill>
      <x:patternFill patternType="solid">
        <x:fgColor rgb="FFFCE8E6"/>
      </x:patternFill>
    </x:fill>
  </x:fills>
  <x:borders count="29">
    <x:border/>
    <x:border>
      <x:left style="medium">
        <x:color rgb="FF16324F"/>
      </x:left>
      <x:top style="medium">
        <x:color rgb="FF16324F"/>
      </x:top>
    </x:border>
    <x:border>
      <x:top style="medium">
        <x:color rgb="FF16324F"/>
      </x:top>
    </x:border>
    <x:border>
      <x:right style="medium">
        <x:color rgb="FF16324F"/>
      </x:right>
      <x:top style="medium">
        <x:color rgb="FF16324F"/>
      </x:top>
    </x:border>
    <x:border>
      <x:left style="medium">
        <x:color rgb="FF16324F"/>
      </x:left>
      <x:bottom style="medium">
        <x:color rgb="FF16324F"/>
      </x:bottom>
    </x:border>
    <x:border>
      <x:bottom style="medium">
        <x:color rgb="FF16324F"/>
      </x:bottom>
    </x:border>
    <x:border>
      <x:right style="medium">
        <x:color rgb="FF16324F"/>
      </x:right>
      <x:bottom style="medium">
        <x:color rgb="FF16324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1F7A8C"/>
      </x:left>
      <x:top style="thin">
        <x:color rgb="FF1F7A8C"/>
      </x:top>
      <x:bottom style="thin">
        <x:color rgb="FF1F7A8C"/>
      </x:bottom>
    </x:border>
    <x:border>
      <x:top style="thin">
        <x:color rgb="FF1F7A8C"/>
      </x:top>
      <x:bottom style="thin">
        <x:color rgb="FF1F7A8C"/>
      </x:bottom>
    </x:border>
    <x:border>
      <x:right style="thin">
        <x:color rgb="FF1F7A8C"/>
      </x:right>
      <x:top style="thin">
        <x:color rgb="FF1F7A8C"/>
      </x:top>
      <x:bottom style="thin">
        <x:color rgb="FF1F7A8C"/>
      </x:bottom>
    </x:border>
    <x:border>
      <x:left style="thin">
        <x:color rgb="FF9F1239"/>
      </x:left>
      <x:top style="thin">
        <x:color rgb="FF9F1239"/>
      </x:top>
      <x:bottom style="thin">
        <x:color rgb="FF9F1239"/>
      </x:bottom>
    </x:border>
    <x:border>
      <x:top style="thin">
        <x:color rgb="FF9F1239"/>
      </x:top>
      <x:bottom style="thin">
        <x:color rgb="FF9F1239"/>
      </x:bottom>
    </x:border>
    <x:border>
      <x:right style="thin">
        <x:color rgb="FF9F1239"/>
      </x:right>
      <x:top style="thin">
        <x:color rgb="FF9F1239"/>
      </x:top>
      <x:bottom style="thin">
        <x:color rgb="FF9F1239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1F7A8C"/>
      </x:left>
      <x:top style="medium">
        <x:color rgb="FF1F7A8C"/>
      </x:top>
      <x:bottom style="thin">
        <x:color rgb="FFCBD5E1"/>
      </x:bottom>
    </x:border>
    <x:border>
      <x:top style="medium">
        <x:color rgb="FF1F7A8C"/>
      </x:top>
      <x:bottom style="thin">
        <x:color rgb="FFCBD5E1"/>
      </x:bottom>
    </x:border>
    <x:border>
      <x:right style="medium">
        <x:color rgb="FF1F7A8C"/>
      </x:right>
      <x:top style="medium">
        <x:color rgb="FF1F7A8C"/>
      </x:top>
      <x:bottom style="thin">
        <x:color rgb="FFCBD5E1"/>
      </x:bottom>
    </x:border>
    <x:border>
      <x:left style="medium">
        <x:color rgb="FF1F7A8C"/>
      </x:left>
      <x:top style="thin">
        <x:color rgb="FFCBD5E1"/>
      </x:top>
      <x:bottom style="thin">
        <x:color rgb="FFCBD5E1"/>
      </x:bottom>
    </x:border>
    <x:border>
      <x:right style="medium">
        <x:color rgb="FF1F7A8C"/>
      </x:right>
      <x:top style="thin">
        <x:color rgb="FFCBD5E1"/>
      </x:top>
      <x:bottom style="thin">
        <x:color rgb="FFCBD5E1"/>
      </x:bottom>
    </x:border>
    <x:border>
      <x:left style="medium">
        <x:color rgb="FF1F7A8C"/>
      </x:left>
      <x:top style="thin">
        <x:color rgb="FFCBD5E1"/>
      </x:top>
      <x:bottom style="medium">
        <x:color rgb="FF1F7A8C"/>
      </x:bottom>
    </x:border>
    <x:border>
      <x:top style="thin">
        <x:color rgb="FFCBD5E1"/>
      </x:top>
      <x:bottom style="medium">
        <x:color rgb="FF1F7A8C"/>
      </x:bottom>
    </x:border>
    <x:border>
      <x:right style="medium">
        <x:color rgb="FF1F7A8C"/>
      </x:right>
      <x:top style="thin">
        <x:color rgb="FFCBD5E1"/>
      </x:top>
      <x:bottom style="medium">
        <x:color rgb="FF1F7A8C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9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9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13" xfId="0" applyNumberFormat="1" applyFont="1" applyFill="1" applyBorder="1"/>
    <x:xf numFmtId="0" fontId="1" fillId="3" borderId="14" xfId="0" applyNumberFormat="1" applyFont="1" applyFill="1" applyBorder="1"/>
    <x:xf numFmtId="0" fontId="1" fillId="3" borderId="15" xfId="0" applyNumberFormat="1" applyFont="1" applyFill="1" applyBorder="1"/>
    <x:xf numFmtId="200" fontId="4" fillId="0" borderId="8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8" xfId="0" applyNumberFormat="1" applyFont="1" applyFill="1" applyBorder="1"/>
    <x:xf numFmtId="0" fontId="4" fillId="7" borderId="20" xfId="0" applyNumberFormat="1" applyFont="1" applyFill="1" applyBorder="1"/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/>
    </x:xf>
    <x:xf numFmtId="0" fontId="4" fillId="8" borderId="9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201" fontId="5" fillId="8" borderId="8" xfId="0" applyNumberFormat="1" applyFont="1" applyFill="1" applyBorder="1" applyAlignment="1">
      <x:alignment vertical="center"/>
    </x:xf>
    <x:xf numFmtId="201" fontId="5" fillId="8" borderId="9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/>
    </x:xf>
    <x:xf numFmtId="0" fontId="4" fillId="9" borderId="8" xfId="0" applyNumberFormat="1" applyFont="1" applyFill="1" applyBorder="1" applyAlignment="1">
      <x:alignment vertical="center" wrapText="1"/>
    </x:xf>
    <x:xf numFmtId="0" fontId="3" fillId="9" borderId="8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vertical="center"/>
    </x:xf>
    <x:xf numFmtId="0" fontId="4" fillId="10" borderId="8" xfId="0" applyNumberFormat="1" applyFont="1" applyFill="1" applyBorder="1" applyAlignment="1">
      <x:alignment vertical="center" wrapText="1"/>
    </x:xf>
    <x:xf numFmtId="0" fontId="3" fillId="10" borderId="8" xfId="0" applyNumberFormat="1" applyFont="1" applyFill="1" applyBorder="1" applyAlignment="1">
      <x:alignment vertical="center" wrapText="1"/>
    </x:xf>
    <x:xf numFmtId="0" fontId="4" fillId="11" borderId="8" xfId="0" applyNumberFormat="1" applyFont="1" applyFill="1" applyBorder="1" applyAlignment="1">
      <x:alignment vertical="center"/>
    </x:xf>
    <x:xf numFmtId="0" fontId="4" fillId="11" borderId="8" xfId="0" applyNumberFormat="1" applyFont="1" applyFill="1" applyBorder="1" applyAlignment="1">
      <x:alignment vertical="center" wrapText="1"/>
    </x:xf>
    <x:xf numFmtId="0" fontId="3" fillId="11" borderId="8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/>
    </x:xf>
    <x:xf numFmtId="0" fontId="3" fillId="7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5" borderId="8" xfId="0" applyNumberFormat="1" applyFont="1" applyFill="1" applyBorder="1" applyAlignment="1">
      <x:alignment vertical="center"/>
    </x:xf>
    <x:xf numFmtId="201" fontId="6" fillId="5" borderId="9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201" fontId="3" fillId="5" borderId="8" xfId="0" applyNumberFormat="1" applyFont="1" applyFill="1" applyBorder="1" applyAlignment="1">
      <x:alignment vertical="center"/>
    </x:xf>
    <x:xf numFmtId="201" fontId="3" fillId="5" borderId="9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vertical="center"/>
    </x:xf>
    <x:xf numFmtId="201" fontId="3" fillId="5" borderId="22" xfId="0" applyNumberFormat="1" applyFont="1" applyFill="1" applyBorder="1" applyAlignment="1">
      <x:alignment vertical="center"/>
    </x:xf>
    <x:xf numFmtId="0" fontId="3" fillId="5" borderId="22" xfId="0" applyNumberFormat="1" applyFont="1" applyFill="1" applyBorder="1" applyAlignment="1">
      <x:alignment vertical="center"/>
    </x:xf>
    <x:xf numFmtId="0" fontId="3" fillId="5" borderId="23" xfId="0" applyNumberFormat="1" applyFont="1" applyFill="1" applyBorder="1" applyAlignment="1">
      <x:alignment vertical="center"/>
    </x:xf>
    <x:xf numFmtId="0" fontId="3" fillId="5" borderId="24" xfId="0" applyNumberFormat="1" applyFont="1" applyFill="1" applyBorder="1" applyAlignment="1">
      <x:alignment vertical="center"/>
    </x:xf>
    <x:xf numFmtId="0" fontId="3" fillId="5" borderId="25" xfId="0" applyNumberFormat="1" applyFont="1" applyFill="1" applyBorder="1" applyAlignment="1">
      <x:alignment vertical="center"/>
    </x:xf>
    <x:xf numFmtId="0" fontId="3" fillId="5" borderId="26" xfId="0" applyNumberFormat="1" applyFont="1" applyFill="1" applyBorder="1" applyAlignment="1">
      <x:alignment vertical="center"/>
    </x:xf>
    <x:xf numFmtId="201" fontId="3" fillId="5" borderId="27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3cacd2f9b4a68" /><Relationship Type="http://schemas.openxmlformats.org/officeDocument/2006/relationships/theme" Target="/xl/theme/theme1.xml" Id="R5e549eb411c741bc" /><Relationship Type="http://schemas.openxmlformats.org/officeDocument/2006/relationships/sharedStrings" Target="/xl/sharedStrings.xml" Id="R6939a09589d34c7b" /><Relationship Type="http://schemas.openxmlformats.org/officeDocument/2006/relationships/worksheet" Target="/xl/worksheets/sheet1.xml" Id="Re9c37c2049164d42" /><Relationship Type="http://schemas.openxmlformats.org/officeDocument/2006/relationships/worksheet" Target="/xl/worksheets/sheet2.xml" Id="Re2c41cb6b3514d0f" /><Relationship Type="http://schemas.openxmlformats.org/officeDocument/2006/relationships/worksheet" Target="/xl/worksheets/sheet3.xml" Id="R5cf0d38e897e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27" hidden="0" customWidth="1"/>
    <x:col min="4" max="4" width="28" hidden="0" customWidth="1"/>
    <x:col min="5" max="5" width="27" hidden="0" customWidth="1"/>
    <x:col min="6" max="6" width="25" hidden="0" customWidth="1"/>
  </x:cols>
  <x:sheetData>
    <x:row r="1" ht="28" customHeight="1">
      <x:c r="A1" s="15" t="str">
        <x:v>Case 3 — Accounting reconciliation failure</x:v>
      </x:c>
      <x:c r="B1" s="16" t="str">
        <x:v>Case 3 — Accounting reconciliation failure</x:v>
      </x:c>
      <x:c r="C1" s="16" t="str">
        <x:v>Case 3 — Accounting reconciliation failure</x:v>
      </x:c>
      <x:c r="D1" s="16" t="str">
        <x:v>Case 3 — Accounting reconciliation failure</x:v>
      </x:c>
      <x:c r="E1" s="16" t="str">
        <x:v>Case 3 — Accounting reconciliation failure</x:v>
      </x:c>
      <x:c r="F1" s="17" t="str">
        <x:v>Case 3 — Accounting reconciliation failure</x:v>
      </x:c>
    </x:row>
    <x:row r="2" ht="28" customHeight="1">
      <x:c r="A2" s="18" t="str">
        <x:v>Case 3 — Accounting reconciliation failure</x:v>
      </x:c>
      <x:c r="B2" s="19" t="str">
        <x:v>Case 3 — Accounting reconciliation failure</x:v>
      </x:c>
      <x:c r="C2" s="19" t="str">
        <x:v>Case 3 — Accounting reconciliation failure</x:v>
      </x:c>
      <x:c r="D2" s="19" t="str">
        <x:v>Case 3 — Accounting reconciliation failure</x:v>
      </x:c>
      <x:c r="E2" s="19" t="str">
        <x:v>Case 3 — Accounting reconciliation failure</x:v>
      </x:c>
      <x:c r="F2" s="20" t="str">
        <x:v>Case 3 — Accounting reconciliation failure</x:v>
      </x:c>
    </x:row>
    <x:row r="3" ht="24" customHeight="1">
      <x:c r="A3" s="24" t="str">
        <x:v>Internally complete calculations with external mapping, population and context blockers</x:v>
      </x:c>
      <x:c r="B3" s="24" t="str">
        <x:v>Internally complete calculations with external mapping, population and context blockers</x:v>
      </x:c>
      <x:c r="C3" s="24" t="str">
        <x:v>Internally complete calculations with external mapping, population and context blockers</x:v>
      </x:c>
      <x:c r="D3" s="24" t="str">
        <x:v>Internally complete calculations with external mapping, population and context blockers</x:v>
      </x:c>
      <x:c r="E3" s="24" t="str">
        <x:v>Internally complete calculations with external mapping, population and context blockers</x:v>
      </x:c>
      <x:c r="F3" s="24" t="str">
        <x:v>Internally complete calculations with external mapping, population and context blockers</x:v>
      </x:c>
    </x:row>
    <x:row r="5">
      <x:c r="A5" s="29" t="str">
        <x:v>Workbook context</x:v>
      </x:c>
      <x:c r="B5" s="29" t="str">
        <x:v>Value</x:v>
      </x:c>
    </x:row>
    <x:row r="6">
      <x:c r="A6" s="33" t="str">
        <x:v>Entity</x:v>
      </x:c>
      <x:c r="B6" s="33" t="str">
        <x:v>Aurora Life SA</x:v>
      </x:c>
    </x:row>
    <x:row r="7">
      <x:c r="A7" s="34" t="str">
        <x:v>Period</x:v>
      </x:c>
      <x:c r="B7" s="34" t="str">
        <x:v>2025-Q4</x:v>
      </x:c>
    </x:row>
    <x:row r="8">
      <x:c r="A8" s="34" t="str">
        <x:v>Currency</x:v>
      </x:c>
      <x:c r="B8" s="34" t="str">
        <x:v>EUR</x:v>
      </x:c>
    </x:row>
    <x:row r="9">
      <x:c r="A9" s="34" t="str">
        <x:v>Basis</x:v>
      </x:c>
      <x:c r="B9" s="34" t="str">
        <x:v>IFRS 17 — synthetic demonstration</x:v>
      </x:c>
    </x:row>
    <x:row r="10" ht="28" customHeight="1">
      <x:c r="A10" s="34" t="str">
        <x:v>Designated output(s)</x:v>
      </x:c>
      <x:c r="B10" s="39" t="str">
        <x:v>Reserve Summary!B7, Reserve Summary!B8, Reserve Summary!B9</x:v>
      </x:c>
      <x:c r="C10" s="40"/>
      <x:c r="D10" s="40"/>
      <x:c r="E10" s="40"/>
      <x:c r="F10" s="40"/>
    </x:row>
    <x:row r="12">
      <x:c r="A12" s="43" t="str">
        <x:v>Demonstration instructions</x:v>
      </x:c>
      <x:c r="B12" s="44" t="str">
        <x:v>Demonstration instructions</x:v>
      </x:c>
      <x:c r="C12" s="44" t="str">
        <x:v>Demonstration instructions</x:v>
      </x:c>
      <x:c r="D12" s="44" t="str">
        <x:v>Demonstration instructions</x:v>
      </x:c>
      <x:c r="E12" s="44" t="str">
        <x:v>Demonstration instructions</x:v>
      </x:c>
      <x:c r="F12" s="45" t="str">
        <x:v>Demonstration instructions</x:v>
      </x:c>
    </x:row>
    <x:row r="13" ht="32" customHeight="1">
      <x:c r="A13" s="46" t="str">
        <x:v>1</x:v>
      </x:c>
      <x:c r="B13" s="46" t="str">
        <x:v>Upload this workbook</x:v>
      </x:c>
      <x:c r="C13" s="46" t="str">
        <x:v>Workbook context: EUR</x:v>
      </x:c>
      <x:c r="D13" s="46" t="str">
        <x:v>Include reference CSV</x:v>
      </x:c>
      <x:c r="E13" s="46" t="str">
        <x:v>case_3_reference_figures.csv</x:v>
      </x:c>
      <x:c r="F13" s="46" t="str">
        <x:v>Confirm Gate 1</x:v>
      </x:c>
    </x:row>
    <x:row r="14" ht="32" customHeight="1">
      <x:c r="A14" s="47" t="str">
        <x:v>2</x:v>
      </x:c>
      <x:c r="B14" s="47" t="str">
        <x:v>Reference context</x:v>
      </x:c>
      <x:c r="C14" s="47" t="str">
        <x:v>Enter currency GBP</x:v>
      </x:c>
      <x:c r="D14" s="47" t="str">
        <x:v>Entity / period</x:v>
      </x:c>
      <x:c r="E14" s="47" t="str">
        <x:v>Aurora Life SA / 2025-Q4</x:v>
      </x:c>
      <x:c r="F14" s="47" t="str">
        <x:v>This creates a deliberate mismatch</x:v>
      </x:c>
    </x:row>
    <x:row r="15" ht="32" customHeight="1">
      <x:c r="A15" s="47" t="str">
        <x:v>3</x:v>
      </x:c>
      <x:c r="B15" s="47" t="str">
        <x:v>Gate 2</x:v>
      </x:c>
      <x:c r="C15" s="47" t="str">
        <x:v>Expected findings: none</x:v>
      </x:c>
      <x:c r="D15" s="47" t="str">
        <x:v>Designate all three outputs</x:v>
      </x:c>
      <x:c r="E15" s="47" t="str">
        <x:v>Reserve Summary!B7:B9</x:v>
      </x:c>
      <x:c r="F15" s="47" t="str">
        <x:v>Proceed</x:v>
      </x:c>
    </x:row>
    <x:row r="16" ht="32" customHeight="1">
      <x:c r="A16" s="47" t="str">
        <x:v>4</x:v>
      </x:c>
      <x:c r="B16" s="47" t="str">
        <x:v>Gate 3</x:v>
      </x:c>
      <x:c r="C16" s="47" t="str">
        <x:v>Review mapping proposals</x:v>
      </x:c>
      <x:c r="D16" s="47" t="str">
        <x:v>Expected result</x:v>
      </x:c>
      <x:c r="E16" s="47" t="str">
        <x:v>External block; internal pass</x:v>
      </x:c>
      <x:c r="F16" s="47" t="str">
        <x:v>Do not collapse the verdicts</x:v>
      </x:c>
    </x:row>
    <x:row r="18">
      <x:c r="A18" s="49" t="str">
        <x:v>Expected outcome</x:v>
      </x:c>
      <x:c r="B18" s="50" t="str">
        <x:v>Expected outcome</x:v>
      </x:c>
      <x:c r="C18" s="50" t="str">
        <x:v>Expected outcome</x:v>
      </x:c>
      <x:c r="D18" s="50" t="str">
        <x:v>Expected outcome</x:v>
      </x:c>
      <x:c r="E18" s="50" t="str">
        <x:v>Expected outcome</x:v>
      </x:c>
      <x:c r="F18" s="51" t="str">
        <x:v>Expected outcome</x:v>
      </x:c>
    </x:row>
    <x:row r="19" ht="34" customHeight="1">
      <x:c r="A19" s="52" t="str">
        <x:v>Internal reconstruction</x:v>
      </x:c>
      <x:c r="B19" s="52" t="str">
        <x:v>Complete for all outputs</x:v>
      </x:c>
      <x:c r="C19" s="52" t="str">
        <x:v>Expected verdict</x:v>
      </x:c>
      <x:c r="D19" s="52" t="str">
        <x:v>pass</x:v>
      </x:c>
      <x:c r="E19" s="52" t="str">
        <x:v>External verdict</x:v>
      </x:c>
      <x:c r="F19" s="52" t="str">
        <x:v>block</x:v>
      </x:c>
    </x:row>
    <x:row r="20" ht="34" customHeight="1">
      <x:c r="A20" s="53" t="str">
        <x:v>Fuzzy proposal</x:v>
      </x:c>
      <x:c r="B20" s="53" t="str">
        <x:v>Net claim reserves → Net claims reserve</x:v>
      </x:c>
      <x:c r="C20" s="53" t="str">
        <x:v>Human approval</x:v>
      </x:c>
      <x:c r="D20" s="53" t="str">
        <x:v>required</x:v>
      </x:c>
      <x:c r="E20" s="53" t="str">
        <x:v>Algorithmic approval</x:v>
      </x:c>
      <x:c r="F20" s="53" t="str">
        <x:v>never</x:v>
      </x:c>
    </x:row>
    <x:row r="21" ht="34" customHeight="1">
      <x:c r="A21" s="53" t="str">
        <x:v>Unmatched reference lines</x:v>
      </x:c>
      <x:c r="B21" s="53" t="str">
        <x:v>Duplicate net-claims line + legacy adjustment</x:v>
      </x:c>
      <x:c r="C21" s="53" t="str">
        <x:v>Expected</x:v>
      </x:c>
      <x:c r="D21" s="53" t="str">
        <x:v>visible</x:v>
      </x:c>
      <x:c r="E21" s="53" t="str">
        <x:v>Unmapped Python output</x:v>
      </x:c>
      <x:c r="F21" s="53" t="str">
        <x:v>Expense provision</x:v>
      </x:c>
    </x:row>
    <x:row r="22" ht="34" customHeight="1">
      <x:c r="A22" s="53" t="str">
        <x:v>Context match</x:v>
      </x:c>
      <x:c r="B22" s="53" t="str">
        <x:v>Workbook EUR vs reference GBP</x:v>
      </x:c>
      <x:c r="C22" s="53" t="str">
        <x:v>Expected</x:v>
      </x:c>
      <x:c r="D22" s="53" t="str">
        <x:v>mismatch</x:v>
      </x:c>
      <x:c r="E22" s="53" t="str">
        <x:v>External pass</x:v>
      </x:c>
      <x:c r="F22" s="53" t="str">
        <x:v>prohibited</x:v>
      </x:c>
    </x:row>
    <x:row r="24">
      <x:c r="A24" s="68" t="str">
        <x:v>Synthetic demonstration data only. It is not derived from a policyholder, insurer, ledger, actuarial model, or production workbook.</x:v>
      </x:c>
      <x:c r="B24" s="69" t="str">
        <x:v>Synthetic demonstration data only. It is not derived from a policyholder, insurer, ledger, actuarial model, or production workbook.</x:v>
      </x:c>
      <x:c r="C24" s="69" t="str">
        <x:v>Synthetic demonstration data only. It is not derived from a policyholder, insurer, ledger, actuarial model, or production workbook.</x:v>
      </x:c>
      <x:c r="D24" s="69" t="str">
        <x:v>Synthetic demonstration data only. It is not derived from a policyholder, insurer, ledger, actuarial model, or production workbook.</x:v>
      </x:c>
      <x:c r="E24" s="69" t="str">
        <x:v>Synthetic demonstration data only. It is not derived from a policyholder, insurer, ledger, actuarial model, or production workbook.</x:v>
      </x:c>
      <x:c r="F24" s="70" t="str">
        <x:v>Synthetic demonstration data only. It is not derived from a policyholder, insurer, ledger, actuarial model, or production workbook.</x:v>
      </x:c>
    </x:row>
    <x:row r="25">
      <x:c r="A25" s="71" t="str">
        <x:v>Synthetic demonstration data only. It is not derived from a policyholder, insurer, ledger, actuarial model, or production workbook.</x:v>
      </x:c>
      <x:c r="B25" s="72" t="str">
        <x:v>Synthetic demonstration data only. It is not derived from a policyholder, insurer, ledger, actuarial model, or production workbook.</x:v>
      </x:c>
      <x:c r="C25" s="72" t="str">
        <x:v>Synthetic demonstration data only. It is not derived from a policyholder, insurer, ledger, actuarial model, or production workbook.</x:v>
      </x:c>
      <x:c r="D25" s="72" t="str">
        <x:v>Synthetic demonstration data only. It is not derived from a policyholder, insurer, ledger, actuarial model, or production workbook.</x:v>
      </x:c>
      <x:c r="E25" s="72" t="str">
        <x:v>Synthetic demonstration data only. It is not derived from a policyholder, insurer, ledger, actuarial model, or production workbook.</x:v>
      </x:c>
      <x:c r="F25" s="73" t="str">
        <x:v>Synthetic demonstration data only. It is not derived from a policyholder, insurer, ledger, actuarial model, or production workbook.</x:v>
      </x:c>
    </x:row>
  </x:sheetData>
  <x:mergeCells>
    <x:mergeCell ref="A1:F2"/>
    <x:mergeCell ref="A3:F3"/>
    <x:mergeCell ref="B10:F10"/>
    <x:mergeCell ref="A12:F12"/>
    <x:mergeCell ref="A18:F18"/>
    <x:mergeCell ref="A24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46" hidden="0" customWidth="1"/>
    <x:col min="5" max="5" width="14" hidden="0" customWidth="1"/>
    <x:col min="6" max="6" width="14" hidden="0" customWidth="1"/>
  </x:cols>
  <x:sheetData>
    <x:row r="1" ht="28" customHeight="1">
      <x:c r="A1" s="15" t="str">
        <x:v>Case 3 — Assumptions</x:v>
      </x:c>
      <x:c r="B1" s="16" t="str">
        <x:v>Case 3 — Assumptions</x:v>
      </x:c>
      <x:c r="C1" s="16" t="str">
        <x:v>Case 3 — Assumptions</x:v>
      </x:c>
      <x:c r="D1" s="16" t="str">
        <x:v>Case 3 — Assumptions</x:v>
      </x:c>
      <x:c r="E1" s="16" t="str">
        <x:v>Case 3 — Assumptions</x:v>
      </x:c>
      <x:c r="F1" s="17" t="str">
        <x:v>Case 3 — Assumptions</x:v>
      </x:c>
    </x:row>
    <x:row r="2" ht="28" customHeight="1">
      <x:c r="A2" s="18" t="str">
        <x:v>Case 3 — Assumptions</x:v>
      </x:c>
      <x:c r="B2" s="19" t="str">
        <x:v>Case 3 — Assumptions</x:v>
      </x:c>
      <x:c r="C2" s="19" t="str">
        <x:v>Case 3 — Assumptions</x:v>
      </x:c>
      <x:c r="D2" s="19" t="str">
        <x:v>Case 3 — Assumptions</x:v>
      </x:c>
      <x:c r="E2" s="19" t="str">
        <x:v>Case 3 — Assumptions</x:v>
      </x:c>
      <x:c r="F2" s="20" t="str">
        <x:v>Case 3 — Assumptions</x:v>
      </x:c>
    </x:row>
    <x:row r="3" ht="24" customHeight="1">
      <x:c r="A3" s="76" t="str">
        <x:v>All internal calculations are supported and should reconstruct completely.</x:v>
      </x:c>
      <x:c r="B3" s="76" t="str">
        <x:v>All internal calculations are supported and should reconstruct completely.</x:v>
      </x:c>
      <x:c r="C3" s="76" t="str">
        <x:v>All internal calculations are supported and should reconstruct completely.</x:v>
      </x:c>
      <x:c r="D3" s="76" t="str">
        <x:v>All internal calculations are supported and should reconstruct completely.</x:v>
      </x:c>
      <x:c r="E3" s="76" t="str">
        <x:v>All internal calculations are supported and should reconstruct completely.</x:v>
      </x:c>
      <x:c r="F3" s="76" t="str">
        <x:v>All internal calculations are supported and should reconstruct completely.</x:v>
      </x:c>
    </x:row>
    <x:row r="5">
      <x:c r="A5" s="43" t="str">
        <x:v>Synthetic input assumptions</x:v>
      </x:c>
      <x:c r="B5" s="44" t="str">
        <x:v>Synthetic input assumptions</x:v>
      </x:c>
      <x:c r="C5" s="44" t="str">
        <x:v>Synthetic input assumptions</x:v>
      </x:c>
      <x:c r="D5" s="45" t="str">
        <x:v>Synthetic input assumptions</x:v>
      </x:c>
    </x:row>
    <x:row r="6">
      <x:c r="A6" s="29" t="str">
        <x:v>Assumption</x:v>
      </x:c>
      <x:c r="B6" s="29" t="str">
        <x:v>Value</x:v>
      </x:c>
      <x:c r="C6" s="29" t="str">
        <x:v>Units</x:v>
      </x:c>
      <x:c r="D6" s="29" t="str">
        <x:v>Source / rationale</x:v>
      </x:c>
    </x:row>
    <x:row r="7">
      <x:c r="A7" s="33" t="str">
        <x:v>Gross reported claims</x:v>
      </x:c>
      <x:c r="B7" s="81" t="n">
        <x:v>2100000</x:v>
      </x:c>
      <x:c r="C7" s="33" t="str">
        <x:v>EUR</x:v>
      </x:c>
      <x:c r="D7" s="33" t="str">
        <x:v>Synthetic claims source</x:v>
      </x:c>
    </x:row>
    <x:row r="8">
      <x:c r="A8" s="34" t="str">
        <x:v>Reinsurance recoveries</x:v>
      </x:c>
      <x:c r="B8" s="82" t="n">
        <x:v>250000</x:v>
      </x:c>
      <x:c r="C8" s="34" t="str">
        <x:v>EUR</x:v>
      </x:c>
      <x:c r="D8" s="34" t="str">
        <x:v>Synthetic reinsurance source</x:v>
      </x:c>
    </x:row>
    <x:row r="9">
      <x:c r="A9" s="34" t="str">
        <x:v>Unearned premiums</x:v>
      </x:c>
      <x:c r="B9" s="82" t="n">
        <x:v>500000</x:v>
      </x:c>
      <x:c r="C9" s="34" t="str">
        <x:v>EUR</x:v>
      </x:c>
      <x:c r="D9" s="34" t="str">
        <x:v>Synthetic premium source</x:v>
      </x:c>
    </x:row>
    <x:row r="10">
      <x:c r="A10" s="34" t="str">
        <x:v>Acquisition cost offset</x:v>
      </x:c>
      <x:c r="B10" s="82" t="n">
        <x:v>75000</x:v>
      </x:c>
      <x:c r="C10" s="34" t="str">
        <x:v>EUR</x:v>
      </x:c>
      <x:c r="D10" s="34" t="str">
        <x:v>Synthetic cost source</x:v>
      </x:c>
    </x:row>
    <x:row r="11">
      <x:c r="A11" s="34" t="str">
        <x:v>Expense provision</x:v>
      </x:c>
      <x:c r="B11" s="82" t="n">
        <x:v>300000</x:v>
      </x:c>
      <x:c r="C11" s="34" t="str">
        <x:v>EUR</x:v>
      </x:c>
      <x:c r="D11" s="34" t="str">
        <x:v>Synthetic expense estimate</x:v>
      </x:c>
    </x:row>
    <x:row r="18">
      <x:c r="A18" s="43" t="str">
        <x:v>Cell colour legend</x:v>
      </x:c>
      <x:c r="B18" s="44" t="str">
        <x:v>Cell colour legend</x:v>
      </x:c>
      <x:c r="C18" s="44" t="str">
        <x:v>Cell colour legend</x:v>
      </x:c>
      <x:c r="D18" s="44" t="str">
        <x:v>Cell colour legend</x:v>
      </x:c>
      <x:c r="E18" s="44" t="str">
        <x:v>Cell colour legend</x:v>
      </x:c>
      <x:c r="F18" s="45" t="str">
        <x:v>Cell colour legend</x:v>
      </x:c>
    </x:row>
    <x:row r="19" ht="24" customHeight="1">
      <x:c r="A19" s="84" t="str">
        <x:v>Input</x:v>
      </x:c>
      <x:c r="B19" s="83" t="str">
        <x:v>Blue text with pale yellow fill — editable synthetic assumption</x:v>
      </x:c>
      <x:c r="C19" s="83"/>
      <x:c r="D19" s="83"/>
      <x:c r="E19" s="83"/>
      <x:c r="F19" s="83"/>
    </x:row>
    <x:row r="20" ht="24" customHeight="1">
      <x:c r="A20" s="87" t="str">
        <x:v>Cross-sheet formula</x:v>
      </x:c>
      <x:c r="B20" s="86" t="str">
        <x:v>Green text — formula linked to another worksheet</x:v>
      </x:c>
      <x:c r="C20" s="86"/>
      <x:c r="D20" s="86"/>
      <x:c r="E20" s="86"/>
      <x:c r="F20" s="86"/>
    </x:row>
    <x:row r="21" ht="24" customHeight="1">
      <x:c r="A21" s="90" t="str">
        <x:v>Within-sheet formula</x:v>
      </x:c>
      <x:c r="B21" s="89" t="str">
        <x:v>Black text — formula calculated within the worksheet</x:v>
      </x:c>
      <x:c r="C21" s="89"/>
      <x:c r="D21" s="89"/>
      <x:c r="E21" s="89"/>
      <x:c r="F21" s="89"/>
    </x:row>
    <x:row r="22" ht="24" customHeight="1">
      <x:c r="A22" s="87" t="str">
        <x:v>Designated output</x:v>
      </x:c>
      <x:c r="B22" s="86" t="str">
        <x:v>Pale green fill — cell selected for reconstruction and reconciliation</x:v>
      </x:c>
      <x:c r="C22" s="86"/>
      <x:c r="D22" s="86"/>
      <x:c r="E22" s="86"/>
      <x:c r="F22" s="86"/>
    </x:row>
    <x:row r="23" ht="24" customHeight="1">
      <x:c r="A23" s="93" t="str">
        <x:v>Expected warning</x:v>
      </x:c>
      <x:c r="B23" s="92" t="str">
        <x:v>Amber fill — condition requiring a human review decision</x:v>
      </x:c>
      <x:c r="C23" s="92"/>
      <x:c r="D23" s="92"/>
      <x:c r="E23" s="92"/>
      <x:c r="F23" s="92"/>
    </x:row>
    <x:row r="24" ht="24" customHeight="1">
      <x:c r="A24" s="96" t="str">
        <x:v>Expected blocker</x:v>
      </x:c>
      <x:c r="B24" s="95" t="str">
        <x:v>Pale red fill — intentional defect that prevents silent progress</x:v>
      </x:c>
      <x:c r="C24" s="95"/>
      <x:c r="D24" s="95"/>
      <x:c r="E24" s="95"/>
      <x:c r="F24" s="95"/>
    </x:row>
    <x:row r="25" ht="24" customHeight="1">
      <x:c r="A25" s="98" t="str">
        <x:v>Model context</x:v>
      </x:c>
      <x:c r="B25" s="72" t="str">
        <x:v>Amounts are EUR unless the case guide says otherwise; period is 2025-Q4</x:v>
      </x:c>
      <x:c r="C25" s="72"/>
      <x:c r="D25" s="72"/>
      <x:c r="E25" s="72"/>
      <x:c r="F25" s="72"/>
    </x:row>
  </x:sheetData>
  <x:mergeCells>
    <x:mergeCell ref="A1:F2"/>
    <x:mergeCell ref="A3:F3"/>
    <x:mergeCell ref="A5:D5"/>
    <x:mergeCell ref="A18:F18"/>
    <x:mergeCell ref="B19:F19"/>
    <x:mergeCell ref="B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50" hidden="0" customWidth="1"/>
    <x:col min="5" max="5" width="14" hidden="0" customWidth="1"/>
    <x:col min="6" max="6" width="14" hidden="0" customWidth="1"/>
  </x:cols>
  <x:sheetData>
    <x:row r="1" ht="28" customHeight="1">
      <x:c r="A1" s="15" t="str">
        <x:v>Case 3 — Reserve summary</x:v>
      </x:c>
      <x:c r="B1" s="16" t="str">
        <x:v>Case 3 — Reserve summary</x:v>
      </x:c>
      <x:c r="C1" s="16" t="str">
        <x:v>Case 3 — Reserve summary</x:v>
      </x:c>
      <x:c r="D1" s="16" t="str">
        <x:v>Case 3 — Reserve summary</x:v>
      </x:c>
      <x:c r="E1" s="16" t="str">
        <x:v>Case 3 — Reserve summary</x:v>
      </x:c>
      <x:c r="F1" s="17" t="str">
        <x:v>Case 3 — Reserve summary</x:v>
      </x:c>
    </x:row>
    <x:row r="2" ht="28" customHeight="1">
      <x:c r="A2" s="18" t="str">
        <x:v>Case 3 — Reserve summary</x:v>
      </x:c>
      <x:c r="B2" s="19" t="str">
        <x:v>Case 3 — Reserve summary</x:v>
      </x:c>
      <x:c r="C2" s="19" t="str">
        <x:v>Case 3 — Reserve summary</x:v>
      </x:c>
      <x:c r="D2" s="19" t="str">
        <x:v>Case 3 — Reserve summary</x:v>
      </x:c>
      <x:c r="E2" s="19" t="str">
        <x:v>Case 3 — Reserve summary</x:v>
      </x:c>
      <x:c r="F2" s="20" t="str">
        <x:v>Case 3 — Reserve summary</x:v>
      </x:c>
    </x:row>
    <x:row r="3" ht="24" customHeight="1">
      <x:c r="A3" s="76" t="str">
        <x:v>Three designated outputs; only two have plausible accounting counterparts</x:v>
      </x:c>
      <x:c r="B3" s="76" t="str">
        <x:v>Three designated outputs; only two have plausible accounting counterparts</x:v>
      </x:c>
      <x:c r="C3" s="76" t="str">
        <x:v>Three designated outputs; only two have plausible accounting counterparts</x:v>
      </x:c>
      <x:c r="D3" s="76" t="str">
        <x:v>Three designated outputs; only two have plausible accounting counterparts</x:v>
      </x:c>
      <x:c r="E3" s="76" t="str">
        <x:v>Three designated outputs; only two have plausible accounting counterparts</x:v>
      </x:c>
      <x:c r="F3" s="76" t="str">
        <x:v>Three designated outputs; only two have plausible accounting counterparts</x:v>
      </x:c>
    </x:row>
    <x:row r="5">
      <x:c r="A5" s="43" t="str">
        <x:v>Authoritative outputs</x:v>
      </x:c>
      <x:c r="B5" s="44" t="str">
        <x:v>Authoritative outputs</x:v>
      </x:c>
      <x:c r="C5" s="44" t="str">
        <x:v>Authoritative outputs</x:v>
      </x:c>
      <x:c r="D5" s="45" t="str">
        <x:v>Authoritative outputs</x:v>
      </x:c>
    </x:row>
    <x:row r="6">
      <x:c r="A6" s="29" t="str">
        <x:v>Output label</x:v>
      </x:c>
      <x:c r="B6" s="29" t="str">
        <x:v>EUR</x:v>
      </x:c>
      <x:c r="C6" s="29" t="str">
        <x:v>Reconstruction</x:v>
      </x:c>
      <x:c r="D6" s="29" t="str">
        <x:v>Expected accounting treatment</x:v>
      </x:c>
    </x:row>
    <x:row r="7">
      <x:c r="A7" s="108" t="str">
        <x:v>Net claims reserve</x:v>
      </x:c>
      <x:c r="B7" s="109" t="n">
        <x:f>'Assumptions'!B7-'Assumptions'!B8</x:f>
        <x:v>1850000</x:v>
      </x:c>
      <x:c r="C7" s="110" t="str">
        <x:v>complete</x:v>
      </x:c>
      <x:c r="D7" s="111" t="str">
        <x:v>Plausible fuzzy match to Net claim reserves</x:v>
      </x:c>
    </x:row>
    <x:row r="8">
      <x:c r="A8" s="112" t="str">
        <x:v>Unearned premium liability</x:v>
      </x:c>
      <x:c r="B8" s="107" t="n">
        <x:f>'Assumptions'!B9-'Assumptions'!B10</x:f>
        <x:v>425000</x:v>
      </x:c>
      <x:c r="C8" s="37" t="str">
        <x:v>complete</x:v>
      </x:c>
      <x:c r="D8" s="113" t="str">
        <x:v>Exact label match in reference CSV</x:v>
      </x:c>
    </x:row>
    <x:row r="9">
      <x:c r="A9" s="114" t="str">
        <x:v>Expense provision</x:v>
      </x:c>
      <x:c r="B9" s="115" t="n">
        <x:f>'Assumptions'!B11</x:f>
        <x:v>300000</x:v>
      </x:c>
      <x:c r="C9" s="116" t="str">
        <x:v>complete</x:v>
      </x:c>
      <x:c r="D9" s="117" t="str">
        <x:v>Deliberately left without an accounting counterpart</x:v>
      </x:c>
    </x:row>
    <x:row r="13">
      <x:c r="A13" s="43" t="str">
        <x:v>Cell colour legend</x:v>
      </x:c>
      <x:c r="B13" s="44" t="str">
        <x:v>Cell colour legend</x:v>
      </x:c>
      <x:c r="C13" s="44" t="str">
        <x:v>Cell colour legend</x:v>
      </x:c>
      <x:c r="D13" s="44" t="str">
        <x:v>Cell colour legend</x:v>
      </x:c>
      <x:c r="E13" s="44" t="str">
        <x:v>Cell colour legend</x:v>
      </x:c>
      <x:c r="F13" s="45" t="str">
        <x:v>Cell colour legend</x:v>
      </x:c>
    </x:row>
    <x:row r="14" ht="24" customHeight="1">
      <x:c r="A14" s="84" t="str">
        <x:v>Input</x:v>
      </x:c>
      <x:c r="B14" s="83" t="str">
        <x:v>Blue text with pale yellow fill — editable synthetic assumption</x:v>
      </x:c>
      <x:c r="C14" s="83"/>
      <x:c r="D14" s="83"/>
      <x:c r="E14" s="83"/>
      <x:c r="F14" s="83"/>
    </x:row>
    <x:row r="15" ht="24" customHeight="1">
      <x:c r="A15" s="87" t="str">
        <x:v>Cross-sheet formula</x:v>
      </x:c>
      <x:c r="B15" s="86" t="str">
        <x:v>Green text — formula linked to another worksheet</x:v>
      </x:c>
      <x:c r="C15" s="86"/>
      <x:c r="D15" s="86"/>
      <x:c r="E15" s="86"/>
      <x:c r="F15" s="86"/>
    </x:row>
    <x:row r="16" ht="24" customHeight="1">
      <x:c r="A16" s="90" t="str">
        <x:v>Within-sheet formula</x:v>
      </x:c>
      <x:c r="B16" s="89" t="str">
        <x:v>Black text — formula calculated within the worksheet</x:v>
      </x:c>
      <x:c r="C16" s="89"/>
      <x:c r="D16" s="89"/>
      <x:c r="E16" s="89"/>
      <x:c r="F16" s="89"/>
    </x:row>
    <x:row r="17" ht="24" customHeight="1">
      <x:c r="A17" s="87" t="str">
        <x:v>Designated output</x:v>
      </x:c>
      <x:c r="B17" s="86" t="str">
        <x:v>Pale green fill — cell selected for reconstruction and reconciliation</x:v>
      </x:c>
      <x:c r="C17" s="86"/>
      <x:c r="D17" s="86"/>
      <x:c r="E17" s="86"/>
      <x:c r="F17" s="86"/>
    </x:row>
    <x:row r="18" ht="24" customHeight="1">
      <x:c r="A18" s="93" t="str">
        <x:v>Expected warning</x:v>
      </x:c>
      <x:c r="B18" s="92" t="str">
        <x:v>Amber fill — condition requiring a human review decision</x:v>
      </x:c>
      <x:c r="C18" s="92"/>
      <x:c r="D18" s="92"/>
      <x:c r="E18" s="92"/>
      <x:c r="F18" s="92"/>
    </x:row>
    <x:row r="19" ht="24" customHeight="1">
      <x:c r="A19" s="96" t="str">
        <x:v>Expected blocker</x:v>
      </x:c>
      <x:c r="B19" s="95" t="str">
        <x:v>Pale red fill — intentional defect that prevents silent progress</x:v>
      </x:c>
      <x:c r="C19" s="95"/>
      <x:c r="D19" s="95"/>
      <x:c r="E19" s="95"/>
      <x:c r="F19" s="95"/>
    </x:row>
    <x:row r="20" ht="24" customHeight="1">
      <x:c r="A20" s="98" t="str">
        <x:v>Model context</x:v>
      </x:c>
      <x:c r="B20" s="72" t="str">
        <x:v>Amounts are EUR unless the case guide says otherwise; period is 2025-Q4</x:v>
      </x:c>
      <x:c r="C20" s="72"/>
      <x:c r="D20" s="72"/>
      <x:c r="E20" s="72"/>
      <x:c r="F20" s="72"/>
    </x:row>
  </x:sheetData>
  <x:mergeCells>
    <x:mergeCell ref="A1:F2"/>
    <x:mergeCell ref="A3:F3"/>
    <x:mergeCell ref="A5:D5"/>
    <x:mergeCell ref="A13:F13"/>
    <x:mergeCell ref="B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
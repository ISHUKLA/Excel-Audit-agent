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mo Guide" sheetId="1" state="visible" r:id="rId3"/>
    <sheet name="Inputs" sheetId="2" state="visible" r:id="rId4"/>
    <sheet name="Rollforward" sheetId="3" state="visible" r:id="rId5"/>
    <sheet name="Controls" sheetId="4" state="visible" r:id="rId6"/>
  </sheets>
  <calcPr calcId="191029" calcMode="auto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<sst xmlns="http://schemas.openxmlformats.org/spreadsheetml/2006/main" count="53" uniqueCount="43">
  <si>
    <t xml:space="preserve">Case 4 — Claims reserve roll-forward and GL reconciliation</t>
  </si>
  <si>
    <t xml:space="preserve">Actuarial reserve movement, reconciled to a signed general-ledger credit balance. Synthetic demonstration data only.</t>
  </si>
  <si>
    <t xml:space="preserve">Workbook context</t>
  </si>
  <si>
    <t xml:space="preserve">Value</t>
  </si>
  <si>
    <t xml:space="preserve">Entity</t>
  </si>
  <si>
    <t xml:space="preserve">Aurora General Insurance SA</t>
  </si>
  <si>
    <t xml:space="preserve">Period</t>
  </si>
  <si>
    <t xml:space="preserve">2025-Q4</t>
  </si>
  <si>
    <t xml:space="preserve">Currency</t>
  </si>
  <si>
    <t xml:space="preserve">EUR</t>
  </si>
  <si>
    <t xml:space="preserve">Basis</t>
  </si>
  <si>
    <t xml:space="preserve">IFRS 17 – synthetic demonstration</t>
  </si>
  <si>
    <t xml:space="preserve">Designated output(s)</t>
  </si>
  <si>
    <t xml:space="preserve">Controls!B4</t>
  </si>
  <si>
    <t xml:space="preserve">Sign convention</t>
  </si>
  <si>
    <t xml:space="preserve">The actuarial reserve is a positive magnitude on the Rollforward sheet. Controls!B4 converts it into a signed accounting balance: reserves are carried on the ledger as a credit, so the signed control total is negative (Controls!B4 = -Rollforward!B9).</t>
  </si>
  <si>
    <t xml:space="preserve">Cell colour legend</t>
  </si>
  <si>
    <t xml:space="preserve">Input</t>
  </si>
  <si>
    <t xml:space="preserve">Blue text with pale yellow fill — editable synthetic assumption</t>
  </si>
  <si>
    <t xml:space="preserve">Cross-sheet formula</t>
  </si>
  <si>
    <t xml:space="preserve">Green text — formula linked to another worksheet</t>
  </si>
  <si>
    <t xml:space="preserve">Within-sheet formula</t>
  </si>
  <si>
    <t xml:space="preserve">Black text — formula calculated within the worksheet</t>
  </si>
  <si>
    <t xml:space="preserve">Designated output</t>
  </si>
  <si>
    <t xml:space="preserve">Pale green fill — cell selected for reconstruction and reconciliation</t>
  </si>
  <si>
    <t xml:space="preserve">Synthetic demonstration data only. It is not derived from a policyholder, insurer, ledger, actuarial model, or production workbook.</t>
  </si>
  <si>
    <t xml:space="preserve">Case 4 — Inputs (EUR)</t>
  </si>
  <si>
    <t xml:space="preserve">Opening claims reserve</t>
  </si>
  <si>
    <t xml:space="preserve">Current-period incurred claims</t>
  </si>
  <si>
    <t xml:space="preserve">Claims paid</t>
  </si>
  <si>
    <t xml:space="preserve">Assumption strengthening</t>
  </si>
  <si>
    <t xml:space="preserve">FX and other movement</t>
  </si>
  <si>
    <t xml:space="preserve">Case 4 — Claims reserve roll-forward (EUR)</t>
  </si>
  <si>
    <t xml:space="preserve">Supported catalogue only: direct references, +, -, and SUM.</t>
  </si>
  <si>
    <t xml:space="preserve">Opening reserve</t>
  </si>
  <si>
    <t xml:space="preserve">Closing claims reserve</t>
  </si>
  <si>
    <t xml:space="preserve">Expected closing reserve</t>
  </si>
  <si>
    <t xml:space="preserve">Case 4 — Controls and GL bridge (EUR)</t>
  </si>
  <si>
    <t xml:space="preserve">Converts the actuarial reserve magnitude to a signed accounting credit balance for GL reconciliation. Positive actuarial reserve magnitude becomes a negative (credit) signed accounting balance.</t>
  </si>
  <si>
    <t xml:space="preserve">Actuarial closing reserve</t>
  </si>
  <si>
    <t xml:space="preserve">Net claims reserve</t>
  </si>
  <si>
    <t xml:space="preserve">Movement during period</t>
  </si>
  <si>
    <t xml:space="preserve">Expected values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</si>
</sst>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€#,##0;[RED]&quot;(€&quot;#,##0\);\-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sz val="11"/>
      <color rgb="FF1F4E78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2E7D32"/>
      <name val="Cambria"/>
      <family val="0"/>
      <charset val="1"/>
    </font>
    <font>
      <sz val="11"/>
      <color rgb="FF000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DE9A8"/>
        <bgColor rgb="FFFFFFCC"/>
      </patternFill>
    </fill>
    <fill>
      <patternFill patternType="solid">
        <fgColor rgb="FFD9F2D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9"/>
      <rgbColor rgb="FFFDE9A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6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0" t="s">
        <v>1</v>
      </c>
    </row>
    <row r="5" customFormat="false" ht="15" hidden="false" customHeight="false" outlineLevel="0" collapsed="false">
      <c r="A5" s="0" t="s">
        <v>2</v>
      </c>
      <c r="B5" s="0" t="s">
        <v>3</v>
      </c>
    </row>
    <row r="6" customFormat="false" ht="15" hidden="false" customHeight="false" outlineLevel="0" collapsed="false">
      <c r="A6" s="0" t="s">
        <v>4</v>
      </c>
      <c r="B6" s="0" t="s">
        <v>5</v>
      </c>
    </row>
    <row r="7" customFormat="false" ht="15" hidden="false" customHeight="false" outlineLevel="0" collapsed="false">
      <c r="A7" s="0" t="s">
        <v>6</v>
      </c>
      <c r="B7" s="0" t="s">
        <v>7</v>
      </c>
    </row>
    <row r="8" customFormat="false" ht="15" hidden="false" customHeight="false" outlineLevel="0" collapsed="false">
      <c r="A8" s="0" t="s">
        <v>8</v>
      </c>
      <c r="B8" s="0" t="s">
        <v>9</v>
      </c>
    </row>
    <row r="9" customFormat="false" ht="15" hidden="false" customHeight="false" outlineLevel="0" collapsed="false">
      <c r="A9" s="0" t="s">
        <v>10</v>
      </c>
      <c r="B9" s="0" t="s">
        <v>11</v>
      </c>
    </row>
    <row r="10" customFormat="false" ht="15" hidden="false" customHeight="false" outlineLevel="0" collapsed="false">
      <c r="A10" s="0" t="s">
        <v>12</v>
      </c>
      <c r="B10" s="0" t="s">
        <v>13</v>
      </c>
    </row>
    <row r="12" customFormat="false" ht="15" hidden="false" customHeight="false" outlineLevel="0" collapsed="false">
      <c r="A12" s="0" t="s">
        <v>14</v>
      </c>
    </row>
    <row r="13" customFormat="false" ht="102.2" hidden="false" customHeight="false" outlineLevel="0" collapsed="false">
      <c r="A13" s="2" t="s">
        <v>15</v>
      </c>
    </row>
    <row r="15" customFormat="false" ht="15" hidden="false" customHeight="false" outlineLevel="0" collapsed="false">
      <c r="A15" s="0" t="s">
        <v>16</v>
      </c>
    </row>
    <row r="16" customFormat="false" ht="15" hidden="false" customHeight="false" outlineLevel="0" collapsed="false">
      <c r="A16" s="0" t="s">
        <v>17</v>
      </c>
      <c r="B16" s="0" t="s">
        <v>18</v>
      </c>
    </row>
    <row r="17" customFormat="false" ht="15" hidden="false" customHeight="false" outlineLevel="0" collapsed="false">
      <c r="A17" s="0" t="s">
        <v>19</v>
      </c>
      <c r="B17" s="0" t="s">
        <v>20</v>
      </c>
    </row>
    <row r="18" customFormat="false" ht="15" hidden="false" customHeight="false" outlineLevel="0" collapsed="false">
      <c r="A18" s="0" t="s">
        <v>21</v>
      </c>
      <c r="B18" s="0" t="s">
        <v>22</v>
      </c>
    </row>
    <row r="19" customFormat="false" ht="15" hidden="false" customHeight="false" outlineLevel="0" collapsed="false">
      <c r="A19" s="0" t="s">
        <v>23</v>
      </c>
      <c r="B19" s="0" t="s">
        <v>24</v>
      </c>
    </row>
    <row r="21" customFormat="false" ht="15" hidden="false" customHeight="false" outlineLevel="0" collapsed="false">
      <c r="A21" s="0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</cols>
  <sheetData>
    <row r="1" customFormat="false" ht="17.35" hidden="false" customHeight="false" outlineLevel="0" collapsed="false">
      <c r="A1" s="1" t="s">
        <v>26</v>
      </c>
    </row>
    <row r="2" customFormat="false" ht="15" hidden="false" customHeight="false" outlineLevel="0" collapsed="false">
      <c r="A2" s="0" t="s">
        <v>27</v>
      </c>
      <c r="B2" s="3" t="n">
        <v>1250000</v>
      </c>
    </row>
    <row r="3" customFormat="false" ht="15" hidden="false" customHeight="false" outlineLevel="0" collapsed="false">
      <c r="A3" s="0" t="s">
        <v>28</v>
      </c>
      <c r="B3" s="3" t="n">
        <v>480000</v>
      </c>
    </row>
    <row r="4" customFormat="false" ht="15" hidden="false" customHeight="false" outlineLevel="0" collapsed="false">
      <c r="A4" s="0" t="s">
        <v>29</v>
      </c>
      <c r="B4" s="3" t="n">
        <v>390000</v>
      </c>
    </row>
    <row r="5" customFormat="false" ht="15" hidden="false" customHeight="false" outlineLevel="0" collapsed="false">
      <c r="A5" s="4" t="s">
        <v>30</v>
      </c>
      <c r="B5" s="3" t="n">
        <v>85000</v>
      </c>
    </row>
    <row r="6" customFormat="false" ht="15" hidden="false" customHeight="false" outlineLevel="0" collapsed="false">
      <c r="A6" s="0" t="s">
        <v>31</v>
      </c>
      <c r="B6" s="3" t="n">
        <v>-25000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</cols>
  <sheetData>
    <row r="1" customFormat="false" ht="17.35" hidden="false" customHeight="false" outlineLevel="0" collapsed="false">
      <c r="A1" s="1" t="s">
        <v>32</v>
      </c>
    </row>
    <row r="3" customFormat="false" ht="15" hidden="false" customHeight="false" outlineLevel="0" collapsed="false">
      <c r="A3" s="0" t="s">
        <v>33</v>
      </c>
    </row>
    <row r="4" customFormat="false" ht="15" hidden="false" customHeight="false" outlineLevel="0" collapsed="false">
      <c r="A4" s="0" t="s">
        <v>34</v>
      </c>
      <c r="B4" s="5" t="n">
        <f aca="false">Inputs!B2</f>
        <v>1250000</v>
      </c>
    </row>
    <row r="5" customFormat="false" ht="15" hidden="false" customHeight="false" outlineLevel="0" collapsed="false">
      <c r="A5" s="4" t="s">
        <v>28</v>
      </c>
      <c r="B5" s="5" t="n">
        <f aca="false">Inputs!B3</f>
        <v>480000</v>
      </c>
    </row>
    <row r="6" customFormat="false" ht="15" hidden="false" customHeight="false" outlineLevel="0" collapsed="false">
      <c r="A6" s="0" t="s">
        <v>29</v>
      </c>
      <c r="B6" s="5" t="n">
        <f aca="false">-Inputs!B4</f>
        <v>-390000</v>
      </c>
    </row>
    <row r="7" customFormat="false" ht="15" hidden="false" customHeight="false" outlineLevel="0" collapsed="false">
      <c r="A7" s="0" t="s">
        <v>30</v>
      </c>
      <c r="B7" s="5" t="n">
        <f aca="false">Inputs!B5</f>
        <v>85000</v>
      </c>
    </row>
    <row r="8" customFormat="false" ht="15" hidden="false" customHeight="false" outlineLevel="0" collapsed="false">
      <c r="A8" s="0" t="s">
        <v>31</v>
      </c>
      <c r="B8" s="5" t="n">
        <f aca="false">Inputs!B6</f>
        <v>-25000</v>
      </c>
    </row>
    <row r="9" customFormat="false" ht="15" hidden="false" customHeight="false" outlineLevel="0" collapsed="false">
      <c r="A9" s="0" t="s">
        <v>35</v>
      </c>
      <c r="B9" s="6" t="n">
        <f aca="false">SUM(B4:B8)</f>
        <v>1400000</v>
      </c>
    </row>
    <row r="11" customFormat="false" ht="15" hidden="false" customHeight="false" outlineLevel="0" collapsed="false">
      <c r="A11" s="0" t="s">
        <v>36</v>
      </c>
      <c r="B11" s="7" t="n">
        <v>1400000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</cols>
  <sheetData>
    <row r="1" customFormat="false" ht="17.35" hidden="false" customHeight="false" outlineLevel="0" collapsed="false">
      <c r="A1" s="1" t="s">
        <v>37</v>
      </c>
    </row>
    <row r="2" customFormat="false" ht="68.5" hidden="false" customHeight="false" outlineLevel="0" collapsed="false">
      <c r="A2" s="2" t="s">
        <v>38</v>
      </c>
    </row>
    <row r="3" customFormat="false" ht="15" hidden="false" customHeight="false" outlineLevel="0" collapsed="false">
      <c r="A3" s="2" t="s">
        <v>39</v>
      </c>
      <c r="B3" s="5" t="n">
        <f aca="false">Rollforward!B9</f>
        <v>1400000</v>
      </c>
    </row>
    <row r="4" customFormat="false" ht="15" hidden="false" customHeight="false" outlineLevel="0" collapsed="false">
      <c r="A4" s="8" t="s">
        <v>40</v>
      </c>
      <c r="B4" s="9" t="n">
        <f aca="false">-B3</f>
        <v>-1400000</v>
      </c>
    </row>
    <row r="5" customFormat="false" ht="15" hidden="false" customHeight="false" outlineLevel="0" collapsed="false">
      <c r="A5" s="0" t="s">
        <v>41</v>
      </c>
      <c r="B5" s="5" t="n">
        <f aca="false">Rollforward!B9-Inputs!B2</f>
        <v>150000</v>
      </c>
    </row>
    <row r="7" customFormat="false" ht="15" hidden="false" customHeight="false" outlineLevel="0" collapsed="false">
      <c r="A7" s="0" t="s">
        <v>42</v>
      </c>
    </row>
    <row r="8" customFormat="false" ht="15" hidden="false" customHeight="false" outlineLevel="0" collapsed="false">
      <c r="A8" s="0" t="s">
        <v>39</v>
      </c>
      <c r="B8" s="7" t="n">
        <v>1400000</v>
      </c>
    </row>
    <row r="9" customFormat="false" ht="15" hidden="false" customHeight="false" outlineLevel="0" collapsed="false">
      <c r="A9" s="0" t="s">
        <v>40</v>
      </c>
      <c r="B9" s="7" t="n">
        <v>-1400000</v>
      </c>
    </row>
    <row r="10" customFormat="false" ht="15" hidden="false" customHeight="false" outlineLevel="0" collapsed="false">
      <c r="A10" s="0" t="s">
        <v>41</v>
      </c>
      <c r="B10" s="7" t="n">
        <v>150000</v>
      </c>
    </row>
    <row r="12" customFormat="false" ht="15" hidden="false" customHeight="false" outlineLevel="0" collapsed="false">
      <c r="A12" s="0" t="s">
        <v>16</v>
      </c>
    </row>
    <row r="13" customFormat="false" ht="15" hidden="false" customHeight="false" outlineLevel="0" collapsed="false">
      <c r="A13" s="0" t="s">
        <v>23</v>
      </c>
      <c r="B13" s="0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2026-08-27T20:57:30Z</dcterms:created>
  <dc:creator>openpyxl</dc:creator>
  <dc:description/>
  <dc:language>fr-BE</dc:language>
  <cp:lastModifiedBy/>
  <dcterms:modified xsi:type="dcterms:W3CDTF">2026-08-27T20:57:30Z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
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Qualification" sheetId="2" state="visible" r:id="rId4"/>
    <sheet name="Cross Tab" sheetId="3" state="visible" r:id="rId5"/>
    <sheet name="Errors" sheetId="4" state="visible" r:id="rId6"/>
    <sheet name="Guide" sheetId="5" state="visible" r:id="rId7"/>
  </sheets>
  <calcPr calcId="191029" calcMode="auto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<sst xmlns="http://schemas.openxmlformats.org/spreadsheetml/2006/main" count="123" uniqueCount="83">
  <si>
    <t xml:space="preserve">Synthetic formula-qualification inputs</t>
  </si>
  <si>
    <t xml:space="preserve">All values are fictional and exist only to exercise the reconstruction engine.</t>
  </si>
  <si>
    <t xml:space="preserve">Category</t>
  </si>
  <si>
    <t xml:space="preserve">Amount</t>
  </si>
  <si>
    <t xml:space="preserve">Region</t>
  </si>
  <si>
    <t xml:space="preserve">Included</t>
  </si>
  <si>
    <t xml:space="preserve">Lookup key</t>
  </si>
  <si>
    <t xml:space="preserve">Rate</t>
  </si>
  <si>
    <t xml:space="preserve">Motor</t>
  </si>
  <si>
    <t xml:space="preserve">North</t>
  </si>
  <si>
    <t xml:space="preserve">Property</t>
  </si>
  <si>
    <t xml:space="preserve">South</t>
  </si>
  <si>
    <t xml:space="preserve">Liability</t>
  </si>
  <si>
    <t xml:space="preserve">text inside numeric range</t>
  </si>
  <si>
    <t xml:space="preserve">Production-path formula acceptance cases</t>
  </si>
  <si>
    <t xml:space="preserve">Each result is recalculated by LibreOffice and independently reconstructed in Python.</t>
  </si>
  <si>
    <t xml:space="preserve">Case</t>
  </si>
  <si>
    <t xml:space="preserve">Formula result</t>
  </si>
  <si>
    <t xml:space="preserve">Expected value</t>
  </si>
  <si>
    <t xml:space="preserve">Expected state</t>
  </si>
  <si>
    <t xml:space="preserve">Purpose</t>
  </si>
  <si>
    <t xml:space="preserve">sum_mixed_range</t>
  </si>
  <si>
    <t xml:space="preserve">complete</t>
  </si>
  <si>
    <t xml:space="preserve">Blank/text ignored; zero retained</t>
  </si>
  <si>
    <t xml:space="preserve">abs_negative</t>
  </si>
  <si>
    <t xml:space="preserve">int_negative</t>
  </si>
  <si>
    <t xml:space="preserve">round_positive_half</t>
  </si>
  <si>
    <t xml:space="preserve">Excel half away from zero</t>
  </si>
  <si>
    <t xml:space="preserve">round_negative_half</t>
  </si>
  <si>
    <t xml:space="preserve">roundup_negative</t>
  </si>
  <si>
    <t xml:space="preserve">rounddown_negative</t>
  </si>
  <si>
    <t xml:space="preserve">ceiling_positive</t>
  </si>
  <si>
    <t xml:space="preserve">floor_positive</t>
  </si>
  <si>
    <t xml:space="preserve">sumif_text</t>
  </si>
  <si>
    <t xml:space="preserve">sumifs_text_region</t>
  </si>
  <si>
    <t xml:space="preserve">countif_text</t>
  </si>
  <si>
    <t xml:space="preserve">countifs_boolean</t>
  </si>
  <si>
    <t xml:space="preserve">TRUE() boolean call in a criteria function</t>
  </si>
  <si>
    <t xml:space="preserve">averageif_blank_zero</t>
  </si>
  <si>
    <t xml:space="preserve">A literal zero contributes to the denominator</t>
  </si>
  <si>
    <t xml:space="preserve">averageifs_text_region</t>
  </si>
  <si>
    <t xml:space="preserve">minifs_text</t>
  </si>
  <si>
    <t xml:space="preserve">maxifs_text</t>
  </si>
  <si>
    <t xml:space="preserve">if_true_literal</t>
  </si>
  <si>
    <t xml:space="preserve">if_false_literal</t>
  </si>
  <si>
    <t xml:space="preserve">if_true_call</t>
  </si>
  <si>
    <t xml:space="preserve">if_false_call</t>
  </si>
  <si>
    <t xml:space="preserve">vlookup_exact</t>
  </si>
  <si>
    <t xml:space="preserve">match_exact</t>
  </si>
  <si>
    <t xml:space="preserve">index_scalar</t>
  </si>
  <si>
    <t xml:space="preserve">index_match_nested</t>
  </si>
  <si>
    <t xml:space="preserve">nested_round_sumif</t>
  </si>
  <si>
    <t xml:space="preserve">cross_tab_range</t>
  </si>
  <si>
    <t xml:space="preserve">ordinary_arithmetic</t>
  </si>
  <si>
    <t xml:space="preserve">vlookup_approximate_unsupported</t>
  </si>
  <si>
    <t xml:space="preserve">partial</t>
  </si>
  <si>
    <t xml:space="preserve">Approximate lookup must fail closed</t>
  </si>
  <si>
    <t xml:space="preserve">match_approximate_unsupported</t>
  </si>
  <si>
    <t xml:space="preserve">Approximate MATCH must fail closed</t>
  </si>
  <si>
    <t xml:space="preserve">index_array_unsupported</t>
  </si>
  <si>
    <t xml:space="preserve">Array result must not be silently reduced to a scalar</t>
  </si>
  <si>
    <t xml:space="preserve">offset_unsupported</t>
  </si>
  <si>
    <t xml:space="preserve">Function outside the catalogue</t>
  </si>
  <si>
    <t xml:space="preserve">Cross-tab range inputs</t>
  </si>
  <si>
    <t xml:space="preserve">Item</t>
  </si>
  <si>
    <t xml:space="preserve">A</t>
  </si>
  <si>
    <t xml:space="preserve">B</t>
  </si>
  <si>
    <t xml:space="preserve">C</t>
  </si>
  <si>
    <t xml:space="preserve">Deliberate spreadsheet error evidence</t>
  </si>
  <si>
    <t xml:space="preserve">These errors are parser evidence, not successful reconstruction cases.</t>
  </si>
  <si>
    <t xml:space="preserve">Error type</t>
  </si>
  <si>
    <t xml:space="preserve">Formula</t>
  </si>
  <si>
    <t xml:space="preserve">Qualification evidence guide</t>
  </si>
  <si>
    <t xml:space="preserve">Scope</t>
  </si>
  <si>
    <t xml:space="preserve">Formula reconstruction only; no actuarial methodology validation or audit opinion.</t>
  </si>
  <si>
    <t xml:space="preserve">Target engine</t>
  </si>
  <si>
    <t xml:space="preserve">LibreOffice headless recalculation; Microsoft Excel compatibility is not tested.</t>
  </si>
  <si>
    <t xml:space="preserve">Generated by</t>
  </si>
  <si>
    <t xml:space="preserve">scripts/generate_qualification_workbook.py</t>
  </si>
  <si>
    <t xml:space="preserve">Recalculated by</t>
  </si>
  <si>
    <t xml:space="preserve">scripts/recalculate_with_libreoffice.sh</t>
  </si>
  <si>
    <t xml:space="preserve">Acceptance data</t>
  </si>
  <si>
    <t xml:space="preserve">tests/fixtures/qualification_expected.json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</si>
</sst>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7365D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FFF2CC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4" t="n">
        <v>10</v>
      </c>
      <c r="C4" s="4" t="s">
        <v>9</v>
      </c>
      <c r="D4" s="5" t="b">
        <f aca="false">TRUE()</f>
        <v>1</v>
      </c>
      <c r="E4" s="4" t="s">
        <v>8</v>
      </c>
      <c r="F4" s="4" t="n">
        <v>1.1</v>
      </c>
    </row>
    <row r="5" customFormat="false" ht="15" hidden="false" customHeight="false" outlineLevel="0" collapsed="false">
      <c r="A5" s="4" t="s">
        <v>10</v>
      </c>
      <c r="B5" s="4" t="n">
        <v>20</v>
      </c>
      <c r="C5" s="4" t="s">
        <v>11</v>
      </c>
      <c r="D5" s="5" t="b">
        <f aca="false">FALSE()</f>
        <v>0</v>
      </c>
      <c r="E5" s="4" t="s">
        <v>10</v>
      </c>
      <c r="F5" s="4" t="n">
        <v>1.2</v>
      </c>
    </row>
    <row r="6" customFormat="false" ht="15" hidden="false" customHeight="false" outlineLevel="0" collapsed="false">
      <c r="A6" s="4" t="s">
        <v>8</v>
      </c>
      <c r="B6" s="4" t="n">
        <v>-5</v>
      </c>
      <c r="C6" s="4" t="s">
        <v>9</v>
      </c>
      <c r="D6" s="5" t="b">
        <f aca="false">TRUE()</f>
        <v>1</v>
      </c>
      <c r="E6" s="4" t="s">
        <v>12</v>
      </c>
      <c r="F6" s="4" t="n">
        <v>1.3</v>
      </c>
    </row>
    <row r="7" customFormat="false" ht="15" hidden="false" customHeight="false" outlineLevel="0" collapsed="false">
      <c r="A7" s="4" t="s">
        <v>12</v>
      </c>
      <c r="B7" s="2"/>
      <c r="C7" s="4" t="s">
        <v>9</v>
      </c>
      <c r="D7" s="5" t="b">
        <f aca="false">FALSE()</f>
        <v>0</v>
      </c>
      <c r="E7" s="2"/>
      <c r="F7" s="2"/>
    </row>
    <row r="8" customFormat="false" ht="15" hidden="false" customHeight="false" outlineLevel="0" collapsed="false">
      <c r="A8" s="4" t="s">
        <v>8</v>
      </c>
      <c r="B8" s="4" t="n">
        <v>0</v>
      </c>
      <c r="C8" s="4" t="s">
        <v>11</v>
      </c>
      <c r="D8" s="5" t="b">
        <f aca="false">TRUE()</f>
        <v>1</v>
      </c>
      <c r="E8" s="2"/>
      <c r="F8" s="2"/>
    </row>
    <row r="9" customFormat="false" ht="15" hidden="false" customHeight="false" outlineLevel="0" collapsed="false">
      <c r="A9" s="2"/>
      <c r="B9" s="4" t="s">
        <v>13</v>
      </c>
      <c r="C9" s="2"/>
      <c r="D9" s="2"/>
      <c r="E9" s="2"/>
      <c r="F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14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</row>
    <row r="4" customFormat="false" ht="15" hidden="false" customHeight="false" outlineLevel="0" collapsed="false">
      <c r="A4" s="2" t="s">
        <v>21</v>
      </c>
      <c r="B4" s="6" t="n">
        <f aca="false">SUM(Inputs!$B$4:$B$8)</f>
        <v>25</v>
      </c>
      <c r="C4" s="6" t="n">
        <v>25</v>
      </c>
      <c r="D4" s="7" t="s">
        <v>22</v>
      </c>
      <c r="E4" s="2" t="s">
        <v>23</v>
      </c>
    </row>
    <row r="5" customFormat="false" ht="15" hidden="false" customHeight="false" outlineLevel="0" collapsed="false">
      <c r="A5" s="2" t="s">
        <v>24</v>
      </c>
      <c r="B5" s="6" t="n">
        <f aca="false">ABS(Inputs!$B$6)</f>
        <v>5</v>
      </c>
      <c r="C5" s="6" t="n">
        <v>5</v>
      </c>
      <c r="D5" s="7" t="s">
        <v>22</v>
      </c>
      <c r="E5" s="2"/>
    </row>
    <row r="6" customFormat="false" ht="15" hidden="false" customHeight="false" outlineLevel="0" collapsed="false">
      <c r="A6" s="2" t="s">
        <v>25</v>
      </c>
      <c r="B6" s="6" t="n">
        <f aca="false">INT(-1.2)</f>
        <v>-2</v>
      </c>
      <c r="C6" s="6" t="n">
        <v>-2</v>
      </c>
      <c r="D6" s="7" t="s">
        <v>22</v>
      </c>
      <c r="E6" s="2"/>
    </row>
    <row r="7" customFormat="false" ht="15" hidden="false" customHeight="false" outlineLevel="0" collapsed="false">
      <c r="A7" s="2" t="s">
        <v>26</v>
      </c>
      <c r="B7" s="6" t="n">
        <f aca="false">ROUND(2.5,0)</f>
        <v>3</v>
      </c>
      <c r="C7" s="6" t="n">
        <v>3</v>
      </c>
      <c r="D7" s="7" t="s">
        <v>22</v>
      </c>
      <c r="E7" s="2" t="s">
        <v>27</v>
      </c>
    </row>
    <row r="8" customFormat="false" ht="15" hidden="false" customHeight="false" outlineLevel="0" collapsed="false">
      <c r="A8" s="2" t="s">
        <v>28</v>
      </c>
      <c r="B8" s="6" t="n">
        <f aca="false">ROUND(-2.5,0)</f>
        <v>-3</v>
      </c>
      <c r="C8" s="6" t="n">
        <v>-3</v>
      </c>
      <c r="D8" s="7" t="s">
        <v>22</v>
      </c>
      <c r="E8" s="2" t="s">
        <v>27</v>
      </c>
    </row>
    <row r="9" customFormat="false" ht="15" hidden="false" customHeight="false" outlineLevel="0" collapsed="false">
      <c r="A9" s="2" t="s">
        <v>29</v>
      </c>
      <c r="B9" s="6" t="n">
        <f aca="false">ROUNDUP(-1.21,1)</f>
        <v>-1.3</v>
      </c>
      <c r="C9" s="6" t="n">
        <v>-1.3</v>
      </c>
      <c r="D9" s="7" t="s">
        <v>22</v>
      </c>
      <c r="E9" s="2"/>
    </row>
    <row r="10" customFormat="false" ht="15" hidden="false" customHeight="false" outlineLevel="0" collapsed="false">
      <c r="A10" s="2" t="s">
        <v>30</v>
      </c>
      <c r="B10" s="6" t="n">
        <f aca="false">ROUNDDOWN(-1.29,1)</f>
        <v>-1.2</v>
      </c>
      <c r="C10" s="6" t="n">
        <v>-1.2</v>
      </c>
      <c r="D10" s="7" t="s">
        <v>22</v>
      </c>
      <c r="E10" s="2"/>
    </row>
    <row r="11" customFormat="false" ht="15" hidden="false" customHeight="false" outlineLevel="0" collapsed="false">
      <c r="A11" s="2" t="s">
        <v>31</v>
      </c>
      <c r="B11" s="6" t="n">
        <f aca="false">CEILING(2.1,0.5)</f>
        <v>2.5</v>
      </c>
      <c r="C11" s="6" t="n">
        <v>2.5</v>
      </c>
      <c r="D11" s="7" t="s">
        <v>22</v>
      </c>
      <c r="E11" s="2"/>
    </row>
    <row r="12" customFormat="false" ht="15" hidden="false" customHeight="false" outlineLevel="0" collapsed="false">
      <c r="A12" s="2" t="s">
        <v>32</v>
      </c>
      <c r="B12" s="6" t="n">
        <f aca="false">FLOOR(2.9,0.5)</f>
        <v>2.5</v>
      </c>
      <c r="C12" s="6" t="n">
        <v>2.5</v>
      </c>
      <c r="D12" s="7" t="s">
        <v>22</v>
      </c>
      <c r="E12" s="2"/>
    </row>
    <row r="13" customFormat="false" ht="15" hidden="false" customHeight="false" outlineLevel="0" collapsed="false">
      <c r="A13" s="2" t="s">
        <v>33</v>
      </c>
      <c r="B13" s="6" t="n">
        <f aca="false">SUMIF(Inputs!$A$4:$A$8,"Motor",Inputs!$B$4:$B$8)</f>
        <v>5</v>
      </c>
      <c r="C13" s="6" t="n">
        <v>5</v>
      </c>
      <c r="D13" s="7" t="s">
        <v>22</v>
      </c>
      <c r="E13" s="2"/>
    </row>
    <row r="14" customFormat="false" ht="15" hidden="false" customHeight="false" outlineLevel="0" collapsed="false">
      <c r="A14" s="2" t="s">
        <v>34</v>
      </c>
      <c r="B14" s="6" t="n">
        <f aca="false">SUMIFS(Inputs!$B$4:$B$8,Inputs!$A$4:$A$8,"Motor",Inputs!$C$4:$C$8,"North")</f>
        <v>5</v>
      </c>
      <c r="C14" s="6" t="n">
        <v>5</v>
      </c>
      <c r="D14" s="7" t="s">
        <v>22</v>
      </c>
      <c r="E14" s="2"/>
    </row>
    <row r="15" customFormat="false" ht="15" hidden="false" customHeight="false" outlineLevel="0" collapsed="false">
      <c r="A15" s="2" t="s">
        <v>35</v>
      </c>
      <c r="B15" s="6" t="n">
        <f aca="false">COUNTIF(Inputs!$A$4:$A$8,"Motor")</f>
        <v>3</v>
      </c>
      <c r="C15" s="6" t="n">
        <v>3</v>
      </c>
      <c r="D15" s="7" t="s">
        <v>22</v>
      </c>
      <c r="E15" s="2"/>
    </row>
    <row r="16" customFormat="false" ht="15" hidden="false" customHeight="false" outlineLevel="0" collapsed="false">
      <c r="A16" s="2" t="s">
        <v>36</v>
      </c>
      <c r="B16" s="6" t="n">
        <f aca="false">COUNTIFS(Inputs!$A$4:$A$8,"Motor",Inputs!$D$4:$D$8,TRUE())</f>
        <v>3</v>
      </c>
      <c r="C16" s="6" t="n">
        <v>3</v>
      </c>
      <c r="D16" s="7" t="s">
        <v>22</v>
      </c>
      <c r="E16" s="2" t="s">
        <v>37</v>
      </c>
    </row>
    <row r="17" customFormat="false" ht="15" hidden="false" customHeight="false" outlineLevel="0" collapsed="false">
      <c r="A17" s="2" t="s">
        <v>38</v>
      </c>
      <c r="B17" s="6" t="n">
        <f aca="false">AVERAGEIF(Inputs!$A$4:$A$8,"Motor",Inputs!$B$4:$B$8)</f>
        <v>1.66666666666667</v>
      </c>
      <c r="C17" s="6" t="n">
        <v>1.66666666666667</v>
      </c>
      <c r="D17" s="7" t="s">
        <v>22</v>
      </c>
      <c r="E17" s="2" t="s">
        <v>39</v>
      </c>
    </row>
    <row r="18" customFormat="false" ht="15" hidden="false" customHeight="false" outlineLevel="0" collapsed="false">
      <c r="A18" s="2" t="s">
        <v>40</v>
      </c>
      <c r="B18" s="6" t="n">
        <f aca="false">AVERAGEIFS(Inputs!$B$4:$B$8,Inputs!$A$4:$A$8,"Motor",Inputs!$C$4:$C$8,"North")</f>
        <v>2.5</v>
      </c>
      <c r="C18" s="6" t="n">
        <v>2.5</v>
      </c>
      <c r="D18" s="7" t="s">
        <v>22</v>
      </c>
      <c r="E18" s="2"/>
    </row>
    <row r="19" customFormat="false" ht="15" hidden="false" customHeight="false" outlineLevel="0" collapsed="false">
      <c r="A19" s="2" t="s">
        <v>41</v>
      </c>
      <c r="B19" s="6" t="n">
        <f aca="false">_xlfn.MINIFS(Inputs!$B$4:$B$8,Inputs!$A$4:$A$8,"Motor")</f>
        <v>-5</v>
      </c>
      <c r="C19" s="6" t="n">
        <v>-5</v>
      </c>
      <c r="D19" s="7" t="s">
        <v>22</v>
      </c>
      <c r="E19" s="2"/>
    </row>
    <row r="20" customFormat="false" ht="15" hidden="false" customHeight="false" outlineLevel="0" collapsed="false">
      <c r="A20" s="2" t="s">
        <v>42</v>
      </c>
      <c r="B20" s="6" t="n">
        <f aca="false">_xlfn.MAXIFS(Inputs!$B$4:$B$8,Inputs!$A$4:$A$8,"Motor")</f>
        <v>10</v>
      </c>
      <c r="C20" s="6" t="n">
        <v>10</v>
      </c>
      <c r="D20" s="7" t="s">
        <v>22</v>
      </c>
      <c r="E20" s="2"/>
    </row>
    <row r="21" customFormat="false" ht="15" hidden="false" customHeight="false" outlineLevel="0" collapsed="false">
      <c r="A21" s="2" t="s">
        <v>43</v>
      </c>
      <c r="B21" s="6" t="n">
        <f aca="false">IF(TRUE(),11,22)</f>
        <v>11</v>
      </c>
      <c r="C21" s="6" t="n">
        <v>11</v>
      </c>
      <c r="D21" s="7" t="s">
        <v>22</v>
      </c>
      <c r="E21" s="2"/>
    </row>
    <row r="22" customFormat="false" ht="15" hidden="false" customHeight="false" outlineLevel="0" collapsed="false">
      <c r="A22" s="2" t="s">
        <v>44</v>
      </c>
      <c r="B22" s="6" t="n">
        <f aca="false">IF(FALSE(),11,22)</f>
        <v>22</v>
      </c>
      <c r="C22" s="6" t="n">
        <v>22</v>
      </c>
      <c r="D22" s="7" t="s">
        <v>22</v>
      </c>
      <c r="E22" s="2"/>
    </row>
    <row r="23" customFormat="false" ht="15" hidden="false" customHeight="false" outlineLevel="0" collapsed="false">
      <c r="A23" s="2" t="s">
        <v>45</v>
      </c>
      <c r="B23" s="6" t="n">
        <f aca="false">IF(TRUE(),11,22)</f>
        <v>11</v>
      </c>
      <c r="C23" s="6" t="n">
        <v>11</v>
      </c>
      <c r="D23" s="7" t="s">
        <v>22</v>
      </c>
      <c r="E23" s="2"/>
    </row>
    <row r="24" customFormat="false" ht="15" hidden="false" customHeight="false" outlineLevel="0" collapsed="false">
      <c r="A24" s="2" t="s">
        <v>46</v>
      </c>
      <c r="B24" s="6" t="n">
        <f aca="false">IF(FALSE(),11,22)</f>
        <v>22</v>
      </c>
      <c r="C24" s="6" t="n">
        <v>22</v>
      </c>
      <c r="D24" s="7" t="s">
        <v>22</v>
      </c>
      <c r="E24" s="2"/>
    </row>
    <row r="25" customFormat="false" ht="15" hidden="false" customHeight="false" outlineLevel="0" collapsed="false">
      <c r="A25" s="2" t="s">
        <v>47</v>
      </c>
      <c r="B25" s="6" t="n">
        <f aca="false">VLOOKUP("Property",Inputs!$E$4:$F$6,2,FALSE())</f>
        <v>1.2</v>
      </c>
      <c r="C25" s="6" t="n">
        <v>1.2</v>
      </c>
      <c r="D25" s="7" t="s">
        <v>22</v>
      </c>
      <c r="E25" s="2"/>
    </row>
    <row r="26" customFormat="false" ht="15" hidden="false" customHeight="false" outlineLevel="0" collapsed="false">
      <c r="A26" s="2" t="s">
        <v>48</v>
      </c>
      <c r="B26" s="6" t="n">
        <f aca="false">MATCH("Liability",Inputs!$E$4:$E$6,0)</f>
        <v>3</v>
      </c>
      <c r="C26" s="6" t="n">
        <v>3</v>
      </c>
      <c r="D26" s="7" t="s">
        <v>22</v>
      </c>
      <c r="E26" s="2"/>
    </row>
    <row r="27" customFormat="false" ht="15" hidden="false" customHeight="false" outlineLevel="0" collapsed="false">
      <c r="A27" s="2" t="s">
        <v>49</v>
      </c>
      <c r="B27" s="6" t="n">
        <f aca="false">INDEX(Inputs!$F$4:$F$6,2)</f>
        <v>1.2</v>
      </c>
      <c r="C27" s="6" t="n">
        <v>1.2</v>
      </c>
      <c r="D27" s="7" t="s">
        <v>22</v>
      </c>
      <c r="E27" s="2"/>
    </row>
    <row r="28" customFormat="false" ht="15" hidden="false" customHeight="false" outlineLevel="0" collapsed="false">
      <c r="A28" s="2" t="s">
        <v>50</v>
      </c>
      <c r="B28" s="6" t="n">
        <f aca="false">INDEX(Inputs!$F$4:$F$6,MATCH("Liability",Inputs!$E$4:$E$6,0))</f>
        <v>1.3</v>
      </c>
      <c r="C28" s="6" t="n">
        <v>1.3</v>
      </c>
      <c r="D28" s="7" t="s">
        <v>22</v>
      </c>
      <c r="E28" s="2"/>
    </row>
    <row r="29" customFormat="false" ht="15" hidden="false" customHeight="false" outlineLevel="0" collapsed="false">
      <c r="A29" s="2" t="s">
        <v>51</v>
      </c>
      <c r="B29" s="6" t="n">
        <f aca="false">ROUND(SUMIF(Inputs!$A$4:$A$8,"Motor",Inputs!$B$4:$B$8),2)</f>
        <v>5</v>
      </c>
      <c r="C29" s="6" t="n">
        <v>5</v>
      </c>
      <c r="D29" s="7" t="s">
        <v>22</v>
      </c>
      <c r="E29" s="2"/>
    </row>
    <row r="30" customFormat="false" ht="15" hidden="false" customHeight="false" outlineLevel="0" collapsed="false">
      <c r="A30" s="2" t="s">
        <v>52</v>
      </c>
      <c r="B30" s="6" t="n">
        <f aca="false">SUM('Cross Tab'!$B$3:$B$5)</f>
        <v>20</v>
      </c>
      <c r="C30" s="6" t="n">
        <v>20</v>
      </c>
      <c r="D30" s="7" t="s">
        <v>22</v>
      </c>
      <c r="E30" s="2"/>
    </row>
    <row r="31" customFormat="false" ht="15" hidden="false" customHeight="false" outlineLevel="0" collapsed="false">
      <c r="A31" s="2" t="s">
        <v>53</v>
      </c>
      <c r="B31" s="6" t="n">
        <f aca="false">(Inputs!$B$4+Inputs!$B$5)*2/3</f>
        <v>20</v>
      </c>
      <c r="C31" s="6" t="n">
        <v>20</v>
      </c>
      <c r="D31" s="7" t="s">
        <v>22</v>
      </c>
      <c r="E31" s="2"/>
    </row>
    <row r="32" customFormat="false" ht="15" hidden="false" customHeight="false" outlineLevel="0" collapsed="false">
      <c r="A32" s="2" t="s">
        <v>54</v>
      </c>
      <c r="B32" s="6" t="n">
        <f aca="false">VLOOKUP("Property",Inputs!$E$4:$F$6,2,TRUE())</f>
        <v>1.2</v>
      </c>
      <c r="C32" s="6"/>
      <c r="D32" s="8" t="s">
        <v>55</v>
      </c>
      <c r="E32" s="2" t="s">
        <v>56</v>
      </c>
    </row>
    <row r="33" customFormat="false" ht="15" hidden="false" customHeight="false" outlineLevel="0" collapsed="false">
      <c r="A33" s="2" t="s">
        <v>57</v>
      </c>
      <c r="B33" s="6" t="n">
        <f aca="false">MATCH("Property",Inputs!$E$4:$E$6,1)</f>
        <v>2</v>
      </c>
      <c r="C33" s="6"/>
      <c r="D33" s="8" t="s">
        <v>55</v>
      </c>
      <c r="E33" s="2" t="s">
        <v>58</v>
      </c>
    </row>
    <row r="34" customFormat="false" ht="15" hidden="false" customHeight="false" outlineLevel="0" collapsed="false">
      <c r="A34" s="2" t="s">
        <v>59</v>
      </c>
      <c r="B34" s="6" t="e">
        <f aca="false">INDEX(Inputs!$B$4:$B$8,0)</f>
        <v>#VALUE!</v>
      </c>
      <c r="C34" s="6"/>
      <c r="D34" s="8" t="s">
        <v>55</v>
      </c>
      <c r="E34" s="2" t="s">
        <v>60</v>
      </c>
    </row>
    <row r="35" customFormat="false" ht="15" hidden="false" customHeight="false" outlineLevel="0" collapsed="false">
      <c r="A35" s="2" t="s">
        <v>61</v>
      </c>
      <c r="B35" s="6" t="n">
        <f aca="true">OFFSET(Inputs!$B$4,1,0)</f>
        <v>20</v>
      </c>
      <c r="C35" s="6"/>
      <c r="D35" s="8" t="s">
        <v>55</v>
      </c>
      <c r="E35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63</v>
      </c>
      <c r="B1" s="2"/>
    </row>
    <row r="2" customFormat="false" ht="15" hidden="false" customHeight="false" outlineLevel="0" collapsed="false">
      <c r="A2" s="3" t="s">
        <v>64</v>
      </c>
      <c r="B2" s="3" t="s">
        <v>3</v>
      </c>
    </row>
    <row r="3" customFormat="false" ht="15" hidden="false" customHeight="false" outlineLevel="0" collapsed="false">
      <c r="A3" s="2" t="s">
        <v>65</v>
      </c>
      <c r="B3" s="2" t="n">
        <v>4</v>
      </c>
    </row>
    <row r="4" customFormat="false" ht="15" hidden="false" customHeight="false" outlineLevel="0" collapsed="false">
      <c r="A4" s="2" t="s">
        <v>66</v>
      </c>
      <c r="B4" s="2" t="n">
        <v>6</v>
      </c>
    </row>
    <row r="5" customFormat="false" ht="15" hidden="false" customHeight="false" outlineLevel="0" collapsed="false">
      <c r="A5" s="2" t="s">
        <v>67</v>
      </c>
      <c r="B5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68</v>
      </c>
      <c r="B1" s="2"/>
    </row>
    <row r="2" customFormat="false" ht="15" hidden="false" customHeight="false" outlineLevel="0" collapsed="false">
      <c r="A2" s="2" t="s">
        <v>69</v>
      </c>
      <c r="B2" s="2"/>
    </row>
    <row r="3" customFormat="false" ht="15" hidden="false" customHeight="false" outlineLevel="0" collapsed="false">
      <c r="A3" s="3" t="s">
        <v>70</v>
      </c>
      <c r="B3" s="3" t="s">
        <v>71</v>
      </c>
    </row>
    <row r="4" customFormat="false" ht="15" hidden="false" customHeight="false" outlineLevel="0" collapsed="false">
      <c r="A4" s="2" t="e">
        <f aca="false">#N/A</f>
        <v>#N/A</v>
      </c>
      <c r="B4" s="2" t="e">
        <f aca="false">NA()</f>
        <v>#N/A</v>
      </c>
    </row>
    <row r="5" customFormat="false" ht="15" hidden="false" customHeight="false" outlineLevel="0" collapsed="false">
      <c r="A5" s="2" t="e">
        <f aca="false">#VALUE!</f>
        <v>#VALUE!</v>
      </c>
      <c r="B5" s="2" t="e">
        <f aca="false">1+"text"</f>
        <v>#VALUE!</v>
      </c>
    </row>
    <row r="6" customFormat="false" ht="15" hidden="false" customHeight="false" outlineLevel="0" collapsed="false">
      <c r="A6" s="2" t="e">
        <f aca="false">#DIV/0!</f>
        <v>#DIV/0!</v>
      </c>
      <c r="B6" s="2" t="e">
        <f aca="false">1/0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72</v>
      </c>
      <c r="B1" s="2"/>
    </row>
    <row r="2" customFormat="false" ht="15" hidden="false" customHeight="false" outlineLevel="0" collapsed="false">
      <c r="A2" s="2" t="s">
        <v>73</v>
      </c>
      <c r="B2" s="2" t="s">
        <v>74</v>
      </c>
    </row>
    <row r="3" customFormat="false" ht="15" hidden="false" customHeight="false" outlineLevel="0" collapsed="false">
      <c r="A3" s="2" t="s">
        <v>75</v>
      </c>
      <c r="B3" s="2" t="s">
        <v>76</v>
      </c>
    </row>
    <row r="4" customFormat="false" ht="15" hidden="false" customHeight="false" outlineLevel="0" collapsed="false">
      <c r="A4" s="2" t="s">
        <v>77</v>
      </c>
      <c r="B4" s="2" t="s">
        <v>78</v>
      </c>
    </row>
    <row r="5" customFormat="false" ht="15" hidden="false" customHeight="false" outlineLevel="0" collapsed="false">
      <c r="A5" s="2" t="s">
        <v>79</v>
      </c>
      <c r="B5" s="2" t="s">
        <v>80</v>
      </c>
    </row>
    <row r="6" customFormat="false" ht="15" hidden="false" customHeight="false" outlineLevel="0" collapsed="false">
      <c r="A6" s="2" t="s">
        <v>81</v>
      </c>
      <c r="B6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2026-09-14T13:49:58Z</dcterms:created>
  <dc:creator>openpyxl</dc:creator>
  <dc:description/>
  <dc:language>fr-BE</dc:language>
  <cp:lastModifiedBy/>
  <dcterms:modified xsi:type="dcterms:W3CDTF">2026-09-14T13:49:58Z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
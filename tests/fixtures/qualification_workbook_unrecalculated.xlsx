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ualification" sheetId="2" state="visible" r:id="rId2"/>
    <sheet xmlns:r="http://schemas.openxmlformats.org/officeDocument/2006/relationships" name="Cross Tab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Guid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7365D"/>
      <sz val="14"/>
    </font>
    <font>
      <name val="Arial"/>
      <b val="1"/>
      <color rgb="0017365D"/>
      <sz val="10"/>
    </font>
    <font>
      <name val="Arial"/>
      <family val="2"/>
      <color theme="1"/>
      <sz val="10"/>
      <scheme val="minor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8" customWidth="1" min="4" max="4"/>
    <col width="68" customWidth="1" min="5" max="5"/>
    <col width="14" customWidth="1" min="6" max="6"/>
  </cols>
  <sheetData>
    <row r="1" ht="24" customHeight="1">
      <c r="A1" s="1" t="inlineStr">
        <is>
          <t>Synthetic formula-qualification inputs</t>
        </is>
      </c>
      <c r="B1" s="2" t="n"/>
      <c r="C1" s="2" t="n"/>
      <c r="D1" s="2" t="n"/>
      <c r="E1" s="2" t="n"/>
      <c r="F1" s="2" t="n"/>
    </row>
    <row r="2">
      <c r="A2" s="2" t="inlineStr">
        <is>
          <t>All values are fictional and exist only to exercise the reconstruction engine.</t>
        </is>
      </c>
      <c r="B2" s="2" t="n"/>
      <c r="C2" s="2" t="n"/>
      <c r="D2" s="2" t="n"/>
      <c r="E2" s="2" t="n"/>
      <c r="F2" s="2" t="n"/>
    </row>
    <row r="3">
      <c r="A3" s="3" t="inlineStr">
        <is>
          <t>Category</t>
        </is>
      </c>
      <c r="B3" s="3" t="inlineStr">
        <is>
          <t>Amount</t>
        </is>
      </c>
      <c r="C3" s="3" t="inlineStr">
        <is>
          <t>Region</t>
        </is>
      </c>
      <c r="D3" s="3" t="inlineStr">
        <is>
          <t>Included</t>
        </is>
      </c>
      <c r="E3" s="3" t="inlineStr">
        <is>
          <t>Lookup key</t>
        </is>
      </c>
      <c r="F3" s="3" t="inlineStr">
        <is>
          <t>Rate</t>
        </is>
      </c>
    </row>
    <row r="4">
      <c r="A4" s="4" t="inlineStr">
        <is>
          <t>Motor</t>
        </is>
      </c>
      <c r="B4" s="4" t="n">
        <v>10</v>
      </c>
      <c r="C4" s="4" t="inlineStr">
        <is>
          <t>North</t>
        </is>
      </c>
      <c r="D4" s="4" t="b">
        <v>1</v>
      </c>
      <c r="E4" s="4" t="inlineStr">
        <is>
          <t>Motor</t>
        </is>
      </c>
      <c r="F4" s="4" t="n">
        <v>1.1</v>
      </c>
    </row>
    <row r="5">
      <c r="A5" s="4" t="inlineStr">
        <is>
          <t>Property</t>
        </is>
      </c>
      <c r="B5" s="4" t="n">
        <v>20</v>
      </c>
      <c r="C5" s="4" t="inlineStr">
        <is>
          <t>South</t>
        </is>
      </c>
      <c r="D5" s="4" t="b">
        <v>0</v>
      </c>
      <c r="E5" s="4" t="inlineStr">
        <is>
          <t>Property</t>
        </is>
      </c>
      <c r="F5" s="4" t="n">
        <v>1.2</v>
      </c>
    </row>
    <row r="6">
      <c r="A6" s="4" t="inlineStr">
        <is>
          <t>Motor</t>
        </is>
      </c>
      <c r="B6" s="4" t="n">
        <v>-5</v>
      </c>
      <c r="C6" s="4" t="inlineStr">
        <is>
          <t>North</t>
        </is>
      </c>
      <c r="D6" s="4" t="b">
        <v>1</v>
      </c>
      <c r="E6" s="4" t="inlineStr">
        <is>
          <t>Liability</t>
        </is>
      </c>
      <c r="F6" s="4" t="n">
        <v>1.3</v>
      </c>
    </row>
    <row r="7">
      <c r="A7" s="4" t="inlineStr">
        <is>
          <t>Liability</t>
        </is>
      </c>
      <c r="B7" s="2" t="n"/>
      <c r="C7" s="4" t="inlineStr">
        <is>
          <t>North</t>
        </is>
      </c>
      <c r="D7" s="4" t="b">
        <v>0</v>
      </c>
      <c r="E7" s="2" t="n"/>
      <c r="F7" s="2" t="n"/>
    </row>
    <row r="8">
      <c r="A8" s="4" t="inlineStr">
        <is>
          <t>Motor</t>
        </is>
      </c>
      <c r="B8" s="4" t="n">
        <v>0</v>
      </c>
      <c r="C8" s="4" t="inlineStr">
        <is>
          <t>South</t>
        </is>
      </c>
      <c r="D8" s="4" t="b">
        <v>1</v>
      </c>
      <c r="E8" s="2" t="n"/>
      <c r="F8" s="2" t="n"/>
    </row>
    <row r="9">
      <c r="A9" s="2" t="n"/>
      <c r="B9" s="4" t="inlineStr">
        <is>
          <t>text inside numeric range</t>
        </is>
      </c>
      <c r="C9" s="2" t="n"/>
      <c r="D9" s="2" t="n"/>
      <c r="E9" s="2" t="n"/>
      <c r="F9" s="2" t="n"/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18" customWidth="1" min="3" max="3"/>
    <col width="18" customWidth="1" min="4" max="4"/>
    <col width="68" customWidth="1" min="5" max="5"/>
    <col width="14" customWidth="1" min="6" max="6"/>
  </cols>
  <sheetData>
    <row r="1" ht="24" customHeight="1">
      <c r="A1" s="1" t="inlineStr">
        <is>
          <t>Production-path formula acceptance cases</t>
        </is>
      </c>
      <c r="B1" s="2" t="n"/>
      <c r="C1" s="2" t="n"/>
      <c r="D1" s="2" t="n"/>
      <c r="E1" s="2" t="n"/>
    </row>
    <row r="2">
      <c r="A2" s="2" t="inlineStr">
        <is>
          <t>Each result is recalculated by LibreOffice and independently reconstructed in Python.</t>
        </is>
      </c>
      <c r="B2" s="2" t="n"/>
      <c r="C2" s="2" t="n"/>
      <c r="D2" s="2" t="n"/>
      <c r="E2" s="2" t="n"/>
    </row>
    <row r="3">
      <c r="A3" s="3" t="inlineStr">
        <is>
          <t>Case</t>
        </is>
      </c>
      <c r="B3" s="3" t="inlineStr">
        <is>
          <t>Formula result</t>
        </is>
      </c>
      <c r="C3" s="3" t="inlineStr">
        <is>
          <t>Expected value</t>
        </is>
      </c>
      <c r="D3" s="3" t="inlineStr">
        <is>
          <t>Expected state</t>
        </is>
      </c>
      <c r="E3" s="3" t="inlineStr">
        <is>
          <t>Purpose</t>
        </is>
      </c>
    </row>
    <row r="4">
      <c r="A4" s="2" t="inlineStr">
        <is>
          <t>sum_mixed_range</t>
        </is>
      </c>
      <c r="B4" s="5">
        <f>SUM(Inputs!$B$4:$B$8)</f>
        <v/>
      </c>
      <c r="C4" s="5" t="n">
        <v>25</v>
      </c>
      <c r="D4" s="6" t="inlineStr">
        <is>
          <t>complete</t>
        </is>
      </c>
      <c r="E4" s="2" t="inlineStr">
        <is>
          <t>Blank/text ignored; zero retained</t>
        </is>
      </c>
    </row>
    <row r="5">
      <c r="A5" s="2" t="inlineStr">
        <is>
          <t>abs_negative</t>
        </is>
      </c>
      <c r="B5" s="5">
        <f>ABS(Inputs!$B$6)</f>
        <v/>
      </c>
      <c r="C5" s="5" t="n">
        <v>5</v>
      </c>
      <c r="D5" s="6" t="inlineStr">
        <is>
          <t>complete</t>
        </is>
      </c>
      <c r="E5" s="2" t="inlineStr"/>
    </row>
    <row r="6">
      <c r="A6" s="2" t="inlineStr">
        <is>
          <t>int_negative</t>
        </is>
      </c>
      <c r="B6" s="5">
        <f>INT(-1.2)</f>
        <v/>
      </c>
      <c r="C6" s="5" t="n">
        <v>-2</v>
      </c>
      <c r="D6" s="6" t="inlineStr">
        <is>
          <t>complete</t>
        </is>
      </c>
      <c r="E6" s="2" t="inlineStr"/>
    </row>
    <row r="7">
      <c r="A7" s="2" t="inlineStr">
        <is>
          <t>round_positive_half</t>
        </is>
      </c>
      <c r="B7" s="5">
        <f>ROUND(2.5,0)</f>
        <v/>
      </c>
      <c r="C7" s="5" t="n">
        <v>3</v>
      </c>
      <c r="D7" s="6" t="inlineStr">
        <is>
          <t>complete</t>
        </is>
      </c>
      <c r="E7" s="2" t="inlineStr">
        <is>
          <t>Excel half away from zero</t>
        </is>
      </c>
    </row>
    <row r="8">
      <c r="A8" s="2" t="inlineStr">
        <is>
          <t>round_negative_half</t>
        </is>
      </c>
      <c r="B8" s="5">
        <f>ROUND(-2.5,0)</f>
        <v/>
      </c>
      <c r="C8" s="5" t="n">
        <v>-3</v>
      </c>
      <c r="D8" s="6" t="inlineStr">
        <is>
          <t>complete</t>
        </is>
      </c>
      <c r="E8" s="2" t="inlineStr">
        <is>
          <t>Excel half away from zero</t>
        </is>
      </c>
    </row>
    <row r="9">
      <c r="A9" s="2" t="inlineStr">
        <is>
          <t>roundup_negative</t>
        </is>
      </c>
      <c r="B9" s="5">
        <f>ROUNDUP(-1.21,1)</f>
        <v/>
      </c>
      <c r="C9" s="5" t="n">
        <v>-1.3</v>
      </c>
      <c r="D9" s="6" t="inlineStr">
        <is>
          <t>complete</t>
        </is>
      </c>
      <c r="E9" s="2" t="inlineStr"/>
    </row>
    <row r="10">
      <c r="A10" s="2" t="inlineStr">
        <is>
          <t>rounddown_negative</t>
        </is>
      </c>
      <c r="B10" s="5">
        <f>ROUNDDOWN(-1.29,1)</f>
        <v/>
      </c>
      <c r="C10" s="5" t="n">
        <v>-1.2</v>
      </c>
      <c r="D10" s="6" t="inlineStr">
        <is>
          <t>complete</t>
        </is>
      </c>
      <c r="E10" s="2" t="inlineStr"/>
    </row>
    <row r="11">
      <c r="A11" s="2" t="inlineStr">
        <is>
          <t>ceiling_positive</t>
        </is>
      </c>
      <c r="B11" s="5">
        <f>CEILING(2.1,0.5)</f>
        <v/>
      </c>
      <c r="C11" s="5" t="n">
        <v>2.5</v>
      </c>
      <c r="D11" s="6" t="inlineStr">
        <is>
          <t>complete</t>
        </is>
      </c>
      <c r="E11" s="2" t="inlineStr"/>
    </row>
    <row r="12">
      <c r="A12" s="2" t="inlineStr">
        <is>
          <t>floor_positive</t>
        </is>
      </c>
      <c r="B12" s="5">
        <f>FLOOR(2.9,0.5)</f>
        <v/>
      </c>
      <c r="C12" s="5" t="n">
        <v>2.5</v>
      </c>
      <c r="D12" s="6" t="inlineStr">
        <is>
          <t>complete</t>
        </is>
      </c>
      <c r="E12" s="2" t="inlineStr"/>
    </row>
    <row r="13">
      <c r="A13" s="2" t="inlineStr">
        <is>
          <t>sumif_text</t>
        </is>
      </c>
      <c r="B13" s="5">
        <f>SUMIF(Inputs!$A$4:$A$8,"Motor",Inputs!$B$4:$B$8)</f>
        <v/>
      </c>
      <c r="C13" s="5" t="n">
        <v>5</v>
      </c>
      <c r="D13" s="6" t="inlineStr">
        <is>
          <t>complete</t>
        </is>
      </c>
      <c r="E13" s="2" t="inlineStr"/>
    </row>
    <row r="14">
      <c r="A14" s="2" t="inlineStr">
        <is>
          <t>sumifs_text_region</t>
        </is>
      </c>
      <c r="B14" s="5">
        <f>SUMIFS(Inputs!$B$4:$B$8,Inputs!$A$4:$A$8,"Motor",Inputs!$C$4:$C$8,"North")</f>
        <v/>
      </c>
      <c r="C14" s="5" t="n">
        <v>5</v>
      </c>
      <c r="D14" s="6" t="inlineStr">
        <is>
          <t>complete</t>
        </is>
      </c>
      <c r="E14" s="2" t="inlineStr"/>
    </row>
    <row r="15">
      <c r="A15" s="2" t="inlineStr">
        <is>
          <t>countif_text</t>
        </is>
      </c>
      <c r="B15" s="5">
        <f>COUNTIF(Inputs!$A$4:$A$8,"Motor")</f>
        <v/>
      </c>
      <c r="C15" s="5" t="n">
        <v>3</v>
      </c>
      <c r="D15" s="6" t="inlineStr">
        <is>
          <t>complete</t>
        </is>
      </c>
      <c r="E15" s="2" t="inlineStr"/>
    </row>
    <row r="16">
      <c r="A16" s="2" t="inlineStr">
        <is>
          <t>countifs_boolean</t>
        </is>
      </c>
      <c r="B16" s="5">
        <f>COUNTIFS(Inputs!$A$4:$A$8,"Motor",Inputs!$D$4:$D$8,TRUE())</f>
        <v/>
      </c>
      <c r="C16" s="5" t="n">
        <v>3</v>
      </c>
      <c r="D16" s="6" t="inlineStr">
        <is>
          <t>complete</t>
        </is>
      </c>
      <c r="E16" s="2" t="inlineStr">
        <is>
          <t>TRUE() boolean call in a criteria function</t>
        </is>
      </c>
    </row>
    <row r="17">
      <c r="A17" s="2" t="inlineStr">
        <is>
          <t>averageif_blank_zero</t>
        </is>
      </c>
      <c r="B17" s="5">
        <f>AVERAGEIF(Inputs!$A$4:$A$8,"Motor",Inputs!$B$4:$B$8)</f>
        <v/>
      </c>
      <c r="C17" s="5" t="n">
        <v>1.666666666666667</v>
      </c>
      <c r="D17" s="6" t="inlineStr">
        <is>
          <t>complete</t>
        </is>
      </c>
      <c r="E17" s="2" t="inlineStr">
        <is>
          <t>A literal zero contributes to the denominator</t>
        </is>
      </c>
    </row>
    <row r="18">
      <c r="A18" s="2" t="inlineStr">
        <is>
          <t>averageifs_text_region</t>
        </is>
      </c>
      <c r="B18" s="5">
        <f>AVERAGEIFS(Inputs!$B$4:$B$8,Inputs!$A$4:$A$8,"Motor",Inputs!$C$4:$C$8,"North")</f>
        <v/>
      </c>
      <c r="C18" s="5" t="n">
        <v>2.5</v>
      </c>
      <c r="D18" s="6" t="inlineStr">
        <is>
          <t>complete</t>
        </is>
      </c>
      <c r="E18" s="2" t="inlineStr"/>
    </row>
    <row r="19">
      <c r="A19" s="2" t="inlineStr">
        <is>
          <t>minifs_text</t>
        </is>
      </c>
      <c r="B19" s="5">
        <f>_xlfn.MINIFS(Inputs!$B$4:$B$8,Inputs!$A$4:$A$8,"Motor")</f>
        <v/>
      </c>
      <c r="C19" s="5" t="n">
        <v>-5</v>
      </c>
      <c r="D19" s="6" t="inlineStr">
        <is>
          <t>complete</t>
        </is>
      </c>
      <c r="E19" s="2" t="inlineStr"/>
    </row>
    <row r="20">
      <c r="A20" s="2" t="inlineStr">
        <is>
          <t>maxifs_text</t>
        </is>
      </c>
      <c r="B20" s="5">
        <f>_xlfn.MAXIFS(Inputs!$B$4:$B$8,Inputs!$A$4:$A$8,"Motor")</f>
        <v/>
      </c>
      <c r="C20" s="5" t="n">
        <v>10</v>
      </c>
      <c r="D20" s="6" t="inlineStr">
        <is>
          <t>complete</t>
        </is>
      </c>
      <c r="E20" s="2" t="inlineStr"/>
    </row>
    <row r="21">
      <c r="A21" s="2" t="inlineStr">
        <is>
          <t>if_true_literal</t>
        </is>
      </c>
      <c r="B21" s="5">
        <f>IF(TRUE,11,22)</f>
        <v/>
      </c>
      <c r="C21" s="5" t="n">
        <v>11</v>
      </c>
      <c r="D21" s="6" t="inlineStr">
        <is>
          <t>complete</t>
        </is>
      </c>
      <c r="E21" s="2" t="inlineStr"/>
    </row>
    <row r="22">
      <c r="A22" s="2" t="inlineStr">
        <is>
          <t>if_false_literal</t>
        </is>
      </c>
      <c r="B22" s="5">
        <f>IF(FALSE,11,22)</f>
        <v/>
      </c>
      <c r="C22" s="5" t="n">
        <v>22</v>
      </c>
      <c r="D22" s="6" t="inlineStr">
        <is>
          <t>complete</t>
        </is>
      </c>
      <c r="E22" s="2" t="inlineStr"/>
    </row>
    <row r="23">
      <c r="A23" s="2" t="inlineStr">
        <is>
          <t>if_true_call</t>
        </is>
      </c>
      <c r="B23" s="5">
        <f>IF(TRUE(),11,22)</f>
        <v/>
      </c>
      <c r="C23" s="5" t="n">
        <v>11</v>
      </c>
      <c r="D23" s="6" t="inlineStr">
        <is>
          <t>complete</t>
        </is>
      </c>
      <c r="E23" s="2" t="inlineStr"/>
    </row>
    <row r="24">
      <c r="A24" s="2" t="inlineStr">
        <is>
          <t>if_false_call</t>
        </is>
      </c>
      <c r="B24" s="5">
        <f>IF(FALSE(),11,22)</f>
        <v/>
      </c>
      <c r="C24" s="5" t="n">
        <v>22</v>
      </c>
      <c r="D24" s="6" t="inlineStr">
        <is>
          <t>complete</t>
        </is>
      </c>
      <c r="E24" s="2" t="inlineStr"/>
    </row>
    <row r="25">
      <c r="A25" s="2" t="inlineStr">
        <is>
          <t>vlookup_exact</t>
        </is>
      </c>
      <c r="B25" s="5">
        <f>VLOOKUP("Property",Inputs!$E$4:$F$6,2,FALSE())</f>
        <v/>
      </c>
      <c r="C25" s="5" t="n">
        <v>1.2</v>
      </c>
      <c r="D25" s="6" t="inlineStr">
        <is>
          <t>complete</t>
        </is>
      </c>
      <c r="E25" s="2" t="inlineStr"/>
    </row>
    <row r="26">
      <c r="A26" s="2" t="inlineStr">
        <is>
          <t>match_exact</t>
        </is>
      </c>
      <c r="B26" s="5">
        <f>MATCH("Liability",Inputs!$E$4:$E$6,0)</f>
        <v/>
      </c>
      <c r="C26" s="5" t="n">
        <v>3</v>
      </c>
      <c r="D26" s="6" t="inlineStr">
        <is>
          <t>complete</t>
        </is>
      </c>
      <c r="E26" s="2" t="inlineStr"/>
    </row>
    <row r="27">
      <c r="A27" s="2" t="inlineStr">
        <is>
          <t>index_scalar</t>
        </is>
      </c>
      <c r="B27" s="5">
        <f>INDEX(Inputs!$F$4:$F$6,2)</f>
        <v/>
      </c>
      <c r="C27" s="5" t="n">
        <v>1.2</v>
      </c>
      <c r="D27" s="6" t="inlineStr">
        <is>
          <t>complete</t>
        </is>
      </c>
      <c r="E27" s="2" t="inlineStr"/>
    </row>
    <row r="28">
      <c r="A28" s="2" t="inlineStr">
        <is>
          <t>index_match_nested</t>
        </is>
      </c>
      <c r="B28" s="5">
        <f>INDEX(Inputs!$F$4:$F$6,MATCH("Liability",Inputs!$E$4:$E$6,0))</f>
        <v/>
      </c>
      <c r="C28" s="5" t="n">
        <v>1.3</v>
      </c>
      <c r="D28" s="6" t="inlineStr">
        <is>
          <t>complete</t>
        </is>
      </c>
      <c r="E28" s="2" t="inlineStr"/>
    </row>
    <row r="29">
      <c r="A29" s="2" t="inlineStr">
        <is>
          <t>nested_round_sumif</t>
        </is>
      </c>
      <c r="B29" s="5">
        <f>ROUND(SUMIF(Inputs!$A$4:$A$8,"Motor",Inputs!$B$4:$B$8),2)</f>
        <v/>
      </c>
      <c r="C29" s="5" t="n">
        <v>5</v>
      </c>
      <c r="D29" s="6" t="inlineStr">
        <is>
          <t>complete</t>
        </is>
      </c>
      <c r="E29" s="2" t="inlineStr"/>
    </row>
    <row r="30">
      <c r="A30" s="2" t="inlineStr">
        <is>
          <t>cross_tab_range</t>
        </is>
      </c>
      <c r="B30" s="5">
        <f>SUM('Cross Tab'!$B$3:$B$5)</f>
        <v/>
      </c>
      <c r="C30" s="5" t="n">
        <v>20</v>
      </c>
      <c r="D30" s="6" t="inlineStr">
        <is>
          <t>complete</t>
        </is>
      </c>
      <c r="E30" s="2" t="inlineStr"/>
    </row>
    <row r="31">
      <c r="A31" s="2" t="inlineStr">
        <is>
          <t>ordinary_arithmetic</t>
        </is>
      </c>
      <c r="B31" s="5">
        <f>(Inputs!$B$4+Inputs!$B$5)*2/3</f>
        <v/>
      </c>
      <c r="C31" s="5" t="n">
        <v>20</v>
      </c>
      <c r="D31" s="6" t="inlineStr">
        <is>
          <t>complete</t>
        </is>
      </c>
      <c r="E31" s="2" t="inlineStr"/>
    </row>
    <row r="32">
      <c r="A32" s="2" t="inlineStr">
        <is>
          <t>vlookup_approximate_unsupported</t>
        </is>
      </c>
      <c r="B32" s="5">
        <f>VLOOKUP("Property",Inputs!$E$4:$F$6,2,TRUE())</f>
        <v/>
      </c>
      <c r="C32" s="5" t="n"/>
      <c r="D32" s="7" t="inlineStr">
        <is>
          <t>partial</t>
        </is>
      </c>
      <c r="E32" s="2" t="inlineStr">
        <is>
          <t>Approximate lookup must fail closed</t>
        </is>
      </c>
    </row>
    <row r="33">
      <c r="A33" s="2" t="inlineStr">
        <is>
          <t>match_approximate_unsupported</t>
        </is>
      </c>
      <c r="B33" s="5">
        <f>MATCH("Property",Inputs!$E$4:$E$6,1)</f>
        <v/>
      </c>
      <c r="C33" s="5" t="n"/>
      <c r="D33" s="7" t="inlineStr">
        <is>
          <t>partial</t>
        </is>
      </c>
      <c r="E33" s="2" t="inlineStr">
        <is>
          <t>Approximate MATCH must fail closed</t>
        </is>
      </c>
    </row>
    <row r="34">
      <c r="A34" s="2" t="inlineStr">
        <is>
          <t>index_array_unsupported</t>
        </is>
      </c>
      <c r="B34" s="5">
        <f>INDEX(Inputs!$B$4:$B$8,0)</f>
        <v/>
      </c>
      <c r="C34" s="5" t="n"/>
      <c r="D34" s="7" t="inlineStr">
        <is>
          <t>partial</t>
        </is>
      </c>
      <c r="E34" s="2" t="inlineStr">
        <is>
          <t>Array result must not be silently reduced to a scalar</t>
        </is>
      </c>
    </row>
    <row r="35">
      <c r="A35" s="2" t="inlineStr">
        <is>
          <t>offset_unsupported</t>
        </is>
      </c>
      <c r="B35" s="5">
        <f>OFFSET(Inputs!$B$4,1,0)</f>
        <v/>
      </c>
      <c r="C35" s="5" t="n"/>
      <c r="D35" s="7" t="inlineStr">
        <is>
          <t>partial</t>
        </is>
      </c>
      <c r="E35" s="2" t="inlineStr">
        <is>
          <t>Function outside the catalogue</t>
        </is>
      </c>
    </row>
    <row r="36">
      <c r="A36" s="2" t="inlineStr">
        <is>
          <t>and_all_true</t>
        </is>
      </c>
      <c r="B36" s="5">
        <f>IF(AND(TRUE,TRUE,TRUE),1,0)</f>
        <v/>
      </c>
      <c r="C36" s="5" t="n">
        <v>1</v>
      </c>
      <c r="D36" s="6" t="inlineStr">
        <is>
          <t>complete</t>
        </is>
      </c>
      <c r="E36" s="2" t="inlineStr"/>
    </row>
    <row r="37">
      <c r="A37" s="2" t="inlineStr">
        <is>
          <t>and_one_false</t>
        </is>
      </c>
      <c r="B37" s="5">
        <f>IF(AND(TRUE,FALSE,TRUE),1,0)</f>
        <v/>
      </c>
      <c r="C37" s="5" t="n">
        <v>0</v>
      </c>
      <c r="D37" s="6" t="inlineStr">
        <is>
          <t>complete</t>
        </is>
      </c>
      <c r="E37" s="2" t="inlineStr"/>
    </row>
    <row r="38">
      <c r="A38" s="2" t="inlineStr">
        <is>
          <t>or_one_true</t>
        </is>
      </c>
      <c r="B38" s="5">
        <f>IF(OR(FALSE,TRUE,FALSE),1,0)</f>
        <v/>
      </c>
      <c r="C38" s="5" t="n">
        <v>1</v>
      </c>
      <c r="D38" s="6" t="inlineStr">
        <is>
          <t>complete</t>
        </is>
      </c>
      <c r="E38" s="2" t="inlineStr"/>
    </row>
    <row r="39">
      <c r="A39" s="2" t="inlineStr">
        <is>
          <t>or_all_false</t>
        </is>
      </c>
      <c r="B39" s="5">
        <f>IF(OR(FALSE,FALSE,FALSE),1,0)</f>
        <v/>
      </c>
      <c r="C39" s="5" t="n">
        <v>0</v>
      </c>
      <c r="D39" s="6" t="inlineStr">
        <is>
          <t>complete</t>
        </is>
      </c>
      <c r="E39" s="2" t="inlineStr"/>
    </row>
    <row r="40">
      <c r="A40" s="2" t="inlineStr">
        <is>
          <t>sumproduct_2d</t>
        </is>
      </c>
      <c r="B40" s="5">
        <f>SUMPRODUCT(Inputs!$B$4:$B$6,Inputs!$F$4:$F$6)</f>
        <v/>
      </c>
      <c r="C40" s="5" t="n">
        <v>28.5</v>
      </c>
      <c r="D40" s="6" t="inlineStr">
        <is>
          <t>complete</t>
        </is>
      </c>
      <c r="E40" s="2" t="inlineStr"/>
    </row>
    <row r="41">
      <c r="A41" s="2" t="inlineStr">
        <is>
          <t>npv_cash_flow</t>
        </is>
      </c>
      <c r="B41" s="5">
        <f>NPV(0.1,-1000,300,300,300)</f>
        <v/>
      </c>
      <c r="C41" s="5" t="n">
        <v>-230.8585</v>
      </c>
      <c r="D41" s="6" t="inlineStr">
        <is>
          <t>complete</t>
        </is>
      </c>
      <c r="E41" s="2" t="inlineStr">
        <is>
          <t>Excel convention: first flow at period 1, not 0</t>
        </is>
      </c>
    </row>
    <row r="42">
      <c r="A42" s="2" t="inlineStr">
        <is>
          <t>choose_index_1</t>
        </is>
      </c>
      <c r="B42" s="5">
        <f>CHOOSE(1,10,20,30)</f>
        <v/>
      </c>
      <c r="C42" s="5" t="n">
        <v>10</v>
      </c>
      <c r="D42" s="6" t="inlineStr">
        <is>
          <t>complete</t>
        </is>
      </c>
      <c r="E42" s="2" t="inlineStr"/>
    </row>
    <row r="43">
      <c r="A43" s="2" t="inlineStr">
        <is>
          <t>choose_index_2</t>
        </is>
      </c>
      <c r="B43" s="5">
        <f>CHOOSE(2,10,20,30)</f>
        <v/>
      </c>
      <c r="C43" s="5" t="n">
        <v>20</v>
      </c>
      <c r="D43" s="6" t="inlineStr">
        <is>
          <t>complete</t>
        </is>
      </c>
      <c r="E43" s="2" t="inlineStr"/>
    </row>
    <row r="44">
      <c r="A44" s="2" t="inlineStr">
        <is>
          <t>xlookup_exact</t>
        </is>
      </c>
      <c r="B44" s="5">
        <f>_xlfn.XLOOKUP("Property",Inputs!$E$4:$E$6,Inputs!$F$4:$F$6,,0,1)</f>
        <v/>
      </c>
      <c r="C44" s="5" t="n">
        <v>1.2</v>
      </c>
      <c r="D44" s="6" t="inlineStr">
        <is>
          <t>complete</t>
        </is>
      </c>
      <c r="E44" s="2" t="inlineStr">
        <is>
          <t>Exact numeric XLOOKUP, recalculated through LibreOffice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8" customWidth="1" min="4" max="4"/>
    <col width="68" customWidth="1" min="5" max="5"/>
    <col width="14" customWidth="1" min="6" max="6"/>
  </cols>
  <sheetData>
    <row r="1" ht="24" customHeight="1">
      <c r="A1" s="1" t="inlineStr">
        <is>
          <t>Cross-tab range inputs</t>
        </is>
      </c>
      <c r="B1" s="2" t="n"/>
    </row>
    <row r="2">
      <c r="A2" s="3" t="inlineStr">
        <is>
          <t>Item</t>
        </is>
      </c>
      <c r="B2" s="3" t="inlineStr">
        <is>
          <t>Amount</t>
        </is>
      </c>
    </row>
    <row r="3">
      <c r="A3" s="2" t="inlineStr">
        <is>
          <t>A</t>
        </is>
      </c>
      <c r="B3" s="2" t="n">
        <v>4</v>
      </c>
    </row>
    <row r="4">
      <c r="A4" s="2" t="inlineStr">
        <is>
          <t>B</t>
        </is>
      </c>
      <c r="B4" s="2" t="n">
        <v>6</v>
      </c>
    </row>
    <row r="5">
      <c r="A5" s="2" t="inlineStr">
        <is>
          <t>C</t>
        </is>
      </c>
      <c r="B5" s="2" t="n">
        <v>10</v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8" customWidth="1" min="4" max="4"/>
    <col width="68" customWidth="1" min="5" max="5"/>
    <col width="14" customWidth="1" min="6" max="6"/>
  </cols>
  <sheetData>
    <row r="1" ht="24" customHeight="1">
      <c r="A1" s="1" t="inlineStr">
        <is>
          <t>Deliberate spreadsheet error evidence</t>
        </is>
      </c>
      <c r="B1" s="2" t="n"/>
    </row>
    <row r="2">
      <c r="A2" s="2" t="inlineStr">
        <is>
          <t>These errors are parser evidence, not successful reconstruction cases.</t>
        </is>
      </c>
      <c r="B2" s="2" t="n"/>
    </row>
    <row r="3">
      <c r="A3" s="3" t="inlineStr">
        <is>
          <t>Error type</t>
        </is>
      </c>
      <c r="B3" s="3" t="inlineStr">
        <is>
          <t>Formula</t>
        </is>
      </c>
    </row>
    <row r="4">
      <c r="A4" s="2" t="e">
        <v>#N/A</v>
      </c>
      <c r="B4" s="2">
        <f>NA()</f>
        <v/>
      </c>
    </row>
    <row r="5">
      <c r="A5" s="2" t="e">
        <v>#VALUE!</v>
      </c>
      <c r="B5" s="2">
        <f>1+"text"</f>
        <v/>
      </c>
    </row>
    <row r="6">
      <c r="A6" s="2" t="e">
        <v>#DIV/0!</v>
      </c>
      <c r="B6" s="2">
        <f>1/0</f>
        <v/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18" customWidth="1" min="4" max="4"/>
    <col width="68" customWidth="1" min="5" max="5"/>
    <col width="14" customWidth="1" min="6" max="6"/>
  </cols>
  <sheetData>
    <row r="1" ht="24" customHeight="1">
      <c r="A1" s="1" t="inlineStr">
        <is>
          <t>Qualification evidence guide</t>
        </is>
      </c>
      <c r="B1" s="2" t="n"/>
    </row>
    <row r="2">
      <c r="A2" s="2" t="inlineStr">
        <is>
          <t>Scope</t>
        </is>
      </c>
      <c r="B2" s="2" t="inlineStr">
        <is>
          <t>Formula reconstruction only; no actuarial methodology validation or audit opinion.</t>
        </is>
      </c>
    </row>
    <row r="3">
      <c r="A3" s="2" t="inlineStr">
        <is>
          <t>Target engine</t>
        </is>
      </c>
      <c r="B3" s="2" t="inlineStr">
        <is>
          <t>LibreOffice headless recalculation; Microsoft Excel compatibility is not tested.</t>
        </is>
      </c>
    </row>
    <row r="4">
      <c r="A4" s="2" t="inlineStr">
        <is>
          <t>Generated by</t>
        </is>
      </c>
      <c r="B4" s="2" t="inlineStr">
        <is>
          <t>scripts/generate_qualification_workbook.py</t>
        </is>
      </c>
    </row>
    <row r="5">
      <c r="A5" s="2" t="inlineStr">
        <is>
          <t>Recalculated by</t>
        </is>
      </c>
      <c r="B5" s="2" t="inlineStr">
        <is>
          <t>scripts/recalculate_with_libreoffice.sh</t>
        </is>
      </c>
    </row>
    <row r="6">
      <c r="A6" s="2" t="inlineStr">
        <is>
          <t>Acceptance data</t>
        </is>
      </c>
      <c r="B6" s="2" t="inlineStr">
        <is>
          <t>tests/fixtures/qualification_expected.json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2026-09-16T20:54:37Z</dcterms:created>
  <dcterms:modified xmlns:dcterms="http://purl.org/dc/terms/" xmlns:xsi="http://www.w3.org/2001/XMLSchema-instance" xsi:type="dcterms:W3CDTF">2026-09-16T20:54:37Z</dcterms:modified>
</cp:coreProperties>
</file>
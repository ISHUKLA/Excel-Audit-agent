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ohortData" sheetId="2" state="visible" r:id="rId4"/>
    <sheet name="ReserveRollforward" sheetId="3" state="visible" r:id="rId5"/>
    <sheet name="Aggregation" sheetId="4" state="visible" r:id="rId6"/>
    <sheet name="AccountingBridge" sheetId="5" state="visible" r:id="rId7"/>
    <sheet name="Controls" sheetId="6" state="visible" r:id="rId8"/>
    <sheet name="DemoGuide" sheetId="7" state="visible" r:id="rId9"/>
  </sheets>
  <calcPr calcId="191029" calcMode="auto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<sst xmlns="http://schemas.openxmlformats.org/spreadsheetml/2006/main" count="3138" uniqueCount="717">
  <si>
    <t xml:space="preserve">Synthetic IFRS 17-related assumptions</t>
  </si>
  <si>
    <t xml:space="preserve">Editable inputs</t>
  </si>
  <si>
    <t xml:space="preserve">Value</t>
  </si>
  <si>
    <t xml:space="preserve">Unit / use</t>
  </si>
  <si>
    <t xml:space="preserve">Currency</t>
  </si>
  <si>
    <t xml:space="preserve">EUR rate</t>
  </si>
  <si>
    <t xml:space="preserve">Product</t>
  </si>
  <si>
    <t xml:space="preserve">Loss ratio</t>
  </si>
  <si>
    <t xml:space="preserve">Discount rate</t>
  </si>
  <si>
    <t xml:space="preserve">Interest accretion</t>
  </si>
  <si>
    <t xml:space="preserve">Service movement rate</t>
  </si>
  <si>
    <t xml:space="preserve">Claims and service movement</t>
  </si>
  <si>
    <t xml:space="preserve">EUR</t>
  </si>
  <si>
    <t xml:space="preserve">Term Life</t>
  </si>
  <si>
    <t xml:space="preserve">Expense loading</t>
  </si>
  <si>
    <t xml:space="preserve">Expense movement</t>
  </si>
  <si>
    <t xml:space="preserve">GBP</t>
  </si>
  <si>
    <t xml:space="preserve">Annuity</t>
  </si>
  <si>
    <t xml:space="preserve">Assumption strengthening rate</t>
  </si>
  <si>
    <t xml:space="preserve">Reserve strengthening</t>
  </si>
  <si>
    <t xml:space="preserve">Savings</t>
  </si>
  <si>
    <t xml:space="preserve">Reporting FX baseline</t>
  </si>
  <si>
    <t xml:space="preserve">FX movement baseline</t>
  </si>
  <si>
    <t xml:space="preserve">Rounding significance</t>
  </si>
  <si>
    <t xml:space="preserve">CEILING/FLOOR controls</t>
  </si>
  <si>
    <t xml:space="preserve">Upper display precision</t>
  </si>
  <si>
    <t xml:space="preserve">ROUNDUP control</t>
  </si>
  <si>
    <t xml:space="preserve">Lower display precision</t>
  </si>
  <si>
    <t xml:space="preserve">ROUNDDOWN control</t>
  </si>
  <si>
    <t xml:space="preserve">Zero value</t>
  </si>
  <si>
    <t xml:space="preserve">Explicit zero branch</t>
  </si>
  <si>
    <t xml:space="preserve">Exposure unit divisor</t>
  </si>
  <si>
    <t xml:space="preserve">Whole exposure units</t>
  </si>
  <si>
    <t xml:space="preserve">Synthetic policy cohort data and calculated attributes</t>
  </si>
  <si>
    <t xml:space="preserve">Aurora Mutual Life SE (synthetic); 2025-Q4; reporting currency EUR</t>
  </si>
  <si>
    <t xml:space="preserve">Cohort ID</t>
  </si>
  <si>
    <t xml:space="preserve">Entity</t>
  </si>
  <si>
    <t xml:space="preserve">Premium</t>
  </si>
  <si>
    <t xml:space="preserve">Expected claims input</t>
  </si>
  <si>
    <t xml:space="preserve">Opening reserve input</t>
  </si>
  <si>
    <t xml:space="preserve">Included</t>
  </si>
  <si>
    <t xml:space="preserve">FX to EUR</t>
  </si>
  <si>
    <t xml:space="preserve">Product index</t>
  </si>
  <si>
    <t xml:space="preserve">Modelled claims</t>
  </si>
  <si>
    <t xml:space="preserve">Absolute input variance</t>
  </si>
  <si>
    <t xml:space="preserve">Exposure units</t>
  </si>
  <si>
    <t xml:space="preserve">SYN-0001</t>
  </si>
  <si>
    <t xml:space="preserve">Aurora Mutual Life SE (synthetic)</t>
  </si>
  <si>
    <t xml:space="preserve">SYN-0002</t>
  </si>
  <si>
    <t xml:space="preserve">SYN-0003</t>
  </si>
  <si>
    <t xml:space="preserve">SYN-0004</t>
  </si>
  <si>
    <t xml:space="preserve">SYN-0005</t>
  </si>
  <si>
    <t xml:space="preserve">SYN-0006</t>
  </si>
  <si>
    <t xml:space="preserve">SYN-0007</t>
  </si>
  <si>
    <t xml:space="preserve">SYN-0008</t>
  </si>
  <si>
    <t xml:space="preserve">SYN-0009</t>
  </si>
  <si>
    <t xml:space="preserve">SYN-0010</t>
  </si>
  <si>
    <t xml:space="preserve">SYN-0011</t>
  </si>
  <si>
    <t xml:space="preserve">SYN-0012</t>
  </si>
  <si>
    <t xml:space="preserve">SYN-0013</t>
  </si>
  <si>
    <t xml:space="preserve">SYN-0014</t>
  </si>
  <si>
    <t xml:space="preserve">SYN-0015</t>
  </si>
  <si>
    <t xml:space="preserve">SYN-0016</t>
  </si>
  <si>
    <t xml:space="preserve">SYN-0017</t>
  </si>
  <si>
    <t xml:space="preserve">SYN-0018</t>
  </si>
  <si>
    <t xml:space="preserve">SYN-0019</t>
  </si>
  <si>
    <t xml:space="preserve">SYN-0020</t>
  </si>
  <si>
    <t xml:space="preserve">SYN-0021</t>
  </si>
  <si>
    <t xml:space="preserve">SYN-0022</t>
  </si>
  <si>
    <t xml:space="preserve">SYN-0023</t>
  </si>
  <si>
    <t xml:space="preserve">SYN-0024</t>
  </si>
  <si>
    <t xml:space="preserve">SYN-0025</t>
  </si>
  <si>
    <t xml:space="preserve">SYN-0026</t>
  </si>
  <si>
    <t xml:space="preserve">SYN-0027</t>
  </si>
  <si>
    <t xml:space="preserve">SYN-0028</t>
  </si>
  <si>
    <t xml:space="preserve">SYN-0029</t>
  </si>
  <si>
    <t xml:space="preserve">SYN-0030</t>
  </si>
  <si>
    <t xml:space="preserve">SYN-0031</t>
  </si>
  <si>
    <t xml:space="preserve">SYN-0032</t>
  </si>
  <si>
    <t xml:space="preserve">SYN-0033</t>
  </si>
  <si>
    <t xml:space="preserve">SYN-0034</t>
  </si>
  <si>
    <t xml:space="preserve">SYN-0035</t>
  </si>
  <si>
    <t xml:space="preserve">SYN-0036</t>
  </si>
  <si>
    <t xml:space="preserve">SYN-0037</t>
  </si>
  <si>
    <t xml:space="preserve">SYN-0038</t>
  </si>
  <si>
    <t xml:space="preserve">SYN-0039</t>
  </si>
  <si>
    <t xml:space="preserve">SYN-0040</t>
  </si>
  <si>
    <t xml:space="preserve">SYN-0041</t>
  </si>
  <si>
    <t xml:space="preserve">SYN-0042</t>
  </si>
  <si>
    <t xml:space="preserve">SYN-0043</t>
  </si>
  <si>
    <t xml:space="preserve">SYN-0044</t>
  </si>
  <si>
    <t xml:space="preserve">SYN-0045</t>
  </si>
  <si>
    <t xml:space="preserve">SYN-0046</t>
  </si>
  <si>
    <t xml:space="preserve">SYN-0047</t>
  </si>
  <si>
    <t xml:space="preserve">SYN-0048</t>
  </si>
  <si>
    <t xml:space="preserve">SYN-0049</t>
  </si>
  <si>
    <t xml:space="preserve">SYN-0050</t>
  </si>
  <si>
    <t xml:space="preserve">SYN-0051</t>
  </si>
  <si>
    <t xml:space="preserve">SYN-0052</t>
  </si>
  <si>
    <t xml:space="preserve">SYN-0053</t>
  </si>
  <si>
    <t xml:space="preserve">SYN-0054</t>
  </si>
  <si>
    <t xml:space="preserve">SYN-0055</t>
  </si>
  <si>
    <t xml:space="preserve">SYN-0056</t>
  </si>
  <si>
    <t xml:space="preserve">SYN-0057</t>
  </si>
  <si>
    <t xml:space="preserve">SYN-0058</t>
  </si>
  <si>
    <t xml:space="preserve">SYN-0059</t>
  </si>
  <si>
    <t xml:space="preserve">SYN-0060</t>
  </si>
  <si>
    <t xml:space="preserve">SYN-0061</t>
  </si>
  <si>
    <t xml:space="preserve">SYN-0062</t>
  </si>
  <si>
    <t xml:space="preserve">SYN-0063</t>
  </si>
  <si>
    <t xml:space="preserve">SYN-0064</t>
  </si>
  <si>
    <t xml:space="preserve">SYN-0065</t>
  </si>
  <si>
    <t xml:space="preserve">SYN-0066</t>
  </si>
  <si>
    <t xml:space="preserve">SYN-0067</t>
  </si>
  <si>
    <t xml:space="preserve">SYN-0068</t>
  </si>
  <si>
    <t xml:space="preserve">SYN-0069</t>
  </si>
  <si>
    <t xml:space="preserve">SYN-0070</t>
  </si>
  <si>
    <t xml:space="preserve">SYN-0071</t>
  </si>
  <si>
    <t xml:space="preserve">SYN-0072</t>
  </si>
  <si>
    <t xml:space="preserve">SYN-0073</t>
  </si>
  <si>
    <t xml:space="preserve">SYN-0074</t>
  </si>
  <si>
    <t xml:space="preserve">SYN-0075</t>
  </si>
  <si>
    <t xml:space="preserve">SYN-0076</t>
  </si>
  <si>
    <t xml:space="preserve">SYN-0077</t>
  </si>
  <si>
    <t xml:space="preserve">SYN-0078</t>
  </si>
  <si>
    <t xml:space="preserve">SYN-0079</t>
  </si>
  <si>
    <t xml:space="preserve">SYN-0080</t>
  </si>
  <si>
    <t xml:space="preserve">SYN-0081</t>
  </si>
  <si>
    <t xml:space="preserve">SYN-0082</t>
  </si>
  <si>
    <t xml:space="preserve">SYN-0083</t>
  </si>
  <si>
    <t xml:space="preserve">SYN-0084</t>
  </si>
  <si>
    <t xml:space="preserve">SYN-0085</t>
  </si>
  <si>
    <t xml:space="preserve">SYN-0086</t>
  </si>
  <si>
    <t xml:space="preserve">SYN-0087</t>
  </si>
  <si>
    <t xml:space="preserve">SYN-0088</t>
  </si>
  <si>
    <t xml:space="preserve">SYN-0089</t>
  </si>
  <si>
    <t xml:space="preserve">SYN-0090</t>
  </si>
  <si>
    <t xml:space="preserve">SYN-0091</t>
  </si>
  <si>
    <t xml:space="preserve">SYN-0092</t>
  </si>
  <si>
    <t xml:space="preserve">SYN-0093</t>
  </si>
  <si>
    <t xml:space="preserve">SYN-0094</t>
  </si>
  <si>
    <t xml:space="preserve">SYN-0095</t>
  </si>
  <si>
    <t xml:space="preserve">SYN-0096</t>
  </si>
  <si>
    <t xml:space="preserve">SYN-0097</t>
  </si>
  <si>
    <t xml:space="preserve">SYN-0098</t>
  </si>
  <si>
    <t xml:space="preserve">SYN-0099</t>
  </si>
  <si>
    <t xml:space="preserve">SYN-0100</t>
  </si>
  <si>
    <t xml:space="preserve">SYN-0101</t>
  </si>
  <si>
    <t xml:space="preserve">SYN-0102</t>
  </si>
  <si>
    <t xml:space="preserve">SYN-0103</t>
  </si>
  <si>
    <t xml:space="preserve">SYN-0104</t>
  </si>
  <si>
    <t xml:space="preserve">SYN-0105</t>
  </si>
  <si>
    <t xml:space="preserve">SYN-0106</t>
  </si>
  <si>
    <t xml:space="preserve">SYN-0107</t>
  </si>
  <si>
    <t xml:space="preserve">SYN-0108</t>
  </si>
  <si>
    <t xml:space="preserve">SYN-0109</t>
  </si>
  <si>
    <t xml:space="preserve">SYN-0110</t>
  </si>
  <si>
    <t xml:space="preserve">SYN-0111</t>
  </si>
  <si>
    <t xml:space="preserve">SYN-0112</t>
  </si>
  <si>
    <t xml:space="preserve">SYN-0113</t>
  </si>
  <si>
    <t xml:space="preserve">SYN-0114</t>
  </si>
  <si>
    <t xml:space="preserve">SYN-0115</t>
  </si>
  <si>
    <t xml:space="preserve">SYN-0116</t>
  </si>
  <si>
    <t xml:space="preserve">SYN-0117</t>
  </si>
  <si>
    <t xml:space="preserve">SYN-0118</t>
  </si>
  <si>
    <t xml:space="preserve">SYN-0119</t>
  </si>
  <si>
    <t xml:space="preserve">SYN-0120</t>
  </si>
  <si>
    <t xml:space="preserve">SYN-0121</t>
  </si>
  <si>
    <t xml:space="preserve">SYN-0122</t>
  </si>
  <si>
    <t xml:space="preserve">SYN-0123</t>
  </si>
  <si>
    <t xml:space="preserve">SYN-0124</t>
  </si>
  <si>
    <t xml:space="preserve">SYN-0125</t>
  </si>
  <si>
    <t xml:space="preserve">SYN-0126</t>
  </si>
  <si>
    <t xml:space="preserve">SYN-0127</t>
  </si>
  <si>
    <t xml:space="preserve">SYN-0128</t>
  </si>
  <si>
    <t xml:space="preserve">SYN-0129</t>
  </si>
  <si>
    <t xml:space="preserve">SYN-0130</t>
  </si>
  <si>
    <t xml:space="preserve">SYN-0131</t>
  </si>
  <si>
    <t xml:space="preserve">SYN-0132</t>
  </si>
  <si>
    <t xml:space="preserve">SYN-0133</t>
  </si>
  <si>
    <t xml:space="preserve">SYN-0134</t>
  </si>
  <si>
    <t xml:space="preserve">SYN-0135</t>
  </si>
  <si>
    <t xml:space="preserve">SYN-0136</t>
  </si>
  <si>
    <t xml:space="preserve">SYN-0137</t>
  </si>
  <si>
    <t xml:space="preserve">SYN-0138</t>
  </si>
  <si>
    <t xml:space="preserve">SYN-0139</t>
  </si>
  <si>
    <t xml:space="preserve">SYN-0140</t>
  </si>
  <si>
    <t xml:space="preserve">SYN-0141</t>
  </si>
  <si>
    <t xml:space="preserve">SYN-0142</t>
  </si>
  <si>
    <t xml:space="preserve">SYN-0143</t>
  </si>
  <si>
    <t xml:space="preserve">SYN-0144</t>
  </si>
  <si>
    <t xml:space="preserve">SYN-0145</t>
  </si>
  <si>
    <t xml:space="preserve">SYN-0146</t>
  </si>
  <si>
    <t xml:space="preserve">SYN-0147</t>
  </si>
  <si>
    <t xml:space="preserve">SYN-0148</t>
  </si>
  <si>
    <t xml:space="preserve">SYN-0149</t>
  </si>
  <si>
    <t xml:space="preserve">SYN-0150</t>
  </si>
  <si>
    <t xml:space="preserve">SYN-0151</t>
  </si>
  <si>
    <t xml:space="preserve">SYN-0152</t>
  </si>
  <si>
    <t xml:space="preserve">SYN-0153</t>
  </si>
  <si>
    <t xml:space="preserve">SYN-0154</t>
  </si>
  <si>
    <t xml:space="preserve">SYN-0155</t>
  </si>
  <si>
    <t xml:space="preserve">SYN-0156</t>
  </si>
  <si>
    <t xml:space="preserve">SYN-0157</t>
  </si>
  <si>
    <t xml:space="preserve">SYN-0158</t>
  </si>
  <si>
    <t xml:space="preserve">SYN-0159</t>
  </si>
  <si>
    <t xml:space="preserve">SYN-0160</t>
  </si>
  <si>
    <t xml:space="preserve">SYN-0161</t>
  </si>
  <si>
    <t xml:space="preserve">SYN-0162</t>
  </si>
  <si>
    <t xml:space="preserve">SYN-0163</t>
  </si>
  <si>
    <t xml:space="preserve">SYN-0164</t>
  </si>
  <si>
    <t xml:space="preserve">SYN-0165</t>
  </si>
  <si>
    <t xml:space="preserve">SYN-0166</t>
  </si>
  <si>
    <t xml:space="preserve">SYN-0167</t>
  </si>
  <si>
    <t xml:space="preserve">SYN-0168</t>
  </si>
  <si>
    <t xml:space="preserve">SYN-0169</t>
  </si>
  <si>
    <t xml:space="preserve">SYN-0170</t>
  </si>
  <si>
    <t xml:space="preserve">SYN-0171</t>
  </si>
  <si>
    <t xml:space="preserve">SYN-0172</t>
  </si>
  <si>
    <t xml:space="preserve">SYN-0173</t>
  </si>
  <si>
    <t xml:space="preserve">SYN-0174</t>
  </si>
  <si>
    <t xml:space="preserve">SYN-0175</t>
  </si>
  <si>
    <t xml:space="preserve">SYN-0176</t>
  </si>
  <si>
    <t xml:space="preserve">SYN-0177</t>
  </si>
  <si>
    <t xml:space="preserve">SYN-0178</t>
  </si>
  <si>
    <t xml:space="preserve">SYN-0179</t>
  </si>
  <si>
    <t xml:space="preserve">SYN-0180</t>
  </si>
  <si>
    <t xml:space="preserve">SYN-0181</t>
  </si>
  <si>
    <t xml:space="preserve">SYN-0182</t>
  </si>
  <si>
    <t xml:space="preserve">SYN-0183</t>
  </si>
  <si>
    <t xml:space="preserve">SYN-0184</t>
  </si>
  <si>
    <t xml:space="preserve">SYN-0185</t>
  </si>
  <si>
    <t xml:space="preserve">SYN-0186</t>
  </si>
  <si>
    <t xml:space="preserve">SYN-0187</t>
  </si>
  <si>
    <t xml:space="preserve">SYN-0188</t>
  </si>
  <si>
    <t xml:space="preserve">SYN-0189</t>
  </si>
  <si>
    <t xml:space="preserve">SYN-0190</t>
  </si>
  <si>
    <t xml:space="preserve">SYN-0191</t>
  </si>
  <si>
    <t xml:space="preserve">SYN-0192</t>
  </si>
  <si>
    <t xml:space="preserve">SYN-0193</t>
  </si>
  <si>
    <t xml:space="preserve">SYN-0194</t>
  </si>
  <si>
    <t xml:space="preserve">SYN-0195</t>
  </si>
  <si>
    <t xml:space="preserve">SYN-0196</t>
  </si>
  <si>
    <t xml:space="preserve">SYN-0197</t>
  </si>
  <si>
    <t xml:space="preserve">SYN-0198</t>
  </si>
  <si>
    <t xml:space="preserve">SYN-0199</t>
  </si>
  <si>
    <t xml:space="preserve">SYN-0200</t>
  </si>
  <si>
    <t xml:space="preserve">SYN-0201</t>
  </si>
  <si>
    <t xml:space="preserve">SYN-0202</t>
  </si>
  <si>
    <t xml:space="preserve">SYN-0203</t>
  </si>
  <si>
    <t xml:space="preserve">SYN-0204</t>
  </si>
  <si>
    <t xml:space="preserve">SYN-0205</t>
  </si>
  <si>
    <t xml:space="preserve">SYN-0206</t>
  </si>
  <si>
    <t xml:space="preserve">SYN-0207</t>
  </si>
  <si>
    <t xml:space="preserve">SYN-0208</t>
  </si>
  <si>
    <t xml:space="preserve">SYN-0209</t>
  </si>
  <si>
    <t xml:space="preserve">SYN-0210</t>
  </si>
  <si>
    <t xml:space="preserve">SYN-0211</t>
  </si>
  <si>
    <t xml:space="preserve">SYN-0212</t>
  </si>
  <si>
    <t xml:space="preserve">SYN-0213</t>
  </si>
  <si>
    <t xml:space="preserve">SYN-0214</t>
  </si>
  <si>
    <t xml:space="preserve">SYN-0215</t>
  </si>
  <si>
    <t xml:space="preserve">SYN-0216</t>
  </si>
  <si>
    <t xml:space="preserve">SYN-0217</t>
  </si>
  <si>
    <t xml:space="preserve">SYN-0218</t>
  </si>
  <si>
    <t xml:space="preserve">SYN-0219</t>
  </si>
  <si>
    <t xml:space="preserve">SYN-0220</t>
  </si>
  <si>
    <t xml:space="preserve">SYN-0221</t>
  </si>
  <si>
    <t xml:space="preserve">SYN-0222</t>
  </si>
  <si>
    <t xml:space="preserve">SYN-0223</t>
  </si>
  <si>
    <t xml:space="preserve">SYN-0224</t>
  </si>
  <si>
    <t xml:space="preserve">SYN-0225</t>
  </si>
  <si>
    <t xml:space="preserve">SYN-0226</t>
  </si>
  <si>
    <t xml:space="preserve">SYN-0227</t>
  </si>
  <si>
    <t xml:space="preserve">SYN-0228</t>
  </si>
  <si>
    <t xml:space="preserve">SYN-0229</t>
  </si>
  <si>
    <t xml:space="preserve">SYN-0230</t>
  </si>
  <si>
    <t xml:space="preserve">SYN-0231</t>
  </si>
  <si>
    <t xml:space="preserve">SYN-0232</t>
  </si>
  <si>
    <t xml:space="preserve">SYN-0233</t>
  </si>
  <si>
    <t xml:space="preserve">SYN-0234</t>
  </si>
  <si>
    <t xml:space="preserve">SYN-0235</t>
  </si>
  <si>
    <t xml:space="preserve">SYN-0236</t>
  </si>
  <si>
    <t xml:space="preserve">SYN-0237</t>
  </si>
  <si>
    <t xml:space="preserve">SYN-0238</t>
  </si>
  <si>
    <t xml:space="preserve">SYN-0239</t>
  </si>
  <si>
    <t xml:space="preserve">SYN-0240</t>
  </si>
  <si>
    <t xml:space="preserve">SYN-0241</t>
  </si>
  <si>
    <t xml:space="preserve">SYN-0242</t>
  </si>
  <si>
    <t xml:space="preserve">SYN-0243</t>
  </si>
  <si>
    <t xml:space="preserve">SYN-0244</t>
  </si>
  <si>
    <t xml:space="preserve">SYN-0245</t>
  </si>
  <si>
    <t xml:space="preserve">SYN-0246</t>
  </si>
  <si>
    <t xml:space="preserve">SYN-0247</t>
  </si>
  <si>
    <t xml:space="preserve">SYN-0248</t>
  </si>
  <si>
    <t xml:space="preserve">SYN-0249</t>
  </si>
  <si>
    <t xml:space="preserve">SYN-0250</t>
  </si>
  <si>
    <t xml:space="preserve">SYN-0251</t>
  </si>
  <si>
    <t xml:space="preserve">SYN-0252</t>
  </si>
  <si>
    <t xml:space="preserve">SYN-0253</t>
  </si>
  <si>
    <t xml:space="preserve">SYN-0254</t>
  </si>
  <si>
    <t xml:space="preserve">SYN-0255</t>
  </si>
  <si>
    <t xml:space="preserve">SYN-0256</t>
  </si>
  <si>
    <t xml:space="preserve">SYN-0257</t>
  </si>
  <si>
    <t xml:space="preserve">SYN-0258</t>
  </si>
  <si>
    <t xml:space="preserve">SYN-0259</t>
  </si>
  <si>
    <t xml:space="preserve">SYN-0260</t>
  </si>
  <si>
    <t xml:space="preserve">SYN-0261</t>
  </si>
  <si>
    <t xml:space="preserve">SYN-0262</t>
  </si>
  <si>
    <t xml:space="preserve">SYN-0263</t>
  </si>
  <si>
    <t xml:space="preserve">SYN-0264</t>
  </si>
  <si>
    <t xml:space="preserve">SYN-0265</t>
  </si>
  <si>
    <t xml:space="preserve">SYN-0266</t>
  </si>
  <si>
    <t xml:space="preserve">SYN-0267</t>
  </si>
  <si>
    <t xml:space="preserve">SYN-0268</t>
  </si>
  <si>
    <t xml:space="preserve">SYN-0269</t>
  </si>
  <si>
    <t xml:space="preserve">SYN-0270</t>
  </si>
  <si>
    <t xml:space="preserve">SYN-0271</t>
  </si>
  <si>
    <t xml:space="preserve">SYN-0272</t>
  </si>
  <si>
    <t xml:space="preserve">SYN-0273</t>
  </si>
  <si>
    <t xml:space="preserve">SYN-0274</t>
  </si>
  <si>
    <t xml:space="preserve">SYN-0275</t>
  </si>
  <si>
    <t xml:space="preserve">SYN-0276</t>
  </si>
  <si>
    <t xml:space="preserve">SYN-0277</t>
  </si>
  <si>
    <t xml:space="preserve">SYN-0278</t>
  </si>
  <si>
    <t xml:space="preserve">SYN-0279</t>
  </si>
  <si>
    <t xml:space="preserve">SYN-0280</t>
  </si>
  <si>
    <t xml:space="preserve">SYN-0281</t>
  </si>
  <si>
    <t xml:space="preserve">SYN-0282</t>
  </si>
  <si>
    <t xml:space="preserve">SYN-0283</t>
  </si>
  <si>
    <t xml:space="preserve">SYN-0284</t>
  </si>
  <si>
    <t xml:space="preserve">SYN-0285</t>
  </si>
  <si>
    <t xml:space="preserve">SYN-0286</t>
  </si>
  <si>
    <t xml:space="preserve">SYN-0287</t>
  </si>
  <si>
    <t xml:space="preserve">SYN-0288</t>
  </si>
  <si>
    <t xml:space="preserve">SYN-0289</t>
  </si>
  <si>
    <t xml:space="preserve">SYN-0290</t>
  </si>
  <si>
    <t xml:space="preserve">SYN-0291</t>
  </si>
  <si>
    <t xml:space="preserve">SYN-0292</t>
  </si>
  <si>
    <t xml:space="preserve">SYN-0293</t>
  </si>
  <si>
    <t xml:space="preserve">SYN-0294</t>
  </si>
  <si>
    <t xml:space="preserve">SYN-0295</t>
  </si>
  <si>
    <t xml:space="preserve">SYN-0296</t>
  </si>
  <si>
    <t xml:space="preserve">SYN-0297</t>
  </si>
  <si>
    <t xml:space="preserve">SYN-0298</t>
  </si>
  <si>
    <t xml:space="preserve">SYN-0299</t>
  </si>
  <si>
    <t xml:space="preserve">SYN-0300</t>
  </si>
  <si>
    <t xml:space="preserve">SYN-0301</t>
  </si>
  <si>
    <t xml:space="preserve">SYN-0302</t>
  </si>
  <si>
    <t xml:space="preserve">SYN-0303</t>
  </si>
  <si>
    <t xml:space="preserve">SYN-0304</t>
  </si>
  <si>
    <t xml:space="preserve">SYN-0305</t>
  </si>
  <si>
    <t xml:space="preserve">SYN-0306</t>
  </si>
  <si>
    <t xml:space="preserve">SYN-0307</t>
  </si>
  <si>
    <t xml:space="preserve">SYN-0308</t>
  </si>
  <si>
    <t xml:space="preserve">SYN-0309</t>
  </si>
  <si>
    <t xml:space="preserve">SYN-0310</t>
  </si>
  <si>
    <t xml:space="preserve">SYN-0311</t>
  </si>
  <si>
    <t xml:space="preserve">SYN-0312</t>
  </si>
  <si>
    <t xml:space="preserve">SYN-0313</t>
  </si>
  <si>
    <t xml:space="preserve">SYN-0314</t>
  </si>
  <si>
    <t xml:space="preserve">SYN-0315</t>
  </si>
  <si>
    <t xml:space="preserve">SYN-0316</t>
  </si>
  <si>
    <t xml:space="preserve">SYN-0317</t>
  </si>
  <si>
    <t xml:space="preserve">SYN-0318</t>
  </si>
  <si>
    <t xml:space="preserve">SYN-0319</t>
  </si>
  <si>
    <t xml:space="preserve">SYN-0320</t>
  </si>
  <si>
    <t xml:space="preserve">SYN-0321</t>
  </si>
  <si>
    <t xml:space="preserve">SYN-0322</t>
  </si>
  <si>
    <t xml:space="preserve">SYN-0323</t>
  </si>
  <si>
    <t xml:space="preserve">SYN-0324</t>
  </si>
  <si>
    <t xml:space="preserve">SYN-0325</t>
  </si>
  <si>
    <t xml:space="preserve">SYN-0326</t>
  </si>
  <si>
    <t xml:space="preserve">SYN-0327</t>
  </si>
  <si>
    <t xml:space="preserve">SYN-0328</t>
  </si>
  <si>
    <t xml:space="preserve">SYN-0329</t>
  </si>
  <si>
    <t xml:space="preserve">SYN-0330</t>
  </si>
  <si>
    <t xml:space="preserve">SYN-0331</t>
  </si>
  <si>
    <t xml:space="preserve">SYN-0332</t>
  </si>
  <si>
    <t xml:space="preserve">SYN-0333</t>
  </si>
  <si>
    <t xml:space="preserve">SYN-0334</t>
  </si>
  <si>
    <t xml:space="preserve">SYN-0335</t>
  </si>
  <si>
    <t xml:space="preserve">SYN-0336</t>
  </si>
  <si>
    <t xml:space="preserve">SYN-0337</t>
  </si>
  <si>
    <t xml:space="preserve">SYN-0338</t>
  </si>
  <si>
    <t xml:space="preserve">SYN-0339</t>
  </si>
  <si>
    <t xml:space="preserve">SYN-0340</t>
  </si>
  <si>
    <t xml:space="preserve">SYN-0341</t>
  </si>
  <si>
    <t xml:space="preserve">SYN-0342</t>
  </si>
  <si>
    <t xml:space="preserve">SYN-0343</t>
  </si>
  <si>
    <t xml:space="preserve">SYN-0344</t>
  </si>
  <si>
    <t xml:space="preserve">SYN-0345</t>
  </si>
  <si>
    <t xml:space="preserve">SYN-0346</t>
  </si>
  <si>
    <t xml:space="preserve">SYN-0347</t>
  </si>
  <si>
    <t xml:space="preserve">SYN-0348</t>
  </si>
  <si>
    <t xml:space="preserve">SYN-0349</t>
  </si>
  <si>
    <t xml:space="preserve">SYN-0350</t>
  </si>
  <si>
    <t xml:space="preserve">SYN-0351</t>
  </si>
  <si>
    <t xml:space="preserve">SYN-0352</t>
  </si>
  <si>
    <t xml:space="preserve">SYN-0353</t>
  </si>
  <si>
    <t xml:space="preserve">SYN-0354</t>
  </si>
  <si>
    <t xml:space="preserve">SYN-0355</t>
  </si>
  <si>
    <t xml:space="preserve">SYN-0356</t>
  </si>
  <si>
    <t xml:space="preserve">SYN-0357</t>
  </si>
  <si>
    <t xml:space="preserve">SYN-0358</t>
  </si>
  <si>
    <t xml:space="preserve">SYN-0359</t>
  </si>
  <si>
    <t xml:space="preserve">SYN-0360</t>
  </si>
  <si>
    <t xml:space="preserve">SYN-0361</t>
  </si>
  <si>
    <t xml:space="preserve">SYN-0362</t>
  </si>
  <si>
    <t xml:space="preserve">SYN-0363</t>
  </si>
  <si>
    <t xml:space="preserve">SYN-0364</t>
  </si>
  <si>
    <t xml:space="preserve">SYN-0365</t>
  </si>
  <si>
    <t xml:space="preserve">SYN-0366</t>
  </si>
  <si>
    <t xml:space="preserve">SYN-0367</t>
  </si>
  <si>
    <t xml:space="preserve">SYN-0368</t>
  </si>
  <si>
    <t xml:space="preserve">SYN-0369</t>
  </si>
  <si>
    <t xml:space="preserve">SYN-0370</t>
  </si>
  <si>
    <t xml:space="preserve">SYN-0371</t>
  </si>
  <si>
    <t xml:space="preserve">SYN-0372</t>
  </si>
  <si>
    <t xml:space="preserve">SYN-0373</t>
  </si>
  <si>
    <t xml:space="preserve">SYN-0374</t>
  </si>
  <si>
    <t xml:space="preserve">SYN-0375</t>
  </si>
  <si>
    <t xml:space="preserve">SYN-0376</t>
  </si>
  <si>
    <t xml:space="preserve">SYN-0377</t>
  </si>
  <si>
    <t xml:space="preserve">SYN-0378</t>
  </si>
  <si>
    <t xml:space="preserve">SYN-0379</t>
  </si>
  <si>
    <t xml:space="preserve">SYN-0380</t>
  </si>
  <si>
    <t xml:space="preserve">SYN-0381</t>
  </si>
  <si>
    <t xml:space="preserve">SYN-0382</t>
  </si>
  <si>
    <t xml:space="preserve">SYN-0383</t>
  </si>
  <si>
    <t xml:space="preserve">SYN-0384</t>
  </si>
  <si>
    <t xml:space="preserve">SYN-0385</t>
  </si>
  <si>
    <t xml:space="preserve">SYN-0386</t>
  </si>
  <si>
    <t xml:space="preserve">SYN-0387</t>
  </si>
  <si>
    <t xml:space="preserve">SYN-0388</t>
  </si>
  <si>
    <t xml:space="preserve">SYN-0389</t>
  </si>
  <si>
    <t xml:space="preserve">SYN-0390</t>
  </si>
  <si>
    <t xml:space="preserve">SYN-0391</t>
  </si>
  <si>
    <t xml:space="preserve">SYN-0392</t>
  </si>
  <si>
    <t xml:space="preserve">SYN-0393</t>
  </si>
  <si>
    <t xml:space="preserve">SYN-0394</t>
  </si>
  <si>
    <t xml:space="preserve">SYN-0395</t>
  </si>
  <si>
    <t xml:space="preserve">SYN-0396</t>
  </si>
  <si>
    <t xml:space="preserve">SYN-0397</t>
  </si>
  <si>
    <t xml:space="preserve">SYN-0398</t>
  </si>
  <si>
    <t xml:space="preserve">SYN-0399</t>
  </si>
  <si>
    <t xml:space="preserve">SYN-0400</t>
  </si>
  <si>
    <t xml:space="preserve">SYN-0401</t>
  </si>
  <si>
    <t xml:space="preserve">SYN-0402</t>
  </si>
  <si>
    <t xml:space="preserve">SYN-0403</t>
  </si>
  <si>
    <t xml:space="preserve">SYN-0404</t>
  </si>
  <si>
    <t xml:space="preserve">SYN-0405</t>
  </si>
  <si>
    <t xml:space="preserve">SYN-0406</t>
  </si>
  <si>
    <t xml:space="preserve">SYN-0407</t>
  </si>
  <si>
    <t xml:space="preserve">SYN-0408</t>
  </si>
  <si>
    <t xml:space="preserve">SYN-0409</t>
  </si>
  <si>
    <t xml:space="preserve">SYN-0410</t>
  </si>
  <si>
    <t xml:space="preserve">SYN-0411</t>
  </si>
  <si>
    <t xml:space="preserve">SYN-0412</t>
  </si>
  <si>
    <t xml:space="preserve">SYN-0413</t>
  </si>
  <si>
    <t xml:space="preserve">SYN-0414</t>
  </si>
  <si>
    <t xml:space="preserve">SYN-0415</t>
  </si>
  <si>
    <t xml:space="preserve">SYN-0416</t>
  </si>
  <si>
    <t xml:space="preserve">SYN-0417</t>
  </si>
  <si>
    <t xml:space="preserve">SYN-0418</t>
  </si>
  <si>
    <t xml:space="preserve">SYN-0419</t>
  </si>
  <si>
    <t xml:space="preserve">SYN-0420</t>
  </si>
  <si>
    <t xml:space="preserve">SYN-0421</t>
  </si>
  <si>
    <t xml:space="preserve">SYN-0422</t>
  </si>
  <si>
    <t xml:space="preserve">SYN-0423</t>
  </si>
  <si>
    <t xml:space="preserve">SYN-0424</t>
  </si>
  <si>
    <t xml:space="preserve">SYN-0425</t>
  </si>
  <si>
    <t xml:space="preserve">SYN-0426</t>
  </si>
  <si>
    <t xml:space="preserve">SYN-0427</t>
  </si>
  <si>
    <t xml:space="preserve">SYN-0428</t>
  </si>
  <si>
    <t xml:space="preserve">SYN-0429</t>
  </si>
  <si>
    <t xml:space="preserve">SYN-0430</t>
  </si>
  <si>
    <t xml:space="preserve">SYN-0431</t>
  </si>
  <si>
    <t xml:space="preserve">SYN-0432</t>
  </si>
  <si>
    <t xml:space="preserve">SYN-0433</t>
  </si>
  <si>
    <t xml:space="preserve">SYN-0434</t>
  </si>
  <si>
    <t xml:space="preserve">SYN-0435</t>
  </si>
  <si>
    <t xml:space="preserve">SYN-0436</t>
  </si>
  <si>
    <t xml:space="preserve">SYN-0437</t>
  </si>
  <si>
    <t xml:space="preserve">SYN-0438</t>
  </si>
  <si>
    <t xml:space="preserve">SYN-0439</t>
  </si>
  <si>
    <t xml:space="preserve">SYN-0440</t>
  </si>
  <si>
    <t xml:space="preserve">SYN-0441</t>
  </si>
  <si>
    <t xml:space="preserve">SYN-0442</t>
  </si>
  <si>
    <t xml:space="preserve">SYN-0443</t>
  </si>
  <si>
    <t xml:space="preserve">SYN-0444</t>
  </si>
  <si>
    <t xml:space="preserve">SYN-0445</t>
  </si>
  <si>
    <t xml:space="preserve">SYN-0446</t>
  </si>
  <si>
    <t xml:space="preserve">SYN-0447</t>
  </si>
  <si>
    <t xml:space="preserve">SYN-0448</t>
  </si>
  <si>
    <t xml:space="preserve">SYN-0449</t>
  </si>
  <si>
    <t xml:space="preserve">SYN-0450</t>
  </si>
  <si>
    <t xml:space="preserve">SYN-0451</t>
  </si>
  <si>
    <t xml:space="preserve">SYN-0452</t>
  </si>
  <si>
    <t xml:space="preserve">SYN-0453</t>
  </si>
  <si>
    <t xml:space="preserve">SYN-0454</t>
  </si>
  <si>
    <t xml:space="preserve">SYN-0455</t>
  </si>
  <si>
    <t xml:space="preserve">SYN-0456</t>
  </si>
  <si>
    <t xml:space="preserve">SYN-0457</t>
  </si>
  <si>
    <t xml:space="preserve">SYN-0458</t>
  </si>
  <si>
    <t xml:space="preserve">SYN-0459</t>
  </si>
  <si>
    <t xml:space="preserve">SYN-0460</t>
  </si>
  <si>
    <t xml:space="preserve">SYN-0461</t>
  </si>
  <si>
    <t xml:space="preserve">SYN-0462</t>
  </si>
  <si>
    <t xml:space="preserve">SYN-0463</t>
  </si>
  <si>
    <t xml:space="preserve">SYN-0464</t>
  </si>
  <si>
    <t xml:space="preserve">SYN-0465</t>
  </si>
  <si>
    <t xml:space="preserve">SYN-0466</t>
  </si>
  <si>
    <t xml:space="preserve">SYN-0467</t>
  </si>
  <si>
    <t xml:space="preserve">SYN-0468</t>
  </si>
  <si>
    <t xml:space="preserve">SYN-0469</t>
  </si>
  <si>
    <t xml:space="preserve">SYN-0470</t>
  </si>
  <si>
    <t xml:space="preserve">SYN-0471</t>
  </si>
  <si>
    <t xml:space="preserve">SYN-0472</t>
  </si>
  <si>
    <t xml:space="preserve">SYN-0473</t>
  </si>
  <si>
    <t xml:space="preserve">SYN-0474</t>
  </si>
  <si>
    <t xml:space="preserve">SYN-0475</t>
  </si>
  <si>
    <t xml:space="preserve">SYN-0476</t>
  </si>
  <si>
    <t xml:space="preserve">SYN-0477</t>
  </si>
  <si>
    <t xml:space="preserve">SYN-0478</t>
  </si>
  <si>
    <t xml:space="preserve">SYN-0479</t>
  </si>
  <si>
    <t xml:space="preserve">SYN-0480</t>
  </si>
  <si>
    <t xml:space="preserve">SYN-0481</t>
  </si>
  <si>
    <t xml:space="preserve">SYN-0482</t>
  </si>
  <si>
    <t xml:space="preserve">SYN-0483</t>
  </si>
  <si>
    <t xml:space="preserve">SYN-0484</t>
  </si>
  <si>
    <t xml:space="preserve">SYN-0485</t>
  </si>
  <si>
    <t xml:space="preserve">SYN-0486</t>
  </si>
  <si>
    <t xml:space="preserve">SYN-0487</t>
  </si>
  <si>
    <t xml:space="preserve">SYN-0488</t>
  </si>
  <si>
    <t xml:space="preserve">SYN-0489</t>
  </si>
  <si>
    <t xml:space="preserve">SYN-0490</t>
  </si>
  <si>
    <t xml:space="preserve">SYN-0491</t>
  </si>
  <si>
    <t xml:space="preserve">SYN-0492</t>
  </si>
  <si>
    <t xml:space="preserve">SYN-0493</t>
  </si>
  <si>
    <t xml:space="preserve">SYN-0494</t>
  </si>
  <si>
    <t xml:space="preserve">SYN-0495</t>
  </si>
  <si>
    <t xml:space="preserve">SYN-0496</t>
  </si>
  <si>
    <t xml:space="preserve">SYN-0497</t>
  </si>
  <si>
    <t xml:space="preserve">SYN-0498</t>
  </si>
  <si>
    <t xml:space="preserve">SYN-0499</t>
  </si>
  <si>
    <t xml:space="preserve">SYN-0500</t>
  </si>
  <si>
    <t xml:space="preserve">SYN-0501</t>
  </si>
  <si>
    <t xml:space="preserve">SYN-0502</t>
  </si>
  <si>
    <t xml:space="preserve">SYN-0503</t>
  </si>
  <si>
    <t xml:space="preserve">SYN-0504</t>
  </si>
  <si>
    <t xml:space="preserve">SYN-0505</t>
  </si>
  <si>
    <t xml:space="preserve">SYN-0506</t>
  </si>
  <si>
    <t xml:space="preserve">SYN-0507</t>
  </si>
  <si>
    <t xml:space="preserve">SYN-0508</t>
  </si>
  <si>
    <t xml:space="preserve">SYN-0509</t>
  </si>
  <si>
    <t xml:space="preserve">SYN-0510</t>
  </si>
  <si>
    <t xml:space="preserve">SYN-0511</t>
  </si>
  <si>
    <t xml:space="preserve">SYN-0512</t>
  </si>
  <si>
    <t xml:space="preserve">SYN-0513</t>
  </si>
  <si>
    <t xml:space="preserve">SYN-0514</t>
  </si>
  <si>
    <t xml:space="preserve">SYN-0515</t>
  </si>
  <si>
    <t xml:space="preserve">SYN-0516</t>
  </si>
  <si>
    <t xml:space="preserve">SYN-0517</t>
  </si>
  <si>
    <t xml:space="preserve">SYN-0518</t>
  </si>
  <si>
    <t xml:space="preserve">SYN-0519</t>
  </si>
  <si>
    <t xml:space="preserve">SYN-0520</t>
  </si>
  <si>
    <t xml:space="preserve">SYN-0521</t>
  </si>
  <si>
    <t xml:space="preserve">SYN-0522</t>
  </si>
  <si>
    <t xml:space="preserve">SYN-0523</t>
  </si>
  <si>
    <t xml:space="preserve">SYN-0524</t>
  </si>
  <si>
    <t xml:space="preserve">SYN-0525</t>
  </si>
  <si>
    <t xml:space="preserve">SYN-0526</t>
  </si>
  <si>
    <t xml:space="preserve">SYN-0527</t>
  </si>
  <si>
    <t xml:space="preserve">SYN-0528</t>
  </si>
  <si>
    <t xml:space="preserve">SYN-0529</t>
  </si>
  <si>
    <t xml:space="preserve">SYN-0530</t>
  </si>
  <si>
    <t xml:space="preserve">SYN-0531</t>
  </si>
  <si>
    <t xml:space="preserve">SYN-0532</t>
  </si>
  <si>
    <t xml:space="preserve">SYN-0533</t>
  </si>
  <si>
    <t xml:space="preserve">SYN-0534</t>
  </si>
  <si>
    <t xml:space="preserve">SYN-0535</t>
  </si>
  <si>
    <t xml:space="preserve">SYN-0536</t>
  </si>
  <si>
    <t xml:space="preserve">SYN-0537</t>
  </si>
  <si>
    <t xml:space="preserve">SYN-0538</t>
  </si>
  <si>
    <t xml:space="preserve">SYN-0539</t>
  </si>
  <si>
    <t xml:space="preserve">SYN-0540</t>
  </si>
  <si>
    <t xml:space="preserve">SYN-0541</t>
  </si>
  <si>
    <t xml:space="preserve">SYN-0542</t>
  </si>
  <si>
    <t xml:space="preserve">SYN-0543</t>
  </si>
  <si>
    <t xml:space="preserve">SYN-0544</t>
  </si>
  <si>
    <t xml:space="preserve">SYN-0545</t>
  </si>
  <si>
    <t xml:space="preserve">SYN-0546</t>
  </si>
  <si>
    <t xml:space="preserve">SYN-0547</t>
  </si>
  <si>
    <t xml:space="preserve">SYN-0548</t>
  </si>
  <si>
    <t xml:space="preserve">SYN-0549</t>
  </si>
  <si>
    <t xml:space="preserve">SYN-0550</t>
  </si>
  <si>
    <t xml:space="preserve">SYN-0551</t>
  </si>
  <si>
    <t xml:space="preserve">SYN-0552</t>
  </si>
  <si>
    <t xml:space="preserve">SYN-0553</t>
  </si>
  <si>
    <t xml:space="preserve">SYN-0554</t>
  </si>
  <si>
    <t xml:space="preserve">SYN-0555</t>
  </si>
  <si>
    <t xml:space="preserve">SYN-0556</t>
  </si>
  <si>
    <t xml:space="preserve">SYN-0557</t>
  </si>
  <si>
    <t xml:space="preserve">SYN-0558</t>
  </si>
  <si>
    <t xml:space="preserve">SYN-0559</t>
  </si>
  <si>
    <t xml:space="preserve">SYN-0560</t>
  </si>
  <si>
    <t xml:space="preserve">SYN-0561</t>
  </si>
  <si>
    <t xml:space="preserve">SYN-0562</t>
  </si>
  <si>
    <t xml:space="preserve">SYN-0563</t>
  </si>
  <si>
    <t xml:space="preserve">SYN-0564</t>
  </si>
  <si>
    <t xml:space="preserve">SYN-0565</t>
  </si>
  <si>
    <t xml:space="preserve">SYN-0566</t>
  </si>
  <si>
    <t xml:space="preserve">SYN-0567</t>
  </si>
  <si>
    <t xml:space="preserve">SYN-0568</t>
  </si>
  <si>
    <t xml:space="preserve">SYN-0569</t>
  </si>
  <si>
    <t xml:space="preserve">SYN-0570</t>
  </si>
  <si>
    <t xml:space="preserve">SYN-0571</t>
  </si>
  <si>
    <t xml:space="preserve">SYN-0572</t>
  </si>
  <si>
    <t xml:space="preserve">SYN-0573</t>
  </si>
  <si>
    <t xml:space="preserve">SYN-0574</t>
  </si>
  <si>
    <t xml:space="preserve">SYN-0575</t>
  </si>
  <si>
    <t xml:space="preserve">SYN-0576</t>
  </si>
  <si>
    <t xml:space="preserve">SYN-0577</t>
  </si>
  <si>
    <t xml:space="preserve">SYN-0578</t>
  </si>
  <si>
    <t xml:space="preserve">SYN-0579</t>
  </si>
  <si>
    <t xml:space="preserve">SYN-0580</t>
  </si>
  <si>
    <t xml:space="preserve">SYN-0581</t>
  </si>
  <si>
    <t xml:space="preserve">SYN-0582</t>
  </si>
  <si>
    <t xml:space="preserve">SYN-0583</t>
  </si>
  <si>
    <t xml:space="preserve">SYN-0584</t>
  </si>
  <si>
    <t xml:space="preserve">SYN-0585</t>
  </si>
  <si>
    <t xml:space="preserve">SYN-0586</t>
  </si>
  <si>
    <t xml:space="preserve">SYN-0587</t>
  </si>
  <si>
    <t xml:space="preserve">SYN-0588</t>
  </si>
  <si>
    <t xml:space="preserve">SYN-0589</t>
  </si>
  <si>
    <t xml:space="preserve">SYN-0590</t>
  </si>
  <si>
    <t xml:space="preserve">SYN-0591</t>
  </si>
  <si>
    <t xml:space="preserve">SYN-0592</t>
  </si>
  <si>
    <t xml:space="preserve">SYN-0593</t>
  </si>
  <si>
    <t xml:space="preserve">SYN-0594</t>
  </si>
  <si>
    <t xml:space="preserve">SYN-0595</t>
  </si>
  <si>
    <t xml:space="preserve">SYN-0596</t>
  </si>
  <si>
    <t xml:space="preserve">SYN-0597</t>
  </si>
  <si>
    <t xml:space="preserve">SYN-0598</t>
  </si>
  <si>
    <t xml:space="preserve">SYN-0599</t>
  </si>
  <si>
    <t xml:space="preserve">SYN-0600</t>
  </si>
  <si>
    <t xml:space="preserve">Reserve roll-forward by synthetic cohort</t>
  </si>
  <si>
    <t xml:space="preserve">Amounts in EUR for 2025-Q4</t>
  </si>
  <si>
    <t xml:space="preserve">Opening reserve</t>
  </si>
  <si>
    <t xml:space="preserve">Claims / service movement</t>
  </si>
  <si>
    <t xml:space="preserve">Assumption strengthening</t>
  </si>
  <si>
    <t xml:space="preserve">FX movement</t>
  </si>
  <si>
    <t xml:space="preserve">Closing reserve</t>
  </si>
  <si>
    <t xml:space="preserve">Ceiling control</t>
  </si>
  <si>
    <t xml:space="preserve">Floor control</t>
  </si>
  <si>
    <t xml:space="preserve">Rounded up</t>
  </si>
  <si>
    <t xml:space="preserve">Rounded down</t>
  </si>
  <si>
    <t xml:space="preserve">Product aggregation and distribution checks</t>
  </si>
  <si>
    <t xml:space="preserve">Synthetic portfolio summary for 2025-Q4</t>
  </si>
  <si>
    <t xml:space="preserve">Cohort count</t>
  </si>
  <si>
    <t xml:space="preserve">Included count</t>
  </si>
  <si>
    <t xml:space="preserve">Service movement</t>
  </si>
  <si>
    <t xml:space="preserve">Average closing</t>
  </si>
  <si>
    <t xml:space="preserve">Average included closing</t>
  </si>
  <si>
    <t xml:space="preserve">Minimum closing</t>
  </si>
  <si>
    <t xml:space="preserve">Maximum closing</t>
  </si>
  <si>
    <t xml:space="preserve">Portfolio total</t>
  </si>
  <si>
    <t xml:space="preserve">Accounting bridge outputs</t>
  </si>
  <si>
    <t xml:space="preserve">Signed balances: credits are negative; all figures are synthetic.</t>
  </si>
  <si>
    <t xml:space="preserve">Account</t>
  </si>
  <si>
    <t xml:space="preserve">Output label</t>
  </si>
  <si>
    <t xml:space="preserve">Signed balance (EUR)</t>
  </si>
  <si>
    <t xml:space="preserve">SYN-2100</t>
  </si>
  <si>
    <t xml:space="preserve">SYN-2110</t>
  </si>
  <si>
    <t xml:space="preserve">Claims and service movements</t>
  </si>
  <si>
    <t xml:space="preserve">SYN-2120</t>
  </si>
  <si>
    <t xml:space="preserve">Assumption strengthening amount</t>
  </si>
  <si>
    <t xml:space="preserve">SYN-2130</t>
  </si>
  <si>
    <t xml:space="preserve">SYN-2140</t>
  </si>
  <si>
    <t xml:space="preserve">SYN-2199</t>
  </si>
  <si>
    <t xml:space="preserve">Signed accounting balance</t>
  </si>
  <si>
    <t xml:space="preserve">Independent workbook controls</t>
  </si>
  <si>
    <t xml:space="preserve">A zero value is expected for each calculation.</t>
  </si>
  <si>
    <t xml:space="preserve">Control</t>
  </si>
  <si>
    <t xml:space="preserve">Difference (EUR)</t>
  </si>
  <si>
    <t xml:space="preserve">Closing reserve to roll-forward</t>
  </si>
  <si>
    <t xml:space="preserve">Opening reserve to roll-forward</t>
  </si>
  <si>
    <t xml:space="preserve">Accounting bridge signed total</t>
  </si>
  <si>
    <t xml:space="preserve">Aggregation closing reserve</t>
  </si>
  <si>
    <t xml:space="preserve">Absolute closing difference</t>
  </si>
  <si>
    <t xml:space="preserve">Demonstration guide</t>
  </si>
  <si>
    <t xml:space="preserve">Scope</t>
  </si>
  <si>
    <t xml:space="preserve">Spreadsheet reconstruction and financial reconciliation around a synthetic IFRS 17-related process.</t>
  </si>
  <si>
    <t xml:space="preserve">Boundary</t>
  </si>
  <si>
    <t xml:space="preserve">This workbook does not implement or validate the full IFRS 17 methodology and is not an audit opinion.</t>
  </si>
  <si>
    <t xml:space="preserve">Synthetic data</t>
  </si>
  <si>
    <t xml:space="preserve">All entities, cohorts, accounts and amounts are fictional.</t>
  </si>
  <si>
    <t xml:space="preserve">Gate 2 authoritative output</t>
  </si>
  <si>
    <t xml:space="preserve">AccountingBridge!C9</t>
  </si>
  <si>
    <t xml:space="preserve">Cell</t>
  </si>
  <si>
    <t xml:space="preserve">Hand-checkable output</t>
  </si>
  <si>
    <t xml:space="preserve">Expected signed value (EUR)</t>
  </si>
  <si>
    <t xml:space="preserve">AccountingBridge!C4</t>
  </si>
  <si>
    <t xml:space="preserve">AccountingBridge!C5</t>
  </si>
  <si>
    <t xml:space="preserve">AccountingBridge!C6</t>
  </si>
  <si>
    <t xml:space="preserve">AccountingBridge!C7</t>
  </si>
  <si>
    <t xml:space="preserve">AccountingBridge!C8</t>
  </si>
  <si>
    <t xml:space="preserve">Demonstration sequence</t>
  </si>
  <si>
    <t xml:space="preserve">1</t>
  </si>
  <si>
    <t xml:space="preserve">Confirm entity, period, currency, basis, workbook hash and accounting reference context at Gate 1.</t>
  </si>
  <si>
    <t xml:space="preserve">2</t>
  </si>
  <si>
    <t xml:space="preserve">Review every finding and designate AccountingBridge!C9 at Gate 2.</t>
  </si>
  <si>
    <t xml:space="preserve">3</t>
  </si>
  <si>
    <t xml:space="preserve">Approve the proposed accounting mapping and set both materiality thresholds at Gate 3.</t>
  </si>
  <si>
    <t xml:space="preserve">4</t>
  </si>
  <si>
    <t xml:space="preserve">Create the named approval record at Gate 4; only then generate the PDF.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</si>
</sst>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7365D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/>
      <right/>
      <top style="thin">
        <color rgb="FFB7C9D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9" min="8" style="0" width="14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3" t="s">
        <v>4</v>
      </c>
      <c r="I2" s="3" t="s">
        <v>5</v>
      </c>
      <c r="J2" s="2"/>
      <c r="K2" s="3" t="s">
        <v>6</v>
      </c>
      <c r="L2" s="3" t="s">
        <v>7</v>
      </c>
    </row>
    <row r="3" customFormat="false" ht="15" hidden="false" customHeight="false" outlineLevel="0" collapsed="false">
      <c r="A3" s="2" t="s">
        <v>8</v>
      </c>
      <c r="B3" s="4" t="n">
        <v>0.035</v>
      </c>
      <c r="C3" s="2" t="s">
        <v>9</v>
      </c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 t="s">
        <v>10</v>
      </c>
      <c r="B4" s="4" t="n">
        <v>0.08</v>
      </c>
      <c r="C4" s="2" t="s">
        <v>11</v>
      </c>
      <c r="D4" s="2"/>
      <c r="E4" s="2"/>
      <c r="F4" s="2"/>
      <c r="G4" s="2"/>
      <c r="H4" s="2" t="s">
        <v>12</v>
      </c>
      <c r="I4" s="4" t="n">
        <v>1</v>
      </c>
      <c r="J4" s="2"/>
      <c r="K4" s="2" t="s">
        <v>13</v>
      </c>
      <c r="L4" s="4" t="n">
        <v>0.62</v>
      </c>
    </row>
    <row r="5" customFormat="false" ht="15" hidden="false" customHeight="false" outlineLevel="0" collapsed="false">
      <c r="A5" s="2" t="s">
        <v>14</v>
      </c>
      <c r="B5" s="4" t="n">
        <v>0.02</v>
      </c>
      <c r="C5" s="2" t="s">
        <v>15</v>
      </c>
      <c r="D5" s="2"/>
      <c r="E5" s="2"/>
      <c r="F5" s="2"/>
      <c r="G5" s="2"/>
      <c r="H5" s="2" t="s">
        <v>16</v>
      </c>
      <c r="I5" s="4" t="n">
        <v>1.15</v>
      </c>
      <c r="J5" s="2"/>
      <c r="K5" s="2" t="s">
        <v>17</v>
      </c>
      <c r="L5" s="4" t="n">
        <v>0.7</v>
      </c>
    </row>
    <row r="6" customFormat="false" ht="15" hidden="false" customHeight="false" outlineLevel="0" collapsed="false">
      <c r="A6" s="2" t="s">
        <v>18</v>
      </c>
      <c r="B6" s="4" t="n">
        <v>0.015</v>
      </c>
      <c r="C6" s="2" t="s">
        <v>19</v>
      </c>
      <c r="D6" s="2"/>
      <c r="E6" s="2"/>
      <c r="F6" s="2"/>
      <c r="G6" s="2"/>
      <c r="H6" s="2"/>
      <c r="I6" s="2"/>
      <c r="J6" s="2"/>
      <c r="K6" s="2" t="s">
        <v>20</v>
      </c>
      <c r="L6" s="4" t="n">
        <v>0.55</v>
      </c>
    </row>
    <row r="7" customFormat="false" ht="15" hidden="false" customHeight="false" outlineLevel="0" collapsed="false">
      <c r="A7" s="2" t="s">
        <v>21</v>
      </c>
      <c r="B7" s="4" t="n">
        <v>1</v>
      </c>
      <c r="C7" s="2" t="s">
        <v>22</v>
      </c>
      <c r="D7" s="2"/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2" t="s">
        <v>23</v>
      </c>
      <c r="B8" s="4" t="n">
        <v>100</v>
      </c>
      <c r="C8" s="2" t="s">
        <v>24</v>
      </c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 t="s">
        <v>25</v>
      </c>
      <c r="B9" s="4" t="n">
        <v>0</v>
      </c>
      <c r="C9" s="2" t="s">
        <v>26</v>
      </c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 t="s">
        <v>27</v>
      </c>
      <c r="B10" s="4" t="n">
        <v>0</v>
      </c>
      <c r="C10" s="2" t="s">
        <v>28</v>
      </c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 t="s">
        <v>29</v>
      </c>
      <c r="B11" s="4" t="n">
        <v>0</v>
      </c>
      <c r="C11" s="2" t="s">
        <v>30</v>
      </c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 t="s">
        <v>31</v>
      </c>
      <c r="B12" s="4" t="n">
        <v>100000</v>
      </c>
      <c r="C12" s="2" t="s">
        <v>32</v>
      </c>
      <c r="D12" s="2"/>
      <c r="E12" s="2"/>
      <c r="F12" s="2"/>
      <c r="G12" s="2"/>
      <c r="H12" s="2"/>
      <c r="I12" s="2"/>
      <c r="J12" s="2"/>
      <c r="K12" s="2"/>
      <c r="L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20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15"/>
  </cols>
  <sheetData>
    <row r="1" customFormat="false" ht="24" hidden="false" customHeight="true" outlineLevel="0" collapsed="false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s">
        <v>35</v>
      </c>
      <c r="B3" s="3" t="s">
        <v>36</v>
      </c>
      <c r="C3" s="3" t="s">
        <v>6</v>
      </c>
      <c r="D3" s="3" t="s">
        <v>4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7</v>
      </c>
      <c r="L3" s="3" t="s">
        <v>43</v>
      </c>
      <c r="M3" s="3" t="s">
        <v>44</v>
      </c>
      <c r="N3" s="3" t="s">
        <v>45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s">
        <v>13</v>
      </c>
      <c r="D4" s="2" t="s">
        <v>12</v>
      </c>
      <c r="E4" s="5" t="n">
        <v>427000</v>
      </c>
      <c r="F4" s="5" t="n">
        <v>264740</v>
      </c>
      <c r="G4" s="5" t="n">
        <v>158844</v>
      </c>
      <c r="H4" s="5" t="n">
        <f aca="false">TRUE()</f>
        <v>1</v>
      </c>
      <c r="I4" s="6" t="n">
        <f aca="false">VLOOKUP(D4,Assumptions!$H$4:$I$5,2,FALSE())</f>
        <v>1</v>
      </c>
      <c r="J4" s="6" t="n">
        <f aca="false">MATCH(C4,Assumptions!$K$4:$K$6,0)</f>
        <v>1</v>
      </c>
      <c r="K4" s="6" t="n">
        <f aca="false">INDEX(Assumptions!$L$4:$L$6,J4)</f>
        <v>0.62</v>
      </c>
      <c r="L4" s="6" t="n">
        <f aca="false">IF(H4,ROUND(E4*K4,2),Assumptions!$B$11)</f>
        <v>264740</v>
      </c>
      <c r="M4" s="7" t="n">
        <f aca="false">ABS(F4-L4)</f>
        <v>0</v>
      </c>
      <c r="N4" s="6" t="n">
        <f aca="false">INT(E4/Assumptions!$B$12)</f>
        <v>4</v>
      </c>
    </row>
    <row r="5" customFormat="false" ht="15" hidden="false" customHeight="false" outlineLevel="0" collapsed="false">
      <c r="A5" s="2" t="s">
        <v>48</v>
      </c>
      <c r="B5" s="2" t="s">
        <v>47</v>
      </c>
      <c r="C5" s="2" t="s">
        <v>17</v>
      </c>
      <c r="D5" s="2" t="s">
        <v>12</v>
      </c>
      <c r="E5" s="5" t="n">
        <v>157000</v>
      </c>
      <c r="F5" s="5" t="n">
        <v>109900</v>
      </c>
      <c r="G5" s="5" t="n">
        <v>65940</v>
      </c>
      <c r="H5" s="5" t="n">
        <f aca="false">TRUE()</f>
        <v>1</v>
      </c>
      <c r="I5" s="6" t="n">
        <f aca="false">VLOOKUP(D5,Assumptions!$H$4:$I$5,2,FALSE())</f>
        <v>1</v>
      </c>
      <c r="J5" s="6" t="n">
        <f aca="false">MATCH(C5,Assumptions!$K$4:$K$6,0)</f>
        <v>2</v>
      </c>
      <c r="K5" s="6" t="n">
        <f aca="false">INDEX(Assumptions!$L$4:$L$6,J5)</f>
        <v>0.7</v>
      </c>
      <c r="L5" s="6" t="n">
        <f aca="false">IF(H5,ROUND(E5*K5,2),Assumptions!$B$11)</f>
        <v>109900</v>
      </c>
      <c r="M5" s="7" t="n">
        <f aca="false">ABS(F5-L5)</f>
        <v>0</v>
      </c>
      <c r="N5" s="6" t="n">
        <f aca="false">INT(E5/Assumptions!$B$12)</f>
        <v>1</v>
      </c>
    </row>
    <row r="6" customFormat="false" ht="15" hidden="false" customHeight="false" outlineLevel="0" collapsed="false">
      <c r="A6" s="2" t="s">
        <v>49</v>
      </c>
      <c r="B6" s="2" t="s">
        <v>47</v>
      </c>
      <c r="C6" s="2" t="s">
        <v>20</v>
      </c>
      <c r="D6" s="2" t="s">
        <v>12</v>
      </c>
      <c r="E6" s="5" t="n">
        <v>112000</v>
      </c>
      <c r="F6" s="5" t="n">
        <v>61600</v>
      </c>
      <c r="G6" s="5" t="n">
        <v>36960</v>
      </c>
      <c r="H6" s="5" t="n">
        <f aca="false">TRUE()</f>
        <v>1</v>
      </c>
      <c r="I6" s="6" t="n">
        <f aca="false">VLOOKUP(D6,Assumptions!$H$4:$I$5,2,FALSE())</f>
        <v>1</v>
      </c>
      <c r="J6" s="6" t="n">
        <f aca="false">MATCH(C6,Assumptions!$K$4:$K$6,0)</f>
        <v>3</v>
      </c>
      <c r="K6" s="6" t="n">
        <f aca="false">INDEX(Assumptions!$L$4:$L$6,J6)</f>
        <v>0.55</v>
      </c>
      <c r="L6" s="6" t="n">
        <f aca="false">IF(H6,ROUND(E6*K6,2),Assumptions!$B$11)</f>
        <v>61600</v>
      </c>
      <c r="M6" s="7" t="n">
        <f aca="false">ABS(F6-L6)</f>
        <v>0</v>
      </c>
      <c r="N6" s="6" t="n">
        <f aca="false">INT(E6/Assumptions!$B$12)</f>
        <v>1</v>
      </c>
    </row>
    <row r="7" customFormat="false" ht="15" hidden="false" customHeight="false" outlineLevel="0" collapsed="false">
      <c r="A7" s="2" t="s">
        <v>50</v>
      </c>
      <c r="B7" s="2" t="s">
        <v>47</v>
      </c>
      <c r="C7" s="2" t="s">
        <v>13</v>
      </c>
      <c r="D7" s="2" t="s">
        <v>16</v>
      </c>
      <c r="E7" s="5" t="n">
        <v>479000</v>
      </c>
      <c r="F7" s="5" t="n">
        <v>296980</v>
      </c>
      <c r="G7" s="5" t="n">
        <v>178188</v>
      </c>
      <c r="H7" s="5" t="n">
        <f aca="false">TRUE()</f>
        <v>1</v>
      </c>
      <c r="I7" s="6" t="n">
        <f aca="false">VLOOKUP(D7,Assumptions!$H$4:$I$5,2,FALSE())</f>
        <v>1.15</v>
      </c>
      <c r="J7" s="6" t="n">
        <f aca="false">MATCH(C7,Assumptions!$K$4:$K$6,0)</f>
        <v>1</v>
      </c>
      <c r="K7" s="6" t="n">
        <f aca="false">INDEX(Assumptions!$L$4:$L$6,J7)</f>
        <v>0.62</v>
      </c>
      <c r="L7" s="6" t="n">
        <f aca="false">IF(H7,ROUND(E7*K7,2),Assumptions!$B$11)</f>
        <v>296980</v>
      </c>
      <c r="M7" s="7" t="n">
        <f aca="false">ABS(F7-L7)</f>
        <v>0</v>
      </c>
      <c r="N7" s="6" t="n">
        <f aca="false">INT(E7/Assumptions!$B$12)</f>
        <v>4</v>
      </c>
    </row>
    <row r="8" customFormat="false" ht="15" hidden="false" customHeight="false" outlineLevel="0" collapsed="false">
      <c r="A8" s="2" t="s">
        <v>51</v>
      </c>
      <c r="B8" s="2" t="s">
        <v>47</v>
      </c>
      <c r="C8" s="2" t="s">
        <v>17</v>
      </c>
      <c r="D8" s="2" t="s">
        <v>12</v>
      </c>
      <c r="E8" s="5" t="n">
        <v>240000</v>
      </c>
      <c r="F8" s="5" t="n">
        <v>168000</v>
      </c>
      <c r="G8" s="5" t="n">
        <v>100800</v>
      </c>
      <c r="H8" s="5" t="n">
        <f aca="false">TRUE()</f>
        <v>1</v>
      </c>
      <c r="I8" s="6" t="n">
        <f aca="false">VLOOKUP(D8,Assumptions!$H$4:$I$5,2,FALSE())</f>
        <v>1</v>
      </c>
      <c r="J8" s="6" t="n">
        <f aca="false">MATCH(C8,Assumptions!$K$4:$K$6,0)</f>
        <v>2</v>
      </c>
      <c r="K8" s="6" t="n">
        <f aca="false">INDEX(Assumptions!$L$4:$L$6,J8)</f>
        <v>0.7</v>
      </c>
      <c r="L8" s="6" t="n">
        <f aca="false">IF(H8,ROUND(E8*K8,2),Assumptions!$B$11)</f>
        <v>168000</v>
      </c>
      <c r="M8" s="7" t="n">
        <f aca="false">ABS(F8-L8)</f>
        <v>0</v>
      </c>
      <c r="N8" s="6" t="n">
        <f aca="false">INT(E8/Assumptions!$B$12)</f>
        <v>2</v>
      </c>
    </row>
    <row r="9" customFormat="false" ht="15" hidden="false" customHeight="false" outlineLevel="0" collapsed="false">
      <c r="A9" s="2" t="s">
        <v>52</v>
      </c>
      <c r="B9" s="2" t="s">
        <v>47</v>
      </c>
      <c r="C9" s="2" t="s">
        <v>20</v>
      </c>
      <c r="D9" s="2" t="s">
        <v>12</v>
      </c>
      <c r="E9" s="5" t="n">
        <v>225000</v>
      </c>
      <c r="F9" s="5" t="n">
        <v>123750</v>
      </c>
      <c r="G9" s="5" t="n">
        <v>74250</v>
      </c>
      <c r="H9" s="5" t="n">
        <f aca="false">TRUE()</f>
        <v>1</v>
      </c>
      <c r="I9" s="6" t="n">
        <f aca="false">VLOOKUP(D9,Assumptions!$H$4:$I$5,2,FALSE())</f>
        <v>1</v>
      </c>
      <c r="J9" s="6" t="n">
        <f aca="false">MATCH(C9,Assumptions!$K$4:$K$6,0)</f>
        <v>3</v>
      </c>
      <c r="K9" s="6" t="n">
        <f aca="false">INDEX(Assumptions!$L$4:$L$6,J9)</f>
        <v>0.55</v>
      </c>
      <c r="L9" s="6" t="n">
        <f aca="false">IF(H9,ROUND(E9*K9,2),Assumptions!$B$11)</f>
        <v>123750</v>
      </c>
      <c r="M9" s="7" t="n">
        <f aca="false">ABS(F9-L9)</f>
        <v>0</v>
      </c>
      <c r="N9" s="6" t="n">
        <f aca="false">INT(E9/Assumptions!$B$12)</f>
        <v>2</v>
      </c>
    </row>
    <row r="10" customFormat="false" ht="15" hidden="false" customHeight="false" outlineLevel="0" collapsed="false">
      <c r="A10" s="2" t="s">
        <v>53</v>
      </c>
      <c r="B10" s="2" t="s">
        <v>47</v>
      </c>
      <c r="C10" s="2" t="s">
        <v>13</v>
      </c>
      <c r="D10" s="2" t="s">
        <v>12</v>
      </c>
      <c r="E10" s="5" t="n">
        <v>214000</v>
      </c>
      <c r="F10" s="5" t="n">
        <v>132680</v>
      </c>
      <c r="G10" s="5" t="n">
        <v>79608</v>
      </c>
      <c r="H10" s="5" t="n">
        <f aca="false">TRUE()</f>
        <v>1</v>
      </c>
      <c r="I10" s="6" t="n">
        <f aca="false">VLOOKUP(D10,Assumptions!$H$4:$I$5,2,FALSE())</f>
        <v>1</v>
      </c>
      <c r="J10" s="6" t="n">
        <f aca="false">MATCH(C10,Assumptions!$K$4:$K$6,0)</f>
        <v>1</v>
      </c>
      <c r="K10" s="6" t="n">
        <f aca="false">INDEX(Assumptions!$L$4:$L$6,J10)</f>
        <v>0.62</v>
      </c>
      <c r="L10" s="6" t="n">
        <f aca="false">IF(H10,ROUND(E10*K10,2),Assumptions!$B$11)</f>
        <v>132680</v>
      </c>
      <c r="M10" s="7" t="n">
        <f aca="false">ABS(F10-L10)</f>
        <v>0</v>
      </c>
      <c r="N10" s="6" t="n">
        <f aca="false">INT(E10/Assumptions!$B$12)</f>
        <v>2</v>
      </c>
    </row>
    <row r="11" customFormat="false" ht="15" hidden="false" customHeight="false" outlineLevel="0" collapsed="false">
      <c r="A11" s="2" t="s">
        <v>54</v>
      </c>
      <c r="B11" s="2" t="s">
        <v>47</v>
      </c>
      <c r="C11" s="2" t="s">
        <v>17</v>
      </c>
      <c r="D11" s="2" t="s">
        <v>16</v>
      </c>
      <c r="E11" s="5" t="n">
        <v>171000</v>
      </c>
      <c r="F11" s="5" t="n">
        <v>119700</v>
      </c>
      <c r="G11" s="5" t="n">
        <v>71820</v>
      </c>
      <c r="H11" s="5" t="n">
        <f aca="false">TRUE()</f>
        <v>1</v>
      </c>
      <c r="I11" s="6" t="n">
        <f aca="false">VLOOKUP(D11,Assumptions!$H$4:$I$5,2,FALSE())</f>
        <v>1.15</v>
      </c>
      <c r="J11" s="6" t="n">
        <f aca="false">MATCH(C11,Assumptions!$K$4:$K$6,0)</f>
        <v>2</v>
      </c>
      <c r="K11" s="6" t="n">
        <f aca="false">INDEX(Assumptions!$L$4:$L$6,J11)</f>
        <v>0.7</v>
      </c>
      <c r="L11" s="6" t="n">
        <f aca="false">IF(H11,ROUND(E11*K11,2),Assumptions!$B$11)</f>
        <v>119700</v>
      </c>
      <c r="M11" s="7" t="n">
        <f aca="false">ABS(F11-L11)</f>
        <v>0</v>
      </c>
      <c r="N11" s="6" t="n">
        <f aca="false">INT(E11/Assumptions!$B$12)</f>
        <v>1</v>
      </c>
    </row>
    <row r="12" customFormat="false" ht="15" hidden="false" customHeight="false" outlineLevel="0" collapsed="false">
      <c r="A12" s="2" t="s">
        <v>55</v>
      </c>
      <c r="B12" s="2" t="s">
        <v>47</v>
      </c>
      <c r="C12" s="2" t="s">
        <v>20</v>
      </c>
      <c r="D12" s="2" t="s">
        <v>12</v>
      </c>
      <c r="E12" s="5" t="n">
        <v>477000</v>
      </c>
      <c r="F12" s="5" t="n">
        <v>262350</v>
      </c>
      <c r="G12" s="5" t="n">
        <v>157410</v>
      </c>
      <c r="H12" s="5" t="n">
        <f aca="false">TRUE()</f>
        <v>1</v>
      </c>
      <c r="I12" s="6" t="n">
        <f aca="false">VLOOKUP(D12,Assumptions!$H$4:$I$5,2,FALSE())</f>
        <v>1</v>
      </c>
      <c r="J12" s="6" t="n">
        <f aca="false">MATCH(C12,Assumptions!$K$4:$K$6,0)</f>
        <v>3</v>
      </c>
      <c r="K12" s="6" t="n">
        <f aca="false">INDEX(Assumptions!$L$4:$L$6,J12)</f>
        <v>0.55</v>
      </c>
      <c r="L12" s="6" t="n">
        <f aca="false">IF(H12,ROUND(E12*K12,2),Assumptions!$B$11)</f>
        <v>262350</v>
      </c>
      <c r="M12" s="7" t="n">
        <f aca="false">ABS(F12-L12)</f>
        <v>0</v>
      </c>
      <c r="N12" s="6" t="n">
        <f aca="false">INT(E12/Assumptions!$B$12)</f>
        <v>4</v>
      </c>
    </row>
    <row r="13" customFormat="false" ht="15" hidden="false" customHeight="false" outlineLevel="0" collapsed="false">
      <c r="A13" s="2" t="s">
        <v>56</v>
      </c>
      <c r="B13" s="2" t="s">
        <v>47</v>
      </c>
      <c r="C13" s="2" t="s">
        <v>13</v>
      </c>
      <c r="D13" s="2" t="s">
        <v>12</v>
      </c>
      <c r="E13" s="5" t="n">
        <v>152000</v>
      </c>
      <c r="F13" s="5" t="n">
        <v>94240</v>
      </c>
      <c r="G13" s="5" t="n">
        <v>56544</v>
      </c>
      <c r="H13" s="5" t="n">
        <f aca="false">TRUE()</f>
        <v>1</v>
      </c>
      <c r="I13" s="6" t="n">
        <f aca="false">VLOOKUP(D13,Assumptions!$H$4:$I$5,2,FALSE())</f>
        <v>1</v>
      </c>
      <c r="J13" s="6" t="n">
        <f aca="false">MATCH(C13,Assumptions!$K$4:$K$6,0)</f>
        <v>1</v>
      </c>
      <c r="K13" s="6" t="n">
        <f aca="false">INDEX(Assumptions!$L$4:$L$6,J13)</f>
        <v>0.62</v>
      </c>
      <c r="L13" s="6" t="n">
        <f aca="false">IF(H13,ROUND(E13*K13,2),Assumptions!$B$11)</f>
        <v>94240</v>
      </c>
      <c r="M13" s="7" t="n">
        <f aca="false">ABS(F13-L13)</f>
        <v>0</v>
      </c>
      <c r="N13" s="6" t="n">
        <f aca="false">INT(E13/Assumptions!$B$12)</f>
        <v>1</v>
      </c>
    </row>
    <row r="14" customFormat="false" ht="15" hidden="false" customHeight="false" outlineLevel="0" collapsed="false">
      <c r="A14" s="2" t="s">
        <v>57</v>
      </c>
      <c r="B14" s="2" t="s">
        <v>47</v>
      </c>
      <c r="C14" s="2" t="s">
        <v>17</v>
      </c>
      <c r="D14" s="2" t="s">
        <v>12</v>
      </c>
      <c r="E14" s="5" t="n">
        <v>446000</v>
      </c>
      <c r="F14" s="5" t="n">
        <v>312200</v>
      </c>
      <c r="G14" s="5" t="n">
        <v>187320</v>
      </c>
      <c r="H14" s="5" t="n">
        <f aca="false">TRUE()</f>
        <v>1</v>
      </c>
      <c r="I14" s="6" t="n">
        <f aca="false">VLOOKUP(D14,Assumptions!$H$4:$I$5,2,FALSE())</f>
        <v>1</v>
      </c>
      <c r="J14" s="6" t="n">
        <f aca="false">MATCH(C14,Assumptions!$K$4:$K$6,0)</f>
        <v>2</v>
      </c>
      <c r="K14" s="6" t="n">
        <f aca="false">INDEX(Assumptions!$L$4:$L$6,J14)</f>
        <v>0.7</v>
      </c>
      <c r="L14" s="6" t="n">
        <f aca="false">IF(H14,ROUND(E14*K14,2),Assumptions!$B$11)</f>
        <v>312200</v>
      </c>
      <c r="M14" s="7" t="n">
        <f aca="false">ABS(F14-L14)</f>
        <v>0</v>
      </c>
      <c r="N14" s="6" t="n">
        <f aca="false">INT(E14/Assumptions!$B$12)</f>
        <v>4</v>
      </c>
    </row>
    <row r="15" customFormat="false" ht="15" hidden="false" customHeight="false" outlineLevel="0" collapsed="false">
      <c r="A15" s="2" t="s">
        <v>58</v>
      </c>
      <c r="B15" s="2" t="s">
        <v>47</v>
      </c>
      <c r="C15" s="2" t="s">
        <v>20</v>
      </c>
      <c r="D15" s="2" t="s">
        <v>16</v>
      </c>
      <c r="E15" s="5" t="n">
        <v>479000</v>
      </c>
      <c r="F15" s="5" t="n">
        <v>263450</v>
      </c>
      <c r="G15" s="5" t="n">
        <v>158070</v>
      </c>
      <c r="H15" s="5" t="n">
        <f aca="false">TRUE()</f>
        <v>1</v>
      </c>
      <c r="I15" s="6" t="n">
        <f aca="false">VLOOKUP(D15,Assumptions!$H$4:$I$5,2,FALSE())</f>
        <v>1.15</v>
      </c>
      <c r="J15" s="6" t="n">
        <f aca="false">MATCH(C15,Assumptions!$K$4:$K$6,0)</f>
        <v>3</v>
      </c>
      <c r="K15" s="6" t="n">
        <f aca="false">INDEX(Assumptions!$L$4:$L$6,J15)</f>
        <v>0.55</v>
      </c>
      <c r="L15" s="6" t="n">
        <f aca="false">IF(H15,ROUND(E15*K15,2),Assumptions!$B$11)</f>
        <v>263450</v>
      </c>
      <c r="M15" s="7" t="n">
        <f aca="false">ABS(F15-L15)</f>
        <v>0</v>
      </c>
      <c r="N15" s="6" t="n">
        <f aca="false">INT(E15/Assumptions!$B$12)</f>
        <v>4</v>
      </c>
    </row>
    <row r="16" customFormat="false" ht="15" hidden="false" customHeight="false" outlineLevel="0" collapsed="false">
      <c r="A16" s="2" t="s">
        <v>59</v>
      </c>
      <c r="B16" s="2" t="s">
        <v>47</v>
      </c>
      <c r="C16" s="2" t="s">
        <v>13</v>
      </c>
      <c r="D16" s="2" t="s">
        <v>12</v>
      </c>
      <c r="E16" s="5" t="n">
        <v>379000</v>
      </c>
      <c r="F16" s="5" t="n">
        <v>234980</v>
      </c>
      <c r="G16" s="5" t="n">
        <v>140988</v>
      </c>
      <c r="H16" s="5" t="n">
        <f aca="false">TRUE()</f>
        <v>1</v>
      </c>
      <c r="I16" s="6" t="n">
        <f aca="false">VLOOKUP(D16,Assumptions!$H$4:$I$5,2,FALSE())</f>
        <v>1</v>
      </c>
      <c r="J16" s="6" t="n">
        <f aca="false">MATCH(C16,Assumptions!$K$4:$K$6,0)</f>
        <v>1</v>
      </c>
      <c r="K16" s="6" t="n">
        <f aca="false">INDEX(Assumptions!$L$4:$L$6,J16)</f>
        <v>0.62</v>
      </c>
      <c r="L16" s="6" t="n">
        <f aca="false">IF(H16,ROUND(E16*K16,2),Assumptions!$B$11)</f>
        <v>234980</v>
      </c>
      <c r="M16" s="7" t="n">
        <f aca="false">ABS(F16-L16)</f>
        <v>0</v>
      </c>
      <c r="N16" s="6" t="n">
        <f aca="false">INT(E16/Assumptions!$B$12)</f>
        <v>3</v>
      </c>
    </row>
    <row r="17" customFormat="false" ht="15" hidden="false" customHeight="false" outlineLevel="0" collapsed="false">
      <c r="A17" s="2" t="s">
        <v>60</v>
      </c>
      <c r="B17" s="2" t="s">
        <v>47</v>
      </c>
      <c r="C17" s="2" t="s">
        <v>17</v>
      </c>
      <c r="D17" s="2" t="s">
        <v>12</v>
      </c>
      <c r="E17" s="5" t="n">
        <v>144000</v>
      </c>
      <c r="F17" s="5" t="n">
        <v>100800</v>
      </c>
      <c r="G17" s="5" t="n">
        <v>60480</v>
      </c>
      <c r="H17" s="5" t="n">
        <f aca="false">TRUE()</f>
        <v>1</v>
      </c>
      <c r="I17" s="6" t="n">
        <f aca="false">VLOOKUP(D17,Assumptions!$H$4:$I$5,2,FALSE())</f>
        <v>1</v>
      </c>
      <c r="J17" s="6" t="n">
        <f aca="false">MATCH(C17,Assumptions!$K$4:$K$6,0)</f>
        <v>2</v>
      </c>
      <c r="K17" s="6" t="n">
        <f aca="false">INDEX(Assumptions!$L$4:$L$6,J17)</f>
        <v>0.7</v>
      </c>
      <c r="L17" s="6" t="n">
        <f aca="false">IF(H17,ROUND(E17*K17,2),Assumptions!$B$11)</f>
        <v>100800</v>
      </c>
      <c r="M17" s="7" t="n">
        <f aca="false">ABS(F17-L17)</f>
        <v>0</v>
      </c>
      <c r="N17" s="6" t="n">
        <f aca="false">INT(E17/Assumptions!$B$12)</f>
        <v>1</v>
      </c>
    </row>
    <row r="18" customFormat="false" ht="15" hidden="false" customHeight="false" outlineLevel="0" collapsed="false">
      <c r="A18" s="2" t="s">
        <v>61</v>
      </c>
      <c r="B18" s="2" t="s">
        <v>47</v>
      </c>
      <c r="C18" s="2" t="s">
        <v>20</v>
      </c>
      <c r="D18" s="2" t="s">
        <v>12</v>
      </c>
      <c r="E18" s="5" t="n">
        <v>402000</v>
      </c>
      <c r="F18" s="5" t="n">
        <v>221100</v>
      </c>
      <c r="G18" s="5" t="n">
        <v>132660</v>
      </c>
      <c r="H18" s="5" t="n">
        <f aca="false">TRUE()</f>
        <v>1</v>
      </c>
      <c r="I18" s="6" t="n">
        <f aca="false">VLOOKUP(D18,Assumptions!$H$4:$I$5,2,FALSE())</f>
        <v>1</v>
      </c>
      <c r="J18" s="6" t="n">
        <f aca="false">MATCH(C18,Assumptions!$K$4:$K$6,0)</f>
        <v>3</v>
      </c>
      <c r="K18" s="6" t="n">
        <f aca="false">INDEX(Assumptions!$L$4:$L$6,J18)</f>
        <v>0.55</v>
      </c>
      <c r="L18" s="6" t="n">
        <f aca="false">IF(H18,ROUND(E18*K18,2),Assumptions!$B$11)</f>
        <v>221100</v>
      </c>
      <c r="M18" s="7" t="n">
        <f aca="false">ABS(F18-L18)</f>
        <v>0</v>
      </c>
      <c r="N18" s="6" t="n">
        <f aca="false">INT(E18/Assumptions!$B$12)</f>
        <v>4</v>
      </c>
    </row>
    <row r="19" customFormat="false" ht="15" hidden="false" customHeight="false" outlineLevel="0" collapsed="false">
      <c r="A19" s="2" t="s">
        <v>62</v>
      </c>
      <c r="B19" s="2" t="s">
        <v>47</v>
      </c>
      <c r="C19" s="2" t="s">
        <v>13</v>
      </c>
      <c r="D19" s="2" t="s">
        <v>16</v>
      </c>
      <c r="E19" s="5" t="n">
        <v>316000</v>
      </c>
      <c r="F19" s="5" t="n">
        <v>195920</v>
      </c>
      <c r="G19" s="5" t="n">
        <v>117552</v>
      </c>
      <c r="H19" s="5" t="n">
        <f aca="false">TRUE()</f>
        <v>1</v>
      </c>
      <c r="I19" s="6" t="n">
        <f aca="false">VLOOKUP(D19,Assumptions!$H$4:$I$5,2,FALSE())</f>
        <v>1.15</v>
      </c>
      <c r="J19" s="6" t="n">
        <f aca="false">MATCH(C19,Assumptions!$K$4:$K$6,0)</f>
        <v>1</v>
      </c>
      <c r="K19" s="6" t="n">
        <f aca="false">INDEX(Assumptions!$L$4:$L$6,J19)</f>
        <v>0.62</v>
      </c>
      <c r="L19" s="6" t="n">
        <f aca="false">IF(H19,ROUND(E19*K19,2),Assumptions!$B$11)</f>
        <v>195920</v>
      </c>
      <c r="M19" s="7" t="n">
        <f aca="false">ABS(F19-L19)</f>
        <v>0</v>
      </c>
      <c r="N19" s="6" t="n">
        <f aca="false">INT(E19/Assumptions!$B$12)</f>
        <v>3</v>
      </c>
    </row>
    <row r="20" customFormat="false" ht="15" hidden="false" customHeight="false" outlineLevel="0" collapsed="false">
      <c r="A20" s="2" t="s">
        <v>63</v>
      </c>
      <c r="B20" s="2" t="s">
        <v>47</v>
      </c>
      <c r="C20" s="2" t="s">
        <v>17</v>
      </c>
      <c r="D20" s="2" t="s">
        <v>12</v>
      </c>
      <c r="E20" s="5" t="n">
        <v>116000</v>
      </c>
      <c r="F20" s="5" t="n">
        <v>81200</v>
      </c>
      <c r="G20" s="5" t="n">
        <v>48720</v>
      </c>
      <c r="H20" s="5" t="n">
        <f aca="false">FALSE()</f>
        <v>0</v>
      </c>
      <c r="I20" s="6" t="n">
        <f aca="false">VLOOKUP(D20,Assumptions!$H$4:$I$5,2,FALSE())</f>
        <v>1</v>
      </c>
      <c r="J20" s="6" t="n">
        <f aca="false">MATCH(C20,Assumptions!$K$4:$K$6,0)</f>
        <v>2</v>
      </c>
      <c r="K20" s="6" t="n">
        <f aca="false">INDEX(Assumptions!$L$4:$L$6,J20)</f>
        <v>0.7</v>
      </c>
      <c r="L20" s="6" t="n">
        <f aca="false">IF(H20,ROUND(E20*K20,2),Assumptions!$B$11)</f>
        <v>0</v>
      </c>
      <c r="M20" s="7" t="n">
        <f aca="false">ABS(F20-L20)</f>
        <v>81200</v>
      </c>
      <c r="N20" s="6" t="n">
        <f aca="false">INT(E20/Assumptions!$B$12)</f>
        <v>1</v>
      </c>
    </row>
    <row r="21" customFormat="false" ht="15" hidden="false" customHeight="false" outlineLevel="0" collapsed="false">
      <c r="A21" s="2" t="s">
        <v>64</v>
      </c>
      <c r="B21" s="2" t="s">
        <v>47</v>
      </c>
      <c r="C21" s="2" t="s">
        <v>20</v>
      </c>
      <c r="D21" s="2" t="s">
        <v>12</v>
      </c>
      <c r="E21" s="5" t="n">
        <v>115000</v>
      </c>
      <c r="F21" s="5" t="n">
        <v>63250</v>
      </c>
      <c r="G21" s="5" t="n">
        <v>37950</v>
      </c>
      <c r="H21" s="5" t="n">
        <f aca="false">TRUE()</f>
        <v>1</v>
      </c>
      <c r="I21" s="6" t="n">
        <f aca="false">VLOOKUP(D21,Assumptions!$H$4:$I$5,2,FALSE())</f>
        <v>1</v>
      </c>
      <c r="J21" s="6" t="n">
        <f aca="false">MATCH(C21,Assumptions!$K$4:$K$6,0)</f>
        <v>3</v>
      </c>
      <c r="K21" s="6" t="n">
        <f aca="false">INDEX(Assumptions!$L$4:$L$6,J21)</f>
        <v>0.55</v>
      </c>
      <c r="L21" s="6" t="n">
        <f aca="false">IF(H21,ROUND(E21*K21,2),Assumptions!$B$11)</f>
        <v>63250</v>
      </c>
      <c r="M21" s="7" t="n">
        <f aca="false">ABS(F21-L21)</f>
        <v>0</v>
      </c>
      <c r="N21" s="6" t="n">
        <f aca="false">INT(E21/Assumptions!$B$12)</f>
        <v>1</v>
      </c>
    </row>
    <row r="22" customFormat="false" ht="15" hidden="false" customHeight="false" outlineLevel="0" collapsed="false">
      <c r="A22" s="2" t="s">
        <v>65</v>
      </c>
      <c r="B22" s="2" t="s">
        <v>47</v>
      </c>
      <c r="C22" s="2" t="s">
        <v>13</v>
      </c>
      <c r="D22" s="2" t="s">
        <v>12</v>
      </c>
      <c r="E22" s="5" t="n">
        <v>147000</v>
      </c>
      <c r="F22" s="5" t="n">
        <v>91140</v>
      </c>
      <c r="G22" s="5" t="n">
        <v>54684</v>
      </c>
      <c r="H22" s="5" t="n">
        <f aca="false">TRUE()</f>
        <v>1</v>
      </c>
      <c r="I22" s="6" t="n">
        <f aca="false">VLOOKUP(D22,Assumptions!$H$4:$I$5,2,FALSE())</f>
        <v>1</v>
      </c>
      <c r="J22" s="6" t="n">
        <f aca="false">MATCH(C22,Assumptions!$K$4:$K$6,0)</f>
        <v>1</v>
      </c>
      <c r="K22" s="6" t="n">
        <f aca="false">INDEX(Assumptions!$L$4:$L$6,J22)</f>
        <v>0.62</v>
      </c>
      <c r="L22" s="6" t="n">
        <f aca="false">IF(H22,ROUND(E22*K22,2),Assumptions!$B$11)</f>
        <v>91140</v>
      </c>
      <c r="M22" s="7" t="n">
        <f aca="false">ABS(F22-L22)</f>
        <v>0</v>
      </c>
      <c r="N22" s="6" t="n">
        <f aca="false">INT(E22/Assumptions!$B$12)</f>
        <v>1</v>
      </c>
    </row>
    <row r="23" customFormat="false" ht="15" hidden="false" customHeight="false" outlineLevel="0" collapsed="false">
      <c r="A23" s="2" t="s">
        <v>66</v>
      </c>
      <c r="B23" s="2" t="s">
        <v>47</v>
      </c>
      <c r="C23" s="2" t="s">
        <v>17</v>
      </c>
      <c r="D23" s="2" t="s">
        <v>16</v>
      </c>
      <c r="E23" s="5" t="n">
        <v>211000</v>
      </c>
      <c r="F23" s="5" t="n">
        <v>147700</v>
      </c>
      <c r="G23" s="5" t="n">
        <v>88620</v>
      </c>
      <c r="H23" s="5" t="n">
        <f aca="false">TRUE()</f>
        <v>1</v>
      </c>
      <c r="I23" s="6" t="n">
        <f aca="false">VLOOKUP(D23,Assumptions!$H$4:$I$5,2,FALSE())</f>
        <v>1.15</v>
      </c>
      <c r="J23" s="6" t="n">
        <f aca="false">MATCH(C23,Assumptions!$K$4:$K$6,0)</f>
        <v>2</v>
      </c>
      <c r="K23" s="6" t="n">
        <f aca="false">INDEX(Assumptions!$L$4:$L$6,J23)</f>
        <v>0.7</v>
      </c>
      <c r="L23" s="6" t="n">
        <f aca="false">IF(H23,ROUND(E23*K23,2),Assumptions!$B$11)</f>
        <v>147700</v>
      </c>
      <c r="M23" s="7" t="n">
        <f aca="false">ABS(F23-L23)</f>
        <v>0</v>
      </c>
      <c r="N23" s="6" t="n">
        <f aca="false">INT(E23/Assumptions!$B$12)</f>
        <v>2</v>
      </c>
    </row>
    <row r="24" customFormat="false" ht="15" hidden="false" customHeight="false" outlineLevel="0" collapsed="false">
      <c r="A24" s="2" t="s">
        <v>67</v>
      </c>
      <c r="B24" s="2" t="s">
        <v>47</v>
      </c>
      <c r="C24" s="2" t="s">
        <v>20</v>
      </c>
      <c r="D24" s="2" t="s">
        <v>12</v>
      </c>
      <c r="E24" s="5" t="n">
        <v>219000</v>
      </c>
      <c r="F24" s="5" t="n">
        <v>120450</v>
      </c>
      <c r="G24" s="5" t="n">
        <v>72270</v>
      </c>
      <c r="H24" s="5" t="n">
        <f aca="false">TRUE()</f>
        <v>1</v>
      </c>
      <c r="I24" s="6" t="n">
        <f aca="false">VLOOKUP(D24,Assumptions!$H$4:$I$5,2,FALSE())</f>
        <v>1</v>
      </c>
      <c r="J24" s="6" t="n">
        <f aca="false">MATCH(C24,Assumptions!$K$4:$K$6,0)</f>
        <v>3</v>
      </c>
      <c r="K24" s="6" t="n">
        <f aca="false">INDEX(Assumptions!$L$4:$L$6,J24)</f>
        <v>0.55</v>
      </c>
      <c r="L24" s="6" t="n">
        <f aca="false">IF(H24,ROUND(E24*K24,2),Assumptions!$B$11)</f>
        <v>120450</v>
      </c>
      <c r="M24" s="7" t="n">
        <f aca="false">ABS(F24-L24)</f>
        <v>0</v>
      </c>
      <c r="N24" s="6" t="n">
        <f aca="false">INT(E24/Assumptions!$B$12)</f>
        <v>2</v>
      </c>
    </row>
    <row r="25" customFormat="false" ht="15" hidden="false" customHeight="false" outlineLevel="0" collapsed="false">
      <c r="A25" s="2" t="s">
        <v>68</v>
      </c>
      <c r="B25" s="2" t="s">
        <v>47</v>
      </c>
      <c r="C25" s="2" t="s">
        <v>13</v>
      </c>
      <c r="D25" s="2" t="s">
        <v>12</v>
      </c>
      <c r="E25" s="5" t="n">
        <v>358000</v>
      </c>
      <c r="F25" s="5" t="n">
        <v>221960</v>
      </c>
      <c r="G25" s="5" t="n">
        <v>133176</v>
      </c>
      <c r="H25" s="5" t="n">
        <f aca="false">TRUE()</f>
        <v>1</v>
      </c>
      <c r="I25" s="6" t="n">
        <f aca="false">VLOOKUP(D25,Assumptions!$H$4:$I$5,2,FALSE())</f>
        <v>1</v>
      </c>
      <c r="J25" s="6" t="n">
        <f aca="false">MATCH(C25,Assumptions!$K$4:$K$6,0)</f>
        <v>1</v>
      </c>
      <c r="K25" s="6" t="n">
        <f aca="false">INDEX(Assumptions!$L$4:$L$6,J25)</f>
        <v>0.62</v>
      </c>
      <c r="L25" s="6" t="n">
        <f aca="false">IF(H25,ROUND(E25*K25,2),Assumptions!$B$11)</f>
        <v>221960</v>
      </c>
      <c r="M25" s="7" t="n">
        <f aca="false">ABS(F25-L25)</f>
        <v>0</v>
      </c>
      <c r="N25" s="6" t="n">
        <f aca="false">INT(E25/Assumptions!$B$12)</f>
        <v>3</v>
      </c>
    </row>
    <row r="26" customFormat="false" ht="15" hidden="false" customHeight="false" outlineLevel="0" collapsed="false">
      <c r="A26" s="2" t="s">
        <v>69</v>
      </c>
      <c r="B26" s="2" t="s">
        <v>47</v>
      </c>
      <c r="C26" s="2" t="s">
        <v>17</v>
      </c>
      <c r="D26" s="2" t="s">
        <v>12</v>
      </c>
      <c r="E26" s="5" t="n">
        <v>408000</v>
      </c>
      <c r="F26" s="5" t="n">
        <v>285600</v>
      </c>
      <c r="G26" s="5" t="n">
        <v>171360</v>
      </c>
      <c r="H26" s="5" t="n">
        <f aca="false">TRUE()</f>
        <v>1</v>
      </c>
      <c r="I26" s="6" t="n">
        <f aca="false">VLOOKUP(D26,Assumptions!$H$4:$I$5,2,FALSE())</f>
        <v>1</v>
      </c>
      <c r="J26" s="6" t="n">
        <f aca="false">MATCH(C26,Assumptions!$K$4:$K$6,0)</f>
        <v>2</v>
      </c>
      <c r="K26" s="6" t="n">
        <f aca="false">INDEX(Assumptions!$L$4:$L$6,J26)</f>
        <v>0.7</v>
      </c>
      <c r="L26" s="6" t="n">
        <f aca="false">IF(H26,ROUND(E26*K26,2),Assumptions!$B$11)</f>
        <v>285600</v>
      </c>
      <c r="M26" s="7" t="n">
        <f aca="false">ABS(F26-L26)</f>
        <v>0</v>
      </c>
      <c r="N26" s="6" t="n">
        <f aca="false">INT(E26/Assumptions!$B$12)</f>
        <v>4</v>
      </c>
    </row>
    <row r="27" customFormat="false" ht="15" hidden="false" customHeight="false" outlineLevel="0" collapsed="false">
      <c r="A27" s="2" t="s">
        <v>70</v>
      </c>
      <c r="B27" s="2" t="s">
        <v>47</v>
      </c>
      <c r="C27" s="2" t="s">
        <v>20</v>
      </c>
      <c r="D27" s="2" t="s">
        <v>16</v>
      </c>
      <c r="E27" s="5" t="n">
        <v>113000</v>
      </c>
      <c r="F27" s="5" t="n">
        <v>62150</v>
      </c>
      <c r="G27" s="5" t="n">
        <v>37290</v>
      </c>
      <c r="H27" s="5" t="n">
        <f aca="false">TRUE()</f>
        <v>1</v>
      </c>
      <c r="I27" s="6" t="n">
        <f aca="false">VLOOKUP(D27,Assumptions!$H$4:$I$5,2,FALSE())</f>
        <v>1.15</v>
      </c>
      <c r="J27" s="6" t="n">
        <f aca="false">MATCH(C27,Assumptions!$K$4:$K$6,0)</f>
        <v>3</v>
      </c>
      <c r="K27" s="6" t="n">
        <f aca="false">INDEX(Assumptions!$L$4:$L$6,J27)</f>
        <v>0.55</v>
      </c>
      <c r="L27" s="6" t="n">
        <f aca="false">IF(H27,ROUND(E27*K27,2),Assumptions!$B$11)</f>
        <v>62150</v>
      </c>
      <c r="M27" s="7" t="n">
        <f aca="false">ABS(F27-L27)</f>
        <v>0</v>
      </c>
      <c r="N27" s="6" t="n">
        <f aca="false">INT(E27/Assumptions!$B$12)</f>
        <v>1</v>
      </c>
    </row>
    <row r="28" customFormat="false" ht="15" hidden="false" customHeight="false" outlineLevel="0" collapsed="false">
      <c r="A28" s="2" t="s">
        <v>71</v>
      </c>
      <c r="B28" s="2" t="s">
        <v>47</v>
      </c>
      <c r="C28" s="2" t="s">
        <v>13</v>
      </c>
      <c r="D28" s="2" t="s">
        <v>12</v>
      </c>
      <c r="E28" s="5" t="n">
        <v>387000</v>
      </c>
      <c r="F28" s="5" t="n">
        <v>239940</v>
      </c>
      <c r="G28" s="5" t="n">
        <v>143964</v>
      </c>
      <c r="H28" s="5" t="n">
        <f aca="false">TRUE()</f>
        <v>1</v>
      </c>
      <c r="I28" s="6" t="n">
        <f aca="false">VLOOKUP(D28,Assumptions!$H$4:$I$5,2,FALSE())</f>
        <v>1</v>
      </c>
      <c r="J28" s="6" t="n">
        <f aca="false">MATCH(C28,Assumptions!$K$4:$K$6,0)</f>
        <v>1</v>
      </c>
      <c r="K28" s="6" t="n">
        <f aca="false">INDEX(Assumptions!$L$4:$L$6,J28)</f>
        <v>0.62</v>
      </c>
      <c r="L28" s="6" t="n">
        <f aca="false">IF(H28,ROUND(E28*K28,2),Assumptions!$B$11)</f>
        <v>239940</v>
      </c>
      <c r="M28" s="7" t="n">
        <f aca="false">ABS(F28-L28)</f>
        <v>0</v>
      </c>
      <c r="N28" s="6" t="n">
        <f aca="false">INT(E28/Assumptions!$B$12)</f>
        <v>3</v>
      </c>
    </row>
    <row r="29" customFormat="false" ht="15" hidden="false" customHeight="false" outlineLevel="0" collapsed="false">
      <c r="A29" s="2" t="s">
        <v>72</v>
      </c>
      <c r="B29" s="2" t="s">
        <v>47</v>
      </c>
      <c r="C29" s="2" t="s">
        <v>17</v>
      </c>
      <c r="D29" s="2" t="s">
        <v>12</v>
      </c>
      <c r="E29" s="5" t="n">
        <v>201000</v>
      </c>
      <c r="F29" s="5" t="n">
        <v>140700</v>
      </c>
      <c r="G29" s="5" t="n">
        <v>84420</v>
      </c>
      <c r="H29" s="5" t="n">
        <f aca="false">TRUE()</f>
        <v>1</v>
      </c>
      <c r="I29" s="6" t="n">
        <f aca="false">VLOOKUP(D29,Assumptions!$H$4:$I$5,2,FALSE())</f>
        <v>1</v>
      </c>
      <c r="J29" s="6" t="n">
        <f aca="false">MATCH(C29,Assumptions!$K$4:$K$6,0)</f>
        <v>2</v>
      </c>
      <c r="K29" s="6" t="n">
        <f aca="false">INDEX(Assumptions!$L$4:$L$6,J29)</f>
        <v>0.7</v>
      </c>
      <c r="L29" s="6" t="n">
        <f aca="false">IF(H29,ROUND(E29*K29,2),Assumptions!$B$11)</f>
        <v>140700</v>
      </c>
      <c r="M29" s="7" t="n">
        <f aca="false">ABS(F29-L29)</f>
        <v>0</v>
      </c>
      <c r="N29" s="6" t="n">
        <f aca="false">INT(E29/Assumptions!$B$12)</f>
        <v>2</v>
      </c>
    </row>
    <row r="30" customFormat="false" ht="15" hidden="false" customHeight="false" outlineLevel="0" collapsed="false">
      <c r="A30" s="2" t="s">
        <v>73</v>
      </c>
      <c r="B30" s="2" t="s">
        <v>47</v>
      </c>
      <c r="C30" s="2" t="s">
        <v>20</v>
      </c>
      <c r="D30" s="2" t="s">
        <v>12</v>
      </c>
      <c r="E30" s="5" t="n">
        <v>466000</v>
      </c>
      <c r="F30" s="5" t="n">
        <v>256300</v>
      </c>
      <c r="G30" s="5" t="n">
        <v>153780</v>
      </c>
      <c r="H30" s="5" t="n">
        <f aca="false">TRUE()</f>
        <v>1</v>
      </c>
      <c r="I30" s="6" t="n">
        <f aca="false">VLOOKUP(D30,Assumptions!$H$4:$I$5,2,FALSE())</f>
        <v>1</v>
      </c>
      <c r="J30" s="6" t="n">
        <f aca="false">MATCH(C30,Assumptions!$K$4:$K$6,0)</f>
        <v>3</v>
      </c>
      <c r="K30" s="6" t="n">
        <f aca="false">INDEX(Assumptions!$L$4:$L$6,J30)</f>
        <v>0.55</v>
      </c>
      <c r="L30" s="6" t="n">
        <f aca="false">IF(H30,ROUND(E30*K30,2),Assumptions!$B$11)</f>
        <v>256300</v>
      </c>
      <c r="M30" s="7" t="n">
        <f aca="false">ABS(F30-L30)</f>
        <v>0</v>
      </c>
      <c r="N30" s="6" t="n">
        <f aca="false">INT(E30/Assumptions!$B$12)</f>
        <v>4</v>
      </c>
    </row>
    <row r="31" customFormat="false" ht="15" hidden="false" customHeight="false" outlineLevel="0" collapsed="false">
      <c r="A31" s="2" t="s">
        <v>74</v>
      </c>
      <c r="B31" s="2" t="s">
        <v>47</v>
      </c>
      <c r="C31" s="2" t="s">
        <v>13</v>
      </c>
      <c r="D31" s="2" t="s">
        <v>16</v>
      </c>
      <c r="E31" s="5" t="n">
        <v>432000</v>
      </c>
      <c r="F31" s="5" t="n">
        <v>267840</v>
      </c>
      <c r="G31" s="5" t="n">
        <v>160704</v>
      </c>
      <c r="H31" s="5" t="n">
        <f aca="false">TRUE()</f>
        <v>1</v>
      </c>
      <c r="I31" s="6" t="n">
        <f aca="false">VLOOKUP(D31,Assumptions!$H$4:$I$5,2,FALSE())</f>
        <v>1.15</v>
      </c>
      <c r="J31" s="6" t="n">
        <f aca="false">MATCH(C31,Assumptions!$K$4:$K$6,0)</f>
        <v>1</v>
      </c>
      <c r="K31" s="6" t="n">
        <f aca="false">INDEX(Assumptions!$L$4:$L$6,J31)</f>
        <v>0.62</v>
      </c>
      <c r="L31" s="6" t="n">
        <f aca="false">IF(H31,ROUND(E31*K31,2),Assumptions!$B$11)</f>
        <v>267840</v>
      </c>
      <c r="M31" s="7" t="n">
        <f aca="false">ABS(F31-L31)</f>
        <v>0</v>
      </c>
      <c r="N31" s="6" t="n">
        <f aca="false">INT(E31/Assumptions!$B$12)</f>
        <v>4</v>
      </c>
    </row>
    <row r="32" customFormat="false" ht="15" hidden="false" customHeight="false" outlineLevel="0" collapsed="false">
      <c r="A32" s="2" t="s">
        <v>75</v>
      </c>
      <c r="B32" s="2" t="s">
        <v>47</v>
      </c>
      <c r="C32" s="2" t="s">
        <v>17</v>
      </c>
      <c r="D32" s="2" t="s">
        <v>12</v>
      </c>
      <c r="E32" s="5" t="n">
        <v>459000</v>
      </c>
      <c r="F32" s="5" t="n">
        <v>321300</v>
      </c>
      <c r="G32" s="5" t="n">
        <v>192780</v>
      </c>
      <c r="H32" s="5" t="n">
        <f aca="false">TRUE()</f>
        <v>1</v>
      </c>
      <c r="I32" s="6" t="n">
        <f aca="false">VLOOKUP(D32,Assumptions!$H$4:$I$5,2,FALSE())</f>
        <v>1</v>
      </c>
      <c r="J32" s="6" t="n">
        <f aca="false">MATCH(C32,Assumptions!$K$4:$K$6,0)</f>
        <v>2</v>
      </c>
      <c r="K32" s="6" t="n">
        <f aca="false">INDEX(Assumptions!$L$4:$L$6,J32)</f>
        <v>0.7</v>
      </c>
      <c r="L32" s="6" t="n">
        <f aca="false">IF(H32,ROUND(E32*K32,2),Assumptions!$B$11)</f>
        <v>321300</v>
      </c>
      <c r="M32" s="7" t="n">
        <f aca="false">ABS(F32-L32)</f>
        <v>0</v>
      </c>
      <c r="N32" s="6" t="n">
        <f aca="false">INT(E32/Assumptions!$B$12)</f>
        <v>4</v>
      </c>
    </row>
    <row r="33" customFormat="false" ht="15" hidden="false" customHeight="false" outlineLevel="0" collapsed="false">
      <c r="A33" s="2" t="s">
        <v>76</v>
      </c>
      <c r="B33" s="2" t="s">
        <v>47</v>
      </c>
      <c r="C33" s="2" t="s">
        <v>20</v>
      </c>
      <c r="D33" s="2" t="s">
        <v>12</v>
      </c>
      <c r="E33" s="5" t="n">
        <v>379000</v>
      </c>
      <c r="F33" s="5" t="n">
        <v>208450</v>
      </c>
      <c r="G33" s="5" t="n">
        <v>125070</v>
      </c>
      <c r="H33" s="5" t="n">
        <f aca="false">TRUE()</f>
        <v>1</v>
      </c>
      <c r="I33" s="6" t="n">
        <f aca="false">VLOOKUP(D33,Assumptions!$H$4:$I$5,2,FALSE())</f>
        <v>1</v>
      </c>
      <c r="J33" s="6" t="n">
        <f aca="false">MATCH(C33,Assumptions!$K$4:$K$6,0)</f>
        <v>3</v>
      </c>
      <c r="K33" s="6" t="n">
        <f aca="false">INDEX(Assumptions!$L$4:$L$6,J33)</f>
        <v>0.55</v>
      </c>
      <c r="L33" s="6" t="n">
        <f aca="false">IF(H33,ROUND(E33*K33,2),Assumptions!$B$11)</f>
        <v>208450</v>
      </c>
      <c r="M33" s="7" t="n">
        <f aca="false">ABS(F33-L33)</f>
        <v>0</v>
      </c>
      <c r="N33" s="6" t="n">
        <f aca="false">INT(E33/Assumptions!$B$12)</f>
        <v>3</v>
      </c>
    </row>
    <row r="34" customFormat="false" ht="15" hidden="false" customHeight="false" outlineLevel="0" collapsed="false">
      <c r="A34" s="2" t="s">
        <v>77</v>
      </c>
      <c r="B34" s="2" t="s">
        <v>47</v>
      </c>
      <c r="C34" s="2" t="s">
        <v>13</v>
      </c>
      <c r="D34" s="2" t="s">
        <v>12</v>
      </c>
      <c r="E34" s="5" t="n">
        <v>314000</v>
      </c>
      <c r="F34" s="5" t="n">
        <v>194680</v>
      </c>
      <c r="G34" s="5" t="n">
        <v>116808</v>
      </c>
      <c r="H34" s="5" t="n">
        <f aca="false">TRUE()</f>
        <v>1</v>
      </c>
      <c r="I34" s="6" t="n">
        <f aca="false">VLOOKUP(D34,Assumptions!$H$4:$I$5,2,FALSE())</f>
        <v>1</v>
      </c>
      <c r="J34" s="6" t="n">
        <f aca="false">MATCH(C34,Assumptions!$K$4:$K$6,0)</f>
        <v>1</v>
      </c>
      <c r="K34" s="6" t="n">
        <f aca="false">INDEX(Assumptions!$L$4:$L$6,J34)</f>
        <v>0.62</v>
      </c>
      <c r="L34" s="6" t="n">
        <f aca="false">IF(H34,ROUND(E34*K34,2),Assumptions!$B$11)</f>
        <v>194680</v>
      </c>
      <c r="M34" s="7" t="n">
        <f aca="false">ABS(F34-L34)</f>
        <v>0</v>
      </c>
      <c r="N34" s="6" t="n">
        <f aca="false">INT(E34/Assumptions!$B$12)</f>
        <v>3</v>
      </c>
    </row>
    <row r="35" customFormat="false" ht="15" hidden="false" customHeight="false" outlineLevel="0" collapsed="false">
      <c r="A35" s="2" t="s">
        <v>78</v>
      </c>
      <c r="B35" s="2" t="s">
        <v>47</v>
      </c>
      <c r="C35" s="2" t="s">
        <v>17</v>
      </c>
      <c r="D35" s="2" t="s">
        <v>16</v>
      </c>
      <c r="E35" s="5" t="n">
        <v>212000</v>
      </c>
      <c r="F35" s="5" t="n">
        <v>148400</v>
      </c>
      <c r="G35" s="5" t="n">
        <v>89040</v>
      </c>
      <c r="H35" s="5" t="n">
        <f aca="false">TRUE()</f>
        <v>1</v>
      </c>
      <c r="I35" s="6" t="n">
        <f aca="false">VLOOKUP(D35,Assumptions!$H$4:$I$5,2,FALSE())</f>
        <v>1.15</v>
      </c>
      <c r="J35" s="6" t="n">
        <f aca="false">MATCH(C35,Assumptions!$K$4:$K$6,0)</f>
        <v>2</v>
      </c>
      <c r="K35" s="6" t="n">
        <f aca="false">INDEX(Assumptions!$L$4:$L$6,J35)</f>
        <v>0.7</v>
      </c>
      <c r="L35" s="6" t="n">
        <f aca="false">IF(H35,ROUND(E35*K35,2),Assumptions!$B$11)</f>
        <v>148400</v>
      </c>
      <c r="M35" s="7" t="n">
        <f aca="false">ABS(F35-L35)</f>
        <v>0</v>
      </c>
      <c r="N35" s="6" t="n">
        <f aca="false">INT(E35/Assumptions!$B$12)</f>
        <v>2</v>
      </c>
    </row>
    <row r="36" customFormat="false" ht="15" hidden="false" customHeight="false" outlineLevel="0" collapsed="false">
      <c r="A36" s="2" t="s">
        <v>79</v>
      </c>
      <c r="B36" s="2" t="s">
        <v>47</v>
      </c>
      <c r="C36" s="2" t="s">
        <v>20</v>
      </c>
      <c r="D36" s="2" t="s">
        <v>12</v>
      </c>
      <c r="E36" s="5" t="n">
        <v>329000</v>
      </c>
      <c r="F36" s="5" t="n">
        <v>180950</v>
      </c>
      <c r="G36" s="5" t="n">
        <v>108570</v>
      </c>
      <c r="H36" s="5" t="n">
        <f aca="false">TRUE()</f>
        <v>1</v>
      </c>
      <c r="I36" s="6" t="n">
        <f aca="false">VLOOKUP(D36,Assumptions!$H$4:$I$5,2,FALSE())</f>
        <v>1</v>
      </c>
      <c r="J36" s="6" t="n">
        <f aca="false">MATCH(C36,Assumptions!$K$4:$K$6,0)</f>
        <v>3</v>
      </c>
      <c r="K36" s="6" t="n">
        <f aca="false">INDEX(Assumptions!$L$4:$L$6,J36)</f>
        <v>0.55</v>
      </c>
      <c r="L36" s="6" t="n">
        <f aca="false">IF(H36,ROUND(E36*K36,2),Assumptions!$B$11)</f>
        <v>180950</v>
      </c>
      <c r="M36" s="7" t="n">
        <f aca="false">ABS(F36-L36)</f>
        <v>0</v>
      </c>
      <c r="N36" s="6" t="n">
        <f aca="false">INT(E36/Assumptions!$B$12)</f>
        <v>3</v>
      </c>
    </row>
    <row r="37" customFormat="false" ht="15" hidden="false" customHeight="false" outlineLevel="0" collapsed="false">
      <c r="A37" s="2" t="s">
        <v>80</v>
      </c>
      <c r="B37" s="2" t="s">
        <v>47</v>
      </c>
      <c r="C37" s="2" t="s">
        <v>13</v>
      </c>
      <c r="D37" s="2" t="s">
        <v>12</v>
      </c>
      <c r="E37" s="5" t="n">
        <v>401000</v>
      </c>
      <c r="F37" s="5" t="n">
        <v>248620</v>
      </c>
      <c r="G37" s="5" t="n">
        <v>149172</v>
      </c>
      <c r="H37" s="5" t="n">
        <f aca="false">FALSE()</f>
        <v>0</v>
      </c>
      <c r="I37" s="6" t="n">
        <f aca="false">VLOOKUP(D37,Assumptions!$H$4:$I$5,2,FALSE())</f>
        <v>1</v>
      </c>
      <c r="J37" s="6" t="n">
        <f aca="false">MATCH(C37,Assumptions!$K$4:$K$6,0)</f>
        <v>1</v>
      </c>
      <c r="K37" s="6" t="n">
        <f aca="false">INDEX(Assumptions!$L$4:$L$6,J37)</f>
        <v>0.62</v>
      </c>
      <c r="L37" s="6" t="n">
        <f aca="false">IF(H37,ROUND(E37*K37,2),Assumptions!$B$11)</f>
        <v>0</v>
      </c>
      <c r="M37" s="7" t="n">
        <f aca="false">ABS(F37-L37)</f>
        <v>248620</v>
      </c>
      <c r="N37" s="6" t="n">
        <f aca="false">INT(E37/Assumptions!$B$12)</f>
        <v>4</v>
      </c>
    </row>
    <row r="38" customFormat="false" ht="15" hidden="false" customHeight="false" outlineLevel="0" collapsed="false">
      <c r="A38" s="2" t="s">
        <v>81</v>
      </c>
      <c r="B38" s="2" t="s">
        <v>47</v>
      </c>
      <c r="C38" s="2" t="s">
        <v>17</v>
      </c>
      <c r="D38" s="2" t="s">
        <v>12</v>
      </c>
      <c r="E38" s="5" t="n">
        <v>242000</v>
      </c>
      <c r="F38" s="5" t="n">
        <v>169400</v>
      </c>
      <c r="G38" s="5" t="n">
        <v>101640</v>
      </c>
      <c r="H38" s="5" t="n">
        <f aca="false">TRUE()</f>
        <v>1</v>
      </c>
      <c r="I38" s="6" t="n">
        <f aca="false">VLOOKUP(D38,Assumptions!$H$4:$I$5,2,FALSE())</f>
        <v>1</v>
      </c>
      <c r="J38" s="6" t="n">
        <f aca="false">MATCH(C38,Assumptions!$K$4:$K$6,0)</f>
        <v>2</v>
      </c>
      <c r="K38" s="6" t="n">
        <f aca="false">INDEX(Assumptions!$L$4:$L$6,J38)</f>
        <v>0.7</v>
      </c>
      <c r="L38" s="6" t="n">
        <f aca="false">IF(H38,ROUND(E38*K38,2),Assumptions!$B$11)</f>
        <v>169400</v>
      </c>
      <c r="M38" s="7" t="n">
        <f aca="false">ABS(F38-L38)</f>
        <v>0</v>
      </c>
      <c r="N38" s="6" t="n">
        <f aca="false">INT(E38/Assumptions!$B$12)</f>
        <v>2</v>
      </c>
    </row>
    <row r="39" customFormat="false" ht="15" hidden="false" customHeight="false" outlineLevel="0" collapsed="false">
      <c r="A39" s="2" t="s">
        <v>82</v>
      </c>
      <c r="B39" s="2" t="s">
        <v>47</v>
      </c>
      <c r="C39" s="2" t="s">
        <v>20</v>
      </c>
      <c r="D39" s="2" t="s">
        <v>16</v>
      </c>
      <c r="E39" s="5" t="n">
        <v>103000</v>
      </c>
      <c r="F39" s="5" t="n">
        <v>56650</v>
      </c>
      <c r="G39" s="5" t="n">
        <v>33990</v>
      </c>
      <c r="H39" s="5" t="n">
        <f aca="false">TRUE()</f>
        <v>1</v>
      </c>
      <c r="I39" s="6" t="n">
        <f aca="false">VLOOKUP(D39,Assumptions!$H$4:$I$5,2,FALSE())</f>
        <v>1.15</v>
      </c>
      <c r="J39" s="6" t="n">
        <f aca="false">MATCH(C39,Assumptions!$K$4:$K$6,0)</f>
        <v>3</v>
      </c>
      <c r="K39" s="6" t="n">
        <f aca="false">INDEX(Assumptions!$L$4:$L$6,J39)</f>
        <v>0.55</v>
      </c>
      <c r="L39" s="6" t="n">
        <f aca="false">IF(H39,ROUND(E39*K39,2),Assumptions!$B$11)</f>
        <v>56650</v>
      </c>
      <c r="M39" s="7" t="n">
        <f aca="false">ABS(F39-L39)</f>
        <v>0</v>
      </c>
      <c r="N39" s="6" t="n">
        <f aca="false">INT(E39/Assumptions!$B$12)</f>
        <v>1</v>
      </c>
    </row>
    <row r="40" customFormat="false" ht="15" hidden="false" customHeight="false" outlineLevel="0" collapsed="false">
      <c r="A40" s="2" t="s">
        <v>83</v>
      </c>
      <c r="B40" s="2" t="s">
        <v>47</v>
      </c>
      <c r="C40" s="2" t="s">
        <v>13</v>
      </c>
      <c r="D40" s="2" t="s">
        <v>12</v>
      </c>
      <c r="E40" s="5" t="n">
        <v>488000</v>
      </c>
      <c r="F40" s="5" t="n">
        <v>302560</v>
      </c>
      <c r="G40" s="5" t="n">
        <v>181536</v>
      </c>
      <c r="H40" s="5" t="n">
        <f aca="false">TRUE()</f>
        <v>1</v>
      </c>
      <c r="I40" s="6" t="n">
        <f aca="false">VLOOKUP(D40,Assumptions!$H$4:$I$5,2,FALSE())</f>
        <v>1</v>
      </c>
      <c r="J40" s="6" t="n">
        <f aca="false">MATCH(C40,Assumptions!$K$4:$K$6,0)</f>
        <v>1</v>
      </c>
      <c r="K40" s="6" t="n">
        <f aca="false">INDEX(Assumptions!$L$4:$L$6,J40)</f>
        <v>0.62</v>
      </c>
      <c r="L40" s="6" t="n">
        <f aca="false">IF(H40,ROUND(E40*K40,2),Assumptions!$B$11)</f>
        <v>302560</v>
      </c>
      <c r="M40" s="7" t="n">
        <f aca="false">ABS(F40-L40)</f>
        <v>0</v>
      </c>
      <c r="N40" s="6" t="n">
        <f aca="false">INT(E40/Assumptions!$B$12)</f>
        <v>4</v>
      </c>
    </row>
    <row r="41" customFormat="false" ht="15" hidden="false" customHeight="false" outlineLevel="0" collapsed="false">
      <c r="A41" s="2" t="s">
        <v>84</v>
      </c>
      <c r="B41" s="2" t="s">
        <v>47</v>
      </c>
      <c r="C41" s="2" t="s">
        <v>17</v>
      </c>
      <c r="D41" s="2" t="s">
        <v>12</v>
      </c>
      <c r="E41" s="5" t="n">
        <v>181000</v>
      </c>
      <c r="F41" s="5" t="n">
        <v>126700</v>
      </c>
      <c r="G41" s="5" t="n">
        <v>76020</v>
      </c>
      <c r="H41" s="5" t="n">
        <f aca="false">TRUE()</f>
        <v>1</v>
      </c>
      <c r="I41" s="6" t="n">
        <f aca="false">VLOOKUP(D41,Assumptions!$H$4:$I$5,2,FALSE())</f>
        <v>1</v>
      </c>
      <c r="J41" s="6" t="n">
        <f aca="false">MATCH(C41,Assumptions!$K$4:$K$6,0)</f>
        <v>2</v>
      </c>
      <c r="K41" s="6" t="n">
        <f aca="false">INDEX(Assumptions!$L$4:$L$6,J41)</f>
        <v>0.7</v>
      </c>
      <c r="L41" s="6" t="n">
        <f aca="false">IF(H41,ROUND(E41*K41,2),Assumptions!$B$11)</f>
        <v>126700</v>
      </c>
      <c r="M41" s="7" t="n">
        <f aca="false">ABS(F41-L41)</f>
        <v>0</v>
      </c>
      <c r="N41" s="6" t="n">
        <f aca="false">INT(E41/Assumptions!$B$12)</f>
        <v>1</v>
      </c>
    </row>
    <row r="42" customFormat="false" ht="15" hidden="false" customHeight="false" outlineLevel="0" collapsed="false">
      <c r="A42" s="2" t="s">
        <v>85</v>
      </c>
      <c r="B42" s="2" t="s">
        <v>47</v>
      </c>
      <c r="C42" s="2" t="s">
        <v>20</v>
      </c>
      <c r="D42" s="2" t="s">
        <v>12</v>
      </c>
      <c r="E42" s="5" t="n">
        <v>457000</v>
      </c>
      <c r="F42" s="5" t="n">
        <v>251350</v>
      </c>
      <c r="G42" s="5" t="n">
        <v>150810</v>
      </c>
      <c r="H42" s="5" t="n">
        <f aca="false">TRUE()</f>
        <v>1</v>
      </c>
      <c r="I42" s="6" t="n">
        <f aca="false">VLOOKUP(D42,Assumptions!$H$4:$I$5,2,FALSE())</f>
        <v>1</v>
      </c>
      <c r="J42" s="6" t="n">
        <f aca="false">MATCH(C42,Assumptions!$K$4:$K$6,0)</f>
        <v>3</v>
      </c>
      <c r="K42" s="6" t="n">
        <f aca="false">INDEX(Assumptions!$L$4:$L$6,J42)</f>
        <v>0.55</v>
      </c>
      <c r="L42" s="6" t="n">
        <f aca="false">IF(H42,ROUND(E42*K42,2),Assumptions!$B$11)</f>
        <v>251350</v>
      </c>
      <c r="M42" s="7" t="n">
        <f aca="false">ABS(F42-L42)</f>
        <v>0</v>
      </c>
      <c r="N42" s="6" t="n">
        <f aca="false">INT(E42/Assumptions!$B$12)</f>
        <v>4</v>
      </c>
    </row>
    <row r="43" customFormat="false" ht="15" hidden="false" customHeight="false" outlineLevel="0" collapsed="false">
      <c r="A43" s="2" t="s">
        <v>86</v>
      </c>
      <c r="B43" s="2" t="s">
        <v>47</v>
      </c>
      <c r="C43" s="2" t="s">
        <v>13</v>
      </c>
      <c r="D43" s="2" t="s">
        <v>16</v>
      </c>
      <c r="E43" s="5" t="n">
        <v>316000</v>
      </c>
      <c r="F43" s="5" t="n">
        <v>195920</v>
      </c>
      <c r="G43" s="5" t="n">
        <v>117552</v>
      </c>
      <c r="H43" s="5" t="n">
        <f aca="false">TRUE()</f>
        <v>1</v>
      </c>
      <c r="I43" s="6" t="n">
        <f aca="false">VLOOKUP(D43,Assumptions!$H$4:$I$5,2,FALSE())</f>
        <v>1.15</v>
      </c>
      <c r="J43" s="6" t="n">
        <f aca="false">MATCH(C43,Assumptions!$K$4:$K$6,0)</f>
        <v>1</v>
      </c>
      <c r="K43" s="6" t="n">
        <f aca="false">INDEX(Assumptions!$L$4:$L$6,J43)</f>
        <v>0.62</v>
      </c>
      <c r="L43" s="6" t="n">
        <f aca="false">IF(H43,ROUND(E43*K43,2),Assumptions!$B$11)</f>
        <v>195920</v>
      </c>
      <c r="M43" s="7" t="n">
        <f aca="false">ABS(F43-L43)</f>
        <v>0</v>
      </c>
      <c r="N43" s="6" t="n">
        <f aca="false">INT(E43/Assumptions!$B$12)</f>
        <v>3</v>
      </c>
    </row>
    <row r="44" customFormat="false" ht="15" hidden="false" customHeight="false" outlineLevel="0" collapsed="false">
      <c r="A44" s="2" t="s">
        <v>87</v>
      </c>
      <c r="B44" s="2" t="s">
        <v>47</v>
      </c>
      <c r="C44" s="2" t="s">
        <v>17</v>
      </c>
      <c r="D44" s="2" t="s">
        <v>12</v>
      </c>
      <c r="E44" s="5" t="n">
        <v>274000</v>
      </c>
      <c r="F44" s="5" t="n">
        <v>191800</v>
      </c>
      <c r="G44" s="5" t="n">
        <v>115080</v>
      </c>
      <c r="H44" s="5" t="n">
        <f aca="false">TRUE()</f>
        <v>1</v>
      </c>
      <c r="I44" s="6" t="n">
        <f aca="false">VLOOKUP(D44,Assumptions!$H$4:$I$5,2,FALSE())</f>
        <v>1</v>
      </c>
      <c r="J44" s="6" t="n">
        <f aca="false">MATCH(C44,Assumptions!$K$4:$K$6,0)</f>
        <v>2</v>
      </c>
      <c r="K44" s="6" t="n">
        <f aca="false">INDEX(Assumptions!$L$4:$L$6,J44)</f>
        <v>0.7</v>
      </c>
      <c r="L44" s="6" t="n">
        <f aca="false">IF(H44,ROUND(E44*K44,2),Assumptions!$B$11)</f>
        <v>191800</v>
      </c>
      <c r="M44" s="7" t="n">
        <f aca="false">ABS(F44-L44)</f>
        <v>0</v>
      </c>
      <c r="N44" s="6" t="n">
        <f aca="false">INT(E44/Assumptions!$B$12)</f>
        <v>2</v>
      </c>
    </row>
    <row r="45" customFormat="false" ht="15" hidden="false" customHeight="false" outlineLevel="0" collapsed="false">
      <c r="A45" s="2" t="s">
        <v>88</v>
      </c>
      <c r="B45" s="2" t="s">
        <v>47</v>
      </c>
      <c r="C45" s="2" t="s">
        <v>20</v>
      </c>
      <c r="D45" s="2" t="s">
        <v>12</v>
      </c>
      <c r="E45" s="5" t="n">
        <v>242000</v>
      </c>
      <c r="F45" s="5" t="n">
        <v>133100</v>
      </c>
      <c r="G45" s="5" t="n">
        <v>79860</v>
      </c>
      <c r="H45" s="5" t="n">
        <f aca="false">TRUE()</f>
        <v>1</v>
      </c>
      <c r="I45" s="6" t="n">
        <f aca="false">VLOOKUP(D45,Assumptions!$H$4:$I$5,2,FALSE())</f>
        <v>1</v>
      </c>
      <c r="J45" s="6" t="n">
        <f aca="false">MATCH(C45,Assumptions!$K$4:$K$6,0)</f>
        <v>3</v>
      </c>
      <c r="K45" s="6" t="n">
        <f aca="false">INDEX(Assumptions!$L$4:$L$6,J45)</f>
        <v>0.55</v>
      </c>
      <c r="L45" s="6" t="n">
        <f aca="false">IF(H45,ROUND(E45*K45,2),Assumptions!$B$11)</f>
        <v>133100</v>
      </c>
      <c r="M45" s="7" t="n">
        <f aca="false">ABS(F45-L45)</f>
        <v>0</v>
      </c>
      <c r="N45" s="6" t="n">
        <f aca="false">INT(E45/Assumptions!$B$12)</f>
        <v>2</v>
      </c>
    </row>
    <row r="46" customFormat="false" ht="15" hidden="false" customHeight="false" outlineLevel="0" collapsed="false">
      <c r="A46" s="2" t="s">
        <v>89</v>
      </c>
      <c r="B46" s="2" t="s">
        <v>47</v>
      </c>
      <c r="C46" s="2" t="s">
        <v>13</v>
      </c>
      <c r="D46" s="2" t="s">
        <v>12</v>
      </c>
      <c r="E46" s="5" t="n">
        <v>179000</v>
      </c>
      <c r="F46" s="5" t="n">
        <v>110980</v>
      </c>
      <c r="G46" s="5" t="n">
        <v>66588</v>
      </c>
      <c r="H46" s="5" t="n">
        <f aca="false">TRUE()</f>
        <v>1</v>
      </c>
      <c r="I46" s="6" t="n">
        <f aca="false">VLOOKUP(D46,Assumptions!$H$4:$I$5,2,FALSE())</f>
        <v>1</v>
      </c>
      <c r="J46" s="6" t="n">
        <f aca="false">MATCH(C46,Assumptions!$K$4:$K$6,0)</f>
        <v>1</v>
      </c>
      <c r="K46" s="6" t="n">
        <f aca="false">INDEX(Assumptions!$L$4:$L$6,J46)</f>
        <v>0.62</v>
      </c>
      <c r="L46" s="6" t="n">
        <f aca="false">IF(H46,ROUND(E46*K46,2),Assumptions!$B$11)</f>
        <v>110980</v>
      </c>
      <c r="M46" s="7" t="n">
        <f aca="false">ABS(F46-L46)</f>
        <v>0</v>
      </c>
      <c r="N46" s="6" t="n">
        <f aca="false">INT(E46/Assumptions!$B$12)</f>
        <v>1</v>
      </c>
    </row>
    <row r="47" customFormat="false" ht="15" hidden="false" customHeight="false" outlineLevel="0" collapsed="false">
      <c r="A47" s="2" t="s">
        <v>90</v>
      </c>
      <c r="B47" s="2" t="s">
        <v>47</v>
      </c>
      <c r="C47" s="2" t="s">
        <v>17</v>
      </c>
      <c r="D47" s="2" t="s">
        <v>16</v>
      </c>
      <c r="E47" s="5" t="n">
        <v>210000</v>
      </c>
      <c r="F47" s="5" t="n">
        <v>147000</v>
      </c>
      <c r="G47" s="5" t="n">
        <v>88200</v>
      </c>
      <c r="H47" s="5" t="n">
        <f aca="false">TRUE()</f>
        <v>1</v>
      </c>
      <c r="I47" s="6" t="n">
        <f aca="false">VLOOKUP(D47,Assumptions!$H$4:$I$5,2,FALSE())</f>
        <v>1.15</v>
      </c>
      <c r="J47" s="6" t="n">
        <f aca="false">MATCH(C47,Assumptions!$K$4:$K$6,0)</f>
        <v>2</v>
      </c>
      <c r="K47" s="6" t="n">
        <f aca="false">INDEX(Assumptions!$L$4:$L$6,J47)</f>
        <v>0.7</v>
      </c>
      <c r="L47" s="6" t="n">
        <f aca="false">IF(H47,ROUND(E47*K47,2),Assumptions!$B$11)</f>
        <v>147000</v>
      </c>
      <c r="M47" s="7" t="n">
        <f aca="false">ABS(F47-L47)</f>
        <v>0</v>
      </c>
      <c r="N47" s="6" t="n">
        <f aca="false">INT(E47/Assumptions!$B$12)</f>
        <v>2</v>
      </c>
    </row>
    <row r="48" customFormat="false" ht="15" hidden="false" customHeight="false" outlineLevel="0" collapsed="false">
      <c r="A48" s="2" t="s">
        <v>91</v>
      </c>
      <c r="B48" s="2" t="s">
        <v>47</v>
      </c>
      <c r="C48" s="2" t="s">
        <v>20</v>
      </c>
      <c r="D48" s="2" t="s">
        <v>12</v>
      </c>
      <c r="E48" s="5" t="n">
        <v>490000</v>
      </c>
      <c r="F48" s="5" t="n">
        <v>269500</v>
      </c>
      <c r="G48" s="5" t="n">
        <v>161700</v>
      </c>
      <c r="H48" s="5" t="n">
        <f aca="false">TRUE()</f>
        <v>1</v>
      </c>
      <c r="I48" s="6" t="n">
        <f aca="false">VLOOKUP(D48,Assumptions!$H$4:$I$5,2,FALSE())</f>
        <v>1</v>
      </c>
      <c r="J48" s="6" t="n">
        <f aca="false">MATCH(C48,Assumptions!$K$4:$K$6,0)</f>
        <v>3</v>
      </c>
      <c r="K48" s="6" t="n">
        <f aca="false">INDEX(Assumptions!$L$4:$L$6,J48)</f>
        <v>0.55</v>
      </c>
      <c r="L48" s="6" t="n">
        <f aca="false">IF(H48,ROUND(E48*K48,2),Assumptions!$B$11)</f>
        <v>269500</v>
      </c>
      <c r="M48" s="7" t="n">
        <f aca="false">ABS(F48-L48)</f>
        <v>0</v>
      </c>
      <c r="N48" s="6" t="n">
        <f aca="false">INT(E48/Assumptions!$B$12)</f>
        <v>4</v>
      </c>
    </row>
    <row r="49" customFormat="false" ht="15" hidden="false" customHeight="false" outlineLevel="0" collapsed="false">
      <c r="A49" s="2" t="s">
        <v>92</v>
      </c>
      <c r="B49" s="2" t="s">
        <v>47</v>
      </c>
      <c r="C49" s="2" t="s">
        <v>13</v>
      </c>
      <c r="D49" s="2" t="s">
        <v>12</v>
      </c>
      <c r="E49" s="5" t="n">
        <v>272000</v>
      </c>
      <c r="F49" s="5" t="n">
        <v>168640</v>
      </c>
      <c r="G49" s="5" t="n">
        <v>101184</v>
      </c>
      <c r="H49" s="5" t="n">
        <f aca="false">TRUE()</f>
        <v>1</v>
      </c>
      <c r="I49" s="6" t="n">
        <f aca="false">VLOOKUP(D49,Assumptions!$H$4:$I$5,2,FALSE())</f>
        <v>1</v>
      </c>
      <c r="J49" s="6" t="n">
        <f aca="false">MATCH(C49,Assumptions!$K$4:$K$6,0)</f>
        <v>1</v>
      </c>
      <c r="K49" s="6" t="n">
        <f aca="false">INDEX(Assumptions!$L$4:$L$6,J49)</f>
        <v>0.62</v>
      </c>
      <c r="L49" s="6" t="n">
        <f aca="false">IF(H49,ROUND(E49*K49,2),Assumptions!$B$11)</f>
        <v>168640</v>
      </c>
      <c r="M49" s="7" t="n">
        <f aca="false">ABS(F49-L49)</f>
        <v>0</v>
      </c>
      <c r="N49" s="6" t="n">
        <f aca="false">INT(E49/Assumptions!$B$12)</f>
        <v>2</v>
      </c>
    </row>
    <row r="50" customFormat="false" ht="15" hidden="false" customHeight="false" outlineLevel="0" collapsed="false">
      <c r="A50" s="2" t="s">
        <v>93</v>
      </c>
      <c r="B50" s="2" t="s">
        <v>47</v>
      </c>
      <c r="C50" s="2" t="s">
        <v>17</v>
      </c>
      <c r="D50" s="2" t="s">
        <v>12</v>
      </c>
      <c r="E50" s="5" t="n">
        <v>152000</v>
      </c>
      <c r="F50" s="5" t="n">
        <v>106400</v>
      </c>
      <c r="G50" s="5" t="n">
        <v>63840</v>
      </c>
      <c r="H50" s="5" t="n">
        <f aca="false">TRUE()</f>
        <v>1</v>
      </c>
      <c r="I50" s="6" t="n">
        <f aca="false">VLOOKUP(D50,Assumptions!$H$4:$I$5,2,FALSE())</f>
        <v>1</v>
      </c>
      <c r="J50" s="6" t="n">
        <f aca="false">MATCH(C50,Assumptions!$K$4:$K$6,0)</f>
        <v>2</v>
      </c>
      <c r="K50" s="6" t="n">
        <f aca="false">INDEX(Assumptions!$L$4:$L$6,J50)</f>
        <v>0.7</v>
      </c>
      <c r="L50" s="6" t="n">
        <f aca="false">IF(H50,ROUND(E50*K50,2),Assumptions!$B$11)</f>
        <v>106400</v>
      </c>
      <c r="M50" s="7" t="n">
        <f aca="false">ABS(F50-L50)</f>
        <v>0</v>
      </c>
      <c r="N50" s="6" t="n">
        <f aca="false">INT(E50/Assumptions!$B$12)</f>
        <v>1</v>
      </c>
    </row>
    <row r="51" customFormat="false" ht="15" hidden="false" customHeight="false" outlineLevel="0" collapsed="false">
      <c r="A51" s="2" t="s">
        <v>94</v>
      </c>
      <c r="B51" s="2" t="s">
        <v>47</v>
      </c>
      <c r="C51" s="2" t="s">
        <v>20</v>
      </c>
      <c r="D51" s="2" t="s">
        <v>16</v>
      </c>
      <c r="E51" s="5" t="n">
        <v>147000</v>
      </c>
      <c r="F51" s="5" t="n">
        <v>80850</v>
      </c>
      <c r="G51" s="5" t="n">
        <v>48510</v>
      </c>
      <c r="H51" s="5" t="n">
        <f aca="false">TRUE()</f>
        <v>1</v>
      </c>
      <c r="I51" s="6" t="n">
        <f aca="false">VLOOKUP(D51,Assumptions!$H$4:$I$5,2,FALSE())</f>
        <v>1.15</v>
      </c>
      <c r="J51" s="6" t="n">
        <f aca="false">MATCH(C51,Assumptions!$K$4:$K$6,0)</f>
        <v>3</v>
      </c>
      <c r="K51" s="6" t="n">
        <f aca="false">INDEX(Assumptions!$L$4:$L$6,J51)</f>
        <v>0.55</v>
      </c>
      <c r="L51" s="6" t="n">
        <f aca="false">IF(H51,ROUND(E51*K51,2),Assumptions!$B$11)</f>
        <v>80850</v>
      </c>
      <c r="M51" s="7" t="n">
        <f aca="false">ABS(F51-L51)</f>
        <v>0</v>
      </c>
      <c r="N51" s="6" t="n">
        <f aca="false">INT(E51/Assumptions!$B$12)</f>
        <v>1</v>
      </c>
    </row>
    <row r="52" customFormat="false" ht="15" hidden="false" customHeight="false" outlineLevel="0" collapsed="false">
      <c r="A52" s="2" t="s">
        <v>95</v>
      </c>
      <c r="B52" s="2" t="s">
        <v>47</v>
      </c>
      <c r="C52" s="2" t="s">
        <v>13</v>
      </c>
      <c r="D52" s="2" t="s">
        <v>12</v>
      </c>
      <c r="E52" s="5" t="n">
        <v>294000</v>
      </c>
      <c r="F52" s="5" t="n">
        <v>182280</v>
      </c>
      <c r="G52" s="5" t="n">
        <v>109368</v>
      </c>
      <c r="H52" s="5" t="n">
        <f aca="false">TRUE()</f>
        <v>1</v>
      </c>
      <c r="I52" s="6" t="n">
        <f aca="false">VLOOKUP(D52,Assumptions!$H$4:$I$5,2,FALSE())</f>
        <v>1</v>
      </c>
      <c r="J52" s="6" t="n">
        <f aca="false">MATCH(C52,Assumptions!$K$4:$K$6,0)</f>
        <v>1</v>
      </c>
      <c r="K52" s="6" t="n">
        <f aca="false">INDEX(Assumptions!$L$4:$L$6,J52)</f>
        <v>0.62</v>
      </c>
      <c r="L52" s="6" t="n">
        <f aca="false">IF(H52,ROUND(E52*K52,2),Assumptions!$B$11)</f>
        <v>182280</v>
      </c>
      <c r="M52" s="7" t="n">
        <f aca="false">ABS(F52-L52)</f>
        <v>0</v>
      </c>
      <c r="N52" s="6" t="n">
        <f aca="false">INT(E52/Assumptions!$B$12)</f>
        <v>2</v>
      </c>
    </row>
    <row r="53" customFormat="false" ht="15" hidden="false" customHeight="false" outlineLevel="0" collapsed="false">
      <c r="A53" s="2" t="s">
        <v>96</v>
      </c>
      <c r="B53" s="2" t="s">
        <v>47</v>
      </c>
      <c r="C53" s="2" t="s">
        <v>17</v>
      </c>
      <c r="D53" s="2" t="s">
        <v>12</v>
      </c>
      <c r="E53" s="5" t="n">
        <v>149000</v>
      </c>
      <c r="F53" s="5" t="n">
        <v>104300</v>
      </c>
      <c r="G53" s="5" t="n">
        <v>62580</v>
      </c>
      <c r="H53" s="5" t="n">
        <f aca="false">TRUE()</f>
        <v>1</v>
      </c>
      <c r="I53" s="6" t="n">
        <f aca="false">VLOOKUP(D53,Assumptions!$H$4:$I$5,2,FALSE())</f>
        <v>1</v>
      </c>
      <c r="J53" s="6" t="n">
        <f aca="false">MATCH(C53,Assumptions!$K$4:$K$6,0)</f>
        <v>2</v>
      </c>
      <c r="K53" s="6" t="n">
        <f aca="false">INDEX(Assumptions!$L$4:$L$6,J53)</f>
        <v>0.7</v>
      </c>
      <c r="L53" s="6" t="n">
        <f aca="false">IF(H53,ROUND(E53*K53,2),Assumptions!$B$11)</f>
        <v>104300</v>
      </c>
      <c r="M53" s="7" t="n">
        <f aca="false">ABS(F53-L53)</f>
        <v>0</v>
      </c>
      <c r="N53" s="6" t="n">
        <f aca="false">INT(E53/Assumptions!$B$12)</f>
        <v>1</v>
      </c>
    </row>
    <row r="54" customFormat="false" ht="15" hidden="false" customHeight="false" outlineLevel="0" collapsed="false">
      <c r="A54" s="2" t="s">
        <v>97</v>
      </c>
      <c r="B54" s="2" t="s">
        <v>47</v>
      </c>
      <c r="C54" s="2" t="s">
        <v>20</v>
      </c>
      <c r="D54" s="2" t="s">
        <v>12</v>
      </c>
      <c r="E54" s="5" t="n">
        <v>283000</v>
      </c>
      <c r="F54" s="5" t="n">
        <v>155650</v>
      </c>
      <c r="G54" s="5" t="n">
        <v>93390</v>
      </c>
      <c r="H54" s="5" t="n">
        <f aca="false">FALSE()</f>
        <v>0</v>
      </c>
      <c r="I54" s="6" t="n">
        <f aca="false">VLOOKUP(D54,Assumptions!$H$4:$I$5,2,FALSE())</f>
        <v>1</v>
      </c>
      <c r="J54" s="6" t="n">
        <f aca="false">MATCH(C54,Assumptions!$K$4:$K$6,0)</f>
        <v>3</v>
      </c>
      <c r="K54" s="6" t="n">
        <f aca="false">INDEX(Assumptions!$L$4:$L$6,J54)</f>
        <v>0.55</v>
      </c>
      <c r="L54" s="6" t="n">
        <f aca="false">IF(H54,ROUND(E54*K54,2),Assumptions!$B$11)</f>
        <v>0</v>
      </c>
      <c r="M54" s="7" t="n">
        <f aca="false">ABS(F54-L54)</f>
        <v>155650</v>
      </c>
      <c r="N54" s="6" t="n">
        <f aca="false">INT(E54/Assumptions!$B$12)</f>
        <v>2</v>
      </c>
    </row>
    <row r="55" customFormat="false" ht="15" hidden="false" customHeight="false" outlineLevel="0" collapsed="false">
      <c r="A55" s="2" t="s">
        <v>98</v>
      </c>
      <c r="B55" s="2" t="s">
        <v>47</v>
      </c>
      <c r="C55" s="2" t="s">
        <v>13</v>
      </c>
      <c r="D55" s="2" t="s">
        <v>16</v>
      </c>
      <c r="E55" s="5" t="n">
        <v>276000</v>
      </c>
      <c r="F55" s="5" t="n">
        <v>171120</v>
      </c>
      <c r="G55" s="5" t="n">
        <v>102672</v>
      </c>
      <c r="H55" s="5" t="n">
        <f aca="false">TRUE()</f>
        <v>1</v>
      </c>
      <c r="I55" s="6" t="n">
        <f aca="false">VLOOKUP(D55,Assumptions!$H$4:$I$5,2,FALSE())</f>
        <v>1.15</v>
      </c>
      <c r="J55" s="6" t="n">
        <f aca="false">MATCH(C55,Assumptions!$K$4:$K$6,0)</f>
        <v>1</v>
      </c>
      <c r="K55" s="6" t="n">
        <f aca="false">INDEX(Assumptions!$L$4:$L$6,J55)</f>
        <v>0.62</v>
      </c>
      <c r="L55" s="6" t="n">
        <f aca="false">IF(H55,ROUND(E55*K55,2),Assumptions!$B$11)</f>
        <v>171120</v>
      </c>
      <c r="M55" s="7" t="n">
        <f aca="false">ABS(F55-L55)</f>
        <v>0</v>
      </c>
      <c r="N55" s="6" t="n">
        <f aca="false">INT(E55/Assumptions!$B$12)</f>
        <v>2</v>
      </c>
    </row>
    <row r="56" customFormat="false" ht="15" hidden="false" customHeight="false" outlineLevel="0" collapsed="false">
      <c r="A56" s="2" t="s">
        <v>99</v>
      </c>
      <c r="B56" s="2" t="s">
        <v>47</v>
      </c>
      <c r="C56" s="2" t="s">
        <v>17</v>
      </c>
      <c r="D56" s="2" t="s">
        <v>12</v>
      </c>
      <c r="E56" s="5" t="n">
        <v>409000</v>
      </c>
      <c r="F56" s="5" t="n">
        <v>286300</v>
      </c>
      <c r="G56" s="5" t="n">
        <v>171780</v>
      </c>
      <c r="H56" s="5" t="n">
        <f aca="false">TRUE()</f>
        <v>1</v>
      </c>
      <c r="I56" s="6" t="n">
        <f aca="false">VLOOKUP(D56,Assumptions!$H$4:$I$5,2,FALSE())</f>
        <v>1</v>
      </c>
      <c r="J56" s="6" t="n">
        <f aca="false">MATCH(C56,Assumptions!$K$4:$K$6,0)</f>
        <v>2</v>
      </c>
      <c r="K56" s="6" t="n">
        <f aca="false">INDEX(Assumptions!$L$4:$L$6,J56)</f>
        <v>0.7</v>
      </c>
      <c r="L56" s="6" t="n">
        <f aca="false">IF(H56,ROUND(E56*K56,2),Assumptions!$B$11)</f>
        <v>286300</v>
      </c>
      <c r="M56" s="7" t="n">
        <f aca="false">ABS(F56-L56)</f>
        <v>0</v>
      </c>
      <c r="N56" s="6" t="n">
        <f aca="false">INT(E56/Assumptions!$B$12)</f>
        <v>4</v>
      </c>
    </row>
    <row r="57" customFormat="false" ht="15" hidden="false" customHeight="false" outlineLevel="0" collapsed="false">
      <c r="A57" s="2" t="s">
        <v>100</v>
      </c>
      <c r="B57" s="2" t="s">
        <v>47</v>
      </c>
      <c r="C57" s="2" t="s">
        <v>20</v>
      </c>
      <c r="D57" s="2" t="s">
        <v>12</v>
      </c>
      <c r="E57" s="5" t="n">
        <v>235000</v>
      </c>
      <c r="F57" s="5" t="n">
        <v>129250</v>
      </c>
      <c r="G57" s="5" t="n">
        <v>77550</v>
      </c>
      <c r="H57" s="5" t="n">
        <f aca="false">TRUE()</f>
        <v>1</v>
      </c>
      <c r="I57" s="6" t="n">
        <f aca="false">VLOOKUP(D57,Assumptions!$H$4:$I$5,2,FALSE())</f>
        <v>1</v>
      </c>
      <c r="J57" s="6" t="n">
        <f aca="false">MATCH(C57,Assumptions!$K$4:$K$6,0)</f>
        <v>3</v>
      </c>
      <c r="K57" s="6" t="n">
        <f aca="false">INDEX(Assumptions!$L$4:$L$6,J57)</f>
        <v>0.55</v>
      </c>
      <c r="L57" s="6" t="n">
        <f aca="false">IF(H57,ROUND(E57*K57,2),Assumptions!$B$11)</f>
        <v>129250</v>
      </c>
      <c r="M57" s="7" t="n">
        <f aca="false">ABS(F57-L57)</f>
        <v>0</v>
      </c>
      <c r="N57" s="6" t="n">
        <f aca="false">INT(E57/Assumptions!$B$12)</f>
        <v>2</v>
      </c>
    </row>
    <row r="58" customFormat="false" ht="15" hidden="false" customHeight="false" outlineLevel="0" collapsed="false">
      <c r="A58" s="2" t="s">
        <v>101</v>
      </c>
      <c r="B58" s="2" t="s">
        <v>47</v>
      </c>
      <c r="C58" s="2" t="s">
        <v>13</v>
      </c>
      <c r="D58" s="2" t="s">
        <v>12</v>
      </c>
      <c r="E58" s="5" t="n">
        <v>122000</v>
      </c>
      <c r="F58" s="5" t="n">
        <v>75640</v>
      </c>
      <c r="G58" s="5" t="n">
        <v>45384</v>
      </c>
      <c r="H58" s="5" t="n">
        <f aca="false">TRUE()</f>
        <v>1</v>
      </c>
      <c r="I58" s="6" t="n">
        <f aca="false">VLOOKUP(D58,Assumptions!$H$4:$I$5,2,FALSE())</f>
        <v>1</v>
      </c>
      <c r="J58" s="6" t="n">
        <f aca="false">MATCH(C58,Assumptions!$K$4:$K$6,0)</f>
        <v>1</v>
      </c>
      <c r="K58" s="6" t="n">
        <f aca="false">INDEX(Assumptions!$L$4:$L$6,J58)</f>
        <v>0.62</v>
      </c>
      <c r="L58" s="6" t="n">
        <f aca="false">IF(H58,ROUND(E58*K58,2),Assumptions!$B$11)</f>
        <v>75640</v>
      </c>
      <c r="M58" s="7" t="n">
        <f aca="false">ABS(F58-L58)</f>
        <v>0</v>
      </c>
      <c r="N58" s="6" t="n">
        <f aca="false">INT(E58/Assumptions!$B$12)</f>
        <v>1</v>
      </c>
    </row>
    <row r="59" customFormat="false" ht="15" hidden="false" customHeight="false" outlineLevel="0" collapsed="false">
      <c r="A59" s="2" t="s">
        <v>102</v>
      </c>
      <c r="B59" s="2" t="s">
        <v>47</v>
      </c>
      <c r="C59" s="2" t="s">
        <v>17</v>
      </c>
      <c r="D59" s="2" t="s">
        <v>16</v>
      </c>
      <c r="E59" s="5" t="n">
        <v>473000</v>
      </c>
      <c r="F59" s="5" t="n">
        <v>331100</v>
      </c>
      <c r="G59" s="5" t="n">
        <v>198660</v>
      </c>
      <c r="H59" s="5" t="n">
        <f aca="false">TRUE()</f>
        <v>1</v>
      </c>
      <c r="I59" s="6" t="n">
        <f aca="false">VLOOKUP(D59,Assumptions!$H$4:$I$5,2,FALSE())</f>
        <v>1.15</v>
      </c>
      <c r="J59" s="6" t="n">
        <f aca="false">MATCH(C59,Assumptions!$K$4:$K$6,0)</f>
        <v>2</v>
      </c>
      <c r="K59" s="6" t="n">
        <f aca="false">INDEX(Assumptions!$L$4:$L$6,J59)</f>
        <v>0.7</v>
      </c>
      <c r="L59" s="6" t="n">
        <f aca="false">IF(H59,ROUND(E59*K59,2),Assumptions!$B$11)</f>
        <v>331100</v>
      </c>
      <c r="M59" s="7" t="n">
        <f aca="false">ABS(F59-L59)</f>
        <v>0</v>
      </c>
      <c r="N59" s="6" t="n">
        <f aca="false">INT(E59/Assumptions!$B$12)</f>
        <v>4</v>
      </c>
    </row>
    <row r="60" customFormat="false" ht="15" hidden="false" customHeight="false" outlineLevel="0" collapsed="false">
      <c r="A60" s="2" t="s">
        <v>103</v>
      </c>
      <c r="B60" s="2" t="s">
        <v>47</v>
      </c>
      <c r="C60" s="2" t="s">
        <v>20</v>
      </c>
      <c r="D60" s="2" t="s">
        <v>12</v>
      </c>
      <c r="E60" s="5" t="n">
        <v>335000</v>
      </c>
      <c r="F60" s="5" t="n">
        <v>184250</v>
      </c>
      <c r="G60" s="5" t="n">
        <v>110550</v>
      </c>
      <c r="H60" s="5" t="n">
        <f aca="false">TRUE()</f>
        <v>1</v>
      </c>
      <c r="I60" s="6" t="n">
        <f aca="false">VLOOKUP(D60,Assumptions!$H$4:$I$5,2,FALSE())</f>
        <v>1</v>
      </c>
      <c r="J60" s="6" t="n">
        <f aca="false">MATCH(C60,Assumptions!$K$4:$K$6,0)</f>
        <v>3</v>
      </c>
      <c r="K60" s="6" t="n">
        <f aca="false">INDEX(Assumptions!$L$4:$L$6,J60)</f>
        <v>0.55</v>
      </c>
      <c r="L60" s="6" t="n">
        <f aca="false">IF(H60,ROUND(E60*K60,2),Assumptions!$B$11)</f>
        <v>184250</v>
      </c>
      <c r="M60" s="7" t="n">
        <f aca="false">ABS(F60-L60)</f>
        <v>0</v>
      </c>
      <c r="N60" s="6" t="n">
        <f aca="false">INT(E60/Assumptions!$B$12)</f>
        <v>3</v>
      </c>
    </row>
    <row r="61" customFormat="false" ht="15" hidden="false" customHeight="false" outlineLevel="0" collapsed="false">
      <c r="A61" s="2" t="s">
        <v>104</v>
      </c>
      <c r="B61" s="2" t="s">
        <v>47</v>
      </c>
      <c r="C61" s="2" t="s">
        <v>13</v>
      </c>
      <c r="D61" s="2" t="s">
        <v>12</v>
      </c>
      <c r="E61" s="5" t="n">
        <v>374000</v>
      </c>
      <c r="F61" s="5" t="n">
        <v>231880</v>
      </c>
      <c r="G61" s="5" t="n">
        <v>139128</v>
      </c>
      <c r="H61" s="5" t="n">
        <f aca="false">TRUE()</f>
        <v>1</v>
      </c>
      <c r="I61" s="6" t="n">
        <f aca="false">VLOOKUP(D61,Assumptions!$H$4:$I$5,2,FALSE())</f>
        <v>1</v>
      </c>
      <c r="J61" s="6" t="n">
        <f aca="false">MATCH(C61,Assumptions!$K$4:$K$6,0)</f>
        <v>1</v>
      </c>
      <c r="K61" s="6" t="n">
        <f aca="false">INDEX(Assumptions!$L$4:$L$6,J61)</f>
        <v>0.62</v>
      </c>
      <c r="L61" s="6" t="n">
        <f aca="false">IF(H61,ROUND(E61*K61,2),Assumptions!$B$11)</f>
        <v>231880</v>
      </c>
      <c r="M61" s="7" t="n">
        <f aca="false">ABS(F61-L61)</f>
        <v>0</v>
      </c>
      <c r="N61" s="6" t="n">
        <f aca="false">INT(E61/Assumptions!$B$12)</f>
        <v>3</v>
      </c>
    </row>
    <row r="62" customFormat="false" ht="15" hidden="false" customHeight="false" outlineLevel="0" collapsed="false">
      <c r="A62" s="2" t="s">
        <v>105</v>
      </c>
      <c r="B62" s="2" t="s">
        <v>47</v>
      </c>
      <c r="C62" s="2" t="s">
        <v>17</v>
      </c>
      <c r="D62" s="2" t="s">
        <v>12</v>
      </c>
      <c r="E62" s="5" t="n">
        <v>163000</v>
      </c>
      <c r="F62" s="5" t="n">
        <v>114100</v>
      </c>
      <c r="G62" s="5" t="n">
        <v>68460</v>
      </c>
      <c r="H62" s="5" t="n">
        <f aca="false">TRUE()</f>
        <v>1</v>
      </c>
      <c r="I62" s="6" t="n">
        <f aca="false">VLOOKUP(D62,Assumptions!$H$4:$I$5,2,FALSE())</f>
        <v>1</v>
      </c>
      <c r="J62" s="6" t="n">
        <f aca="false">MATCH(C62,Assumptions!$K$4:$K$6,0)</f>
        <v>2</v>
      </c>
      <c r="K62" s="6" t="n">
        <f aca="false">INDEX(Assumptions!$L$4:$L$6,J62)</f>
        <v>0.7</v>
      </c>
      <c r="L62" s="6" t="n">
        <f aca="false">IF(H62,ROUND(E62*K62,2),Assumptions!$B$11)</f>
        <v>114100</v>
      </c>
      <c r="M62" s="7" t="n">
        <f aca="false">ABS(F62-L62)</f>
        <v>0</v>
      </c>
      <c r="N62" s="6" t="n">
        <f aca="false">INT(E62/Assumptions!$B$12)</f>
        <v>1</v>
      </c>
    </row>
    <row r="63" customFormat="false" ht="15" hidden="false" customHeight="false" outlineLevel="0" collapsed="false">
      <c r="A63" s="2" t="s">
        <v>106</v>
      </c>
      <c r="B63" s="2" t="s">
        <v>47</v>
      </c>
      <c r="C63" s="2" t="s">
        <v>20</v>
      </c>
      <c r="D63" s="2" t="s">
        <v>16</v>
      </c>
      <c r="E63" s="5" t="n">
        <v>293000</v>
      </c>
      <c r="F63" s="5" t="n">
        <v>161150</v>
      </c>
      <c r="G63" s="5" t="n">
        <v>96690</v>
      </c>
      <c r="H63" s="5" t="n">
        <f aca="false">TRUE()</f>
        <v>1</v>
      </c>
      <c r="I63" s="6" t="n">
        <f aca="false">VLOOKUP(D63,Assumptions!$H$4:$I$5,2,FALSE())</f>
        <v>1.15</v>
      </c>
      <c r="J63" s="6" t="n">
        <f aca="false">MATCH(C63,Assumptions!$K$4:$K$6,0)</f>
        <v>3</v>
      </c>
      <c r="K63" s="6" t="n">
        <f aca="false">INDEX(Assumptions!$L$4:$L$6,J63)</f>
        <v>0.55</v>
      </c>
      <c r="L63" s="6" t="n">
        <f aca="false">IF(H63,ROUND(E63*K63,2),Assumptions!$B$11)</f>
        <v>161150</v>
      </c>
      <c r="M63" s="7" t="n">
        <f aca="false">ABS(F63-L63)</f>
        <v>0</v>
      </c>
      <c r="N63" s="6" t="n">
        <f aca="false">INT(E63/Assumptions!$B$12)</f>
        <v>2</v>
      </c>
    </row>
    <row r="64" customFormat="false" ht="15" hidden="false" customHeight="false" outlineLevel="0" collapsed="false">
      <c r="A64" s="2" t="s">
        <v>107</v>
      </c>
      <c r="B64" s="2" t="s">
        <v>47</v>
      </c>
      <c r="C64" s="2" t="s">
        <v>13</v>
      </c>
      <c r="D64" s="2" t="s">
        <v>12</v>
      </c>
      <c r="E64" s="5" t="n">
        <v>140000</v>
      </c>
      <c r="F64" s="5" t="n">
        <v>86800</v>
      </c>
      <c r="G64" s="5" t="n">
        <v>52080</v>
      </c>
      <c r="H64" s="5" t="n">
        <f aca="false">TRUE()</f>
        <v>1</v>
      </c>
      <c r="I64" s="6" t="n">
        <f aca="false">VLOOKUP(D64,Assumptions!$H$4:$I$5,2,FALSE())</f>
        <v>1</v>
      </c>
      <c r="J64" s="6" t="n">
        <f aca="false">MATCH(C64,Assumptions!$K$4:$K$6,0)</f>
        <v>1</v>
      </c>
      <c r="K64" s="6" t="n">
        <f aca="false">INDEX(Assumptions!$L$4:$L$6,J64)</f>
        <v>0.62</v>
      </c>
      <c r="L64" s="6" t="n">
        <f aca="false">IF(H64,ROUND(E64*K64,2),Assumptions!$B$11)</f>
        <v>86800</v>
      </c>
      <c r="M64" s="7" t="n">
        <f aca="false">ABS(F64-L64)</f>
        <v>0</v>
      </c>
      <c r="N64" s="6" t="n">
        <f aca="false">INT(E64/Assumptions!$B$12)</f>
        <v>1</v>
      </c>
    </row>
    <row r="65" customFormat="false" ht="15" hidden="false" customHeight="false" outlineLevel="0" collapsed="false">
      <c r="A65" s="2" t="s">
        <v>108</v>
      </c>
      <c r="B65" s="2" t="s">
        <v>47</v>
      </c>
      <c r="C65" s="2" t="s">
        <v>17</v>
      </c>
      <c r="D65" s="2" t="s">
        <v>12</v>
      </c>
      <c r="E65" s="5" t="n">
        <v>382000</v>
      </c>
      <c r="F65" s="5" t="n">
        <v>267400</v>
      </c>
      <c r="G65" s="5" t="n">
        <v>160440</v>
      </c>
      <c r="H65" s="5" t="n">
        <f aca="false">TRUE()</f>
        <v>1</v>
      </c>
      <c r="I65" s="6" t="n">
        <f aca="false">VLOOKUP(D65,Assumptions!$H$4:$I$5,2,FALSE())</f>
        <v>1</v>
      </c>
      <c r="J65" s="6" t="n">
        <f aca="false">MATCH(C65,Assumptions!$K$4:$K$6,0)</f>
        <v>2</v>
      </c>
      <c r="K65" s="6" t="n">
        <f aca="false">INDEX(Assumptions!$L$4:$L$6,J65)</f>
        <v>0.7</v>
      </c>
      <c r="L65" s="6" t="n">
        <f aca="false">IF(H65,ROUND(E65*K65,2),Assumptions!$B$11)</f>
        <v>267400</v>
      </c>
      <c r="M65" s="7" t="n">
        <f aca="false">ABS(F65-L65)</f>
        <v>0</v>
      </c>
      <c r="N65" s="6" t="n">
        <f aca="false">INT(E65/Assumptions!$B$12)</f>
        <v>3</v>
      </c>
    </row>
    <row r="66" customFormat="false" ht="15" hidden="false" customHeight="false" outlineLevel="0" collapsed="false">
      <c r="A66" s="2" t="s">
        <v>109</v>
      </c>
      <c r="B66" s="2" t="s">
        <v>47</v>
      </c>
      <c r="C66" s="2" t="s">
        <v>20</v>
      </c>
      <c r="D66" s="2" t="s">
        <v>12</v>
      </c>
      <c r="E66" s="5" t="n">
        <v>250000</v>
      </c>
      <c r="F66" s="5" t="n">
        <v>137500</v>
      </c>
      <c r="G66" s="5" t="n">
        <v>82500</v>
      </c>
      <c r="H66" s="5" t="n">
        <f aca="false">TRUE()</f>
        <v>1</v>
      </c>
      <c r="I66" s="6" t="n">
        <f aca="false">VLOOKUP(D66,Assumptions!$H$4:$I$5,2,FALSE())</f>
        <v>1</v>
      </c>
      <c r="J66" s="6" t="n">
        <f aca="false">MATCH(C66,Assumptions!$K$4:$K$6,0)</f>
        <v>3</v>
      </c>
      <c r="K66" s="6" t="n">
        <f aca="false">INDEX(Assumptions!$L$4:$L$6,J66)</f>
        <v>0.55</v>
      </c>
      <c r="L66" s="6" t="n">
        <f aca="false">IF(H66,ROUND(E66*K66,2),Assumptions!$B$11)</f>
        <v>137500</v>
      </c>
      <c r="M66" s="7" t="n">
        <f aca="false">ABS(F66-L66)</f>
        <v>0</v>
      </c>
      <c r="N66" s="6" t="n">
        <f aca="false">INT(E66/Assumptions!$B$12)</f>
        <v>2</v>
      </c>
    </row>
    <row r="67" customFormat="false" ht="15" hidden="false" customHeight="false" outlineLevel="0" collapsed="false">
      <c r="A67" s="2" t="s">
        <v>110</v>
      </c>
      <c r="B67" s="2" t="s">
        <v>47</v>
      </c>
      <c r="C67" s="2" t="s">
        <v>13</v>
      </c>
      <c r="D67" s="2" t="s">
        <v>16</v>
      </c>
      <c r="E67" s="5" t="n">
        <v>421000</v>
      </c>
      <c r="F67" s="5" t="n">
        <v>261020</v>
      </c>
      <c r="G67" s="5" t="n">
        <v>156612</v>
      </c>
      <c r="H67" s="5" t="n">
        <f aca="false">TRUE()</f>
        <v>1</v>
      </c>
      <c r="I67" s="6" t="n">
        <f aca="false">VLOOKUP(D67,Assumptions!$H$4:$I$5,2,FALSE())</f>
        <v>1.15</v>
      </c>
      <c r="J67" s="6" t="n">
        <f aca="false">MATCH(C67,Assumptions!$K$4:$K$6,0)</f>
        <v>1</v>
      </c>
      <c r="K67" s="6" t="n">
        <f aca="false">INDEX(Assumptions!$L$4:$L$6,J67)</f>
        <v>0.62</v>
      </c>
      <c r="L67" s="6" t="n">
        <f aca="false">IF(H67,ROUND(E67*K67,2),Assumptions!$B$11)</f>
        <v>261020</v>
      </c>
      <c r="M67" s="7" t="n">
        <f aca="false">ABS(F67-L67)</f>
        <v>0</v>
      </c>
      <c r="N67" s="6" t="n">
        <f aca="false">INT(E67/Assumptions!$B$12)</f>
        <v>4</v>
      </c>
    </row>
    <row r="68" customFormat="false" ht="15" hidden="false" customHeight="false" outlineLevel="0" collapsed="false">
      <c r="A68" s="2" t="s">
        <v>111</v>
      </c>
      <c r="B68" s="2" t="s">
        <v>47</v>
      </c>
      <c r="C68" s="2" t="s">
        <v>17</v>
      </c>
      <c r="D68" s="2" t="s">
        <v>12</v>
      </c>
      <c r="E68" s="5" t="n">
        <v>416000</v>
      </c>
      <c r="F68" s="5" t="n">
        <v>291200</v>
      </c>
      <c r="G68" s="5" t="n">
        <v>174720</v>
      </c>
      <c r="H68" s="5" t="n">
        <f aca="false">TRUE()</f>
        <v>1</v>
      </c>
      <c r="I68" s="6" t="n">
        <f aca="false">VLOOKUP(D68,Assumptions!$H$4:$I$5,2,FALSE())</f>
        <v>1</v>
      </c>
      <c r="J68" s="6" t="n">
        <f aca="false">MATCH(C68,Assumptions!$K$4:$K$6,0)</f>
        <v>2</v>
      </c>
      <c r="K68" s="6" t="n">
        <f aca="false">INDEX(Assumptions!$L$4:$L$6,J68)</f>
        <v>0.7</v>
      </c>
      <c r="L68" s="6" t="n">
        <f aca="false">IF(H68,ROUND(E68*K68,2),Assumptions!$B$11)</f>
        <v>291200</v>
      </c>
      <c r="M68" s="7" t="n">
        <f aca="false">ABS(F68-L68)</f>
        <v>0</v>
      </c>
      <c r="N68" s="6" t="n">
        <f aca="false">INT(E68/Assumptions!$B$12)</f>
        <v>4</v>
      </c>
    </row>
    <row r="69" customFormat="false" ht="15" hidden="false" customHeight="false" outlineLevel="0" collapsed="false">
      <c r="A69" s="2" t="s">
        <v>112</v>
      </c>
      <c r="B69" s="2" t="s">
        <v>47</v>
      </c>
      <c r="C69" s="2" t="s">
        <v>20</v>
      </c>
      <c r="D69" s="2" t="s">
        <v>12</v>
      </c>
      <c r="E69" s="5" t="n">
        <v>285000</v>
      </c>
      <c r="F69" s="5" t="n">
        <v>156750</v>
      </c>
      <c r="G69" s="5" t="n">
        <v>94050</v>
      </c>
      <c r="H69" s="5" t="n">
        <f aca="false">TRUE()</f>
        <v>1</v>
      </c>
      <c r="I69" s="6" t="n">
        <f aca="false">VLOOKUP(D69,Assumptions!$H$4:$I$5,2,FALSE())</f>
        <v>1</v>
      </c>
      <c r="J69" s="6" t="n">
        <f aca="false">MATCH(C69,Assumptions!$K$4:$K$6,0)</f>
        <v>3</v>
      </c>
      <c r="K69" s="6" t="n">
        <f aca="false">INDEX(Assumptions!$L$4:$L$6,J69)</f>
        <v>0.55</v>
      </c>
      <c r="L69" s="6" t="n">
        <f aca="false">IF(H69,ROUND(E69*K69,2),Assumptions!$B$11)</f>
        <v>156750</v>
      </c>
      <c r="M69" s="7" t="n">
        <f aca="false">ABS(F69-L69)</f>
        <v>0</v>
      </c>
      <c r="N69" s="6" t="n">
        <f aca="false">INT(E69/Assumptions!$B$12)</f>
        <v>2</v>
      </c>
    </row>
    <row r="70" customFormat="false" ht="15" hidden="false" customHeight="false" outlineLevel="0" collapsed="false">
      <c r="A70" s="2" t="s">
        <v>113</v>
      </c>
      <c r="B70" s="2" t="s">
        <v>47</v>
      </c>
      <c r="C70" s="2" t="s">
        <v>13</v>
      </c>
      <c r="D70" s="2" t="s">
        <v>12</v>
      </c>
      <c r="E70" s="5" t="n">
        <v>395000</v>
      </c>
      <c r="F70" s="5" t="n">
        <v>244900</v>
      </c>
      <c r="G70" s="5" t="n">
        <v>146940</v>
      </c>
      <c r="H70" s="5" t="n">
        <f aca="false">TRUE()</f>
        <v>1</v>
      </c>
      <c r="I70" s="6" t="n">
        <f aca="false">VLOOKUP(D70,Assumptions!$H$4:$I$5,2,FALSE())</f>
        <v>1</v>
      </c>
      <c r="J70" s="6" t="n">
        <f aca="false">MATCH(C70,Assumptions!$K$4:$K$6,0)</f>
        <v>1</v>
      </c>
      <c r="K70" s="6" t="n">
        <f aca="false">INDEX(Assumptions!$L$4:$L$6,J70)</f>
        <v>0.62</v>
      </c>
      <c r="L70" s="6" t="n">
        <f aca="false">IF(H70,ROUND(E70*K70,2),Assumptions!$B$11)</f>
        <v>244900</v>
      </c>
      <c r="M70" s="7" t="n">
        <f aca="false">ABS(F70-L70)</f>
        <v>0</v>
      </c>
      <c r="N70" s="6" t="n">
        <f aca="false">INT(E70/Assumptions!$B$12)</f>
        <v>3</v>
      </c>
    </row>
    <row r="71" customFormat="false" ht="15" hidden="false" customHeight="false" outlineLevel="0" collapsed="false">
      <c r="A71" s="2" t="s">
        <v>114</v>
      </c>
      <c r="B71" s="2" t="s">
        <v>47</v>
      </c>
      <c r="C71" s="2" t="s">
        <v>17</v>
      </c>
      <c r="D71" s="2" t="s">
        <v>16</v>
      </c>
      <c r="E71" s="5" t="n">
        <v>198000</v>
      </c>
      <c r="F71" s="5" t="n">
        <v>138600</v>
      </c>
      <c r="G71" s="5" t="n">
        <v>83160</v>
      </c>
      <c r="H71" s="5" t="n">
        <f aca="false">FALSE()</f>
        <v>0</v>
      </c>
      <c r="I71" s="6" t="n">
        <f aca="false">VLOOKUP(D71,Assumptions!$H$4:$I$5,2,FALSE())</f>
        <v>1.15</v>
      </c>
      <c r="J71" s="6" t="n">
        <f aca="false">MATCH(C71,Assumptions!$K$4:$K$6,0)</f>
        <v>2</v>
      </c>
      <c r="K71" s="6" t="n">
        <f aca="false">INDEX(Assumptions!$L$4:$L$6,J71)</f>
        <v>0.7</v>
      </c>
      <c r="L71" s="6" t="n">
        <f aca="false">IF(H71,ROUND(E71*K71,2),Assumptions!$B$11)</f>
        <v>0</v>
      </c>
      <c r="M71" s="7" t="n">
        <f aca="false">ABS(F71-L71)</f>
        <v>138600</v>
      </c>
      <c r="N71" s="6" t="n">
        <f aca="false">INT(E71/Assumptions!$B$12)</f>
        <v>1</v>
      </c>
    </row>
    <row r="72" customFormat="false" ht="15" hidden="false" customHeight="false" outlineLevel="0" collapsed="false">
      <c r="A72" s="2" t="s">
        <v>115</v>
      </c>
      <c r="B72" s="2" t="s">
        <v>47</v>
      </c>
      <c r="C72" s="2" t="s">
        <v>20</v>
      </c>
      <c r="D72" s="2" t="s">
        <v>12</v>
      </c>
      <c r="E72" s="5" t="n">
        <v>460000</v>
      </c>
      <c r="F72" s="5" t="n">
        <v>253000</v>
      </c>
      <c r="G72" s="5" t="n">
        <v>151800</v>
      </c>
      <c r="H72" s="5" t="n">
        <f aca="false">TRUE()</f>
        <v>1</v>
      </c>
      <c r="I72" s="6" t="n">
        <f aca="false">VLOOKUP(D72,Assumptions!$H$4:$I$5,2,FALSE())</f>
        <v>1</v>
      </c>
      <c r="J72" s="6" t="n">
        <f aca="false">MATCH(C72,Assumptions!$K$4:$K$6,0)</f>
        <v>3</v>
      </c>
      <c r="K72" s="6" t="n">
        <f aca="false">INDEX(Assumptions!$L$4:$L$6,J72)</f>
        <v>0.55</v>
      </c>
      <c r="L72" s="6" t="n">
        <f aca="false">IF(H72,ROUND(E72*K72,2),Assumptions!$B$11)</f>
        <v>253000</v>
      </c>
      <c r="M72" s="7" t="n">
        <f aca="false">ABS(F72-L72)</f>
        <v>0</v>
      </c>
      <c r="N72" s="6" t="n">
        <f aca="false">INT(E72/Assumptions!$B$12)</f>
        <v>4</v>
      </c>
    </row>
    <row r="73" customFormat="false" ht="15" hidden="false" customHeight="false" outlineLevel="0" collapsed="false">
      <c r="A73" s="2" t="s">
        <v>116</v>
      </c>
      <c r="B73" s="2" t="s">
        <v>47</v>
      </c>
      <c r="C73" s="2" t="s">
        <v>13</v>
      </c>
      <c r="D73" s="2" t="s">
        <v>12</v>
      </c>
      <c r="E73" s="5" t="n">
        <v>135000</v>
      </c>
      <c r="F73" s="5" t="n">
        <v>83700</v>
      </c>
      <c r="G73" s="5" t="n">
        <v>50220</v>
      </c>
      <c r="H73" s="5" t="n">
        <f aca="false">TRUE()</f>
        <v>1</v>
      </c>
      <c r="I73" s="6" t="n">
        <f aca="false">VLOOKUP(D73,Assumptions!$H$4:$I$5,2,FALSE())</f>
        <v>1</v>
      </c>
      <c r="J73" s="6" t="n">
        <f aca="false">MATCH(C73,Assumptions!$K$4:$K$6,0)</f>
        <v>1</v>
      </c>
      <c r="K73" s="6" t="n">
        <f aca="false">INDEX(Assumptions!$L$4:$L$6,J73)</f>
        <v>0.62</v>
      </c>
      <c r="L73" s="6" t="n">
        <f aca="false">IF(H73,ROUND(E73*K73,2),Assumptions!$B$11)</f>
        <v>83700</v>
      </c>
      <c r="M73" s="7" t="n">
        <f aca="false">ABS(F73-L73)</f>
        <v>0</v>
      </c>
      <c r="N73" s="6" t="n">
        <f aca="false">INT(E73/Assumptions!$B$12)</f>
        <v>1</v>
      </c>
    </row>
    <row r="74" customFormat="false" ht="15" hidden="false" customHeight="false" outlineLevel="0" collapsed="false">
      <c r="A74" s="2" t="s">
        <v>117</v>
      </c>
      <c r="B74" s="2" t="s">
        <v>47</v>
      </c>
      <c r="C74" s="2" t="s">
        <v>17</v>
      </c>
      <c r="D74" s="2" t="s">
        <v>12</v>
      </c>
      <c r="E74" s="5" t="n">
        <v>123000</v>
      </c>
      <c r="F74" s="5" t="n">
        <v>86100</v>
      </c>
      <c r="G74" s="5" t="n">
        <v>51660</v>
      </c>
      <c r="H74" s="5" t="n">
        <f aca="false">TRUE()</f>
        <v>1</v>
      </c>
      <c r="I74" s="6" t="n">
        <f aca="false">VLOOKUP(D74,Assumptions!$H$4:$I$5,2,FALSE())</f>
        <v>1</v>
      </c>
      <c r="J74" s="6" t="n">
        <f aca="false">MATCH(C74,Assumptions!$K$4:$K$6,0)</f>
        <v>2</v>
      </c>
      <c r="K74" s="6" t="n">
        <f aca="false">INDEX(Assumptions!$L$4:$L$6,J74)</f>
        <v>0.7</v>
      </c>
      <c r="L74" s="6" t="n">
        <f aca="false">IF(H74,ROUND(E74*K74,2),Assumptions!$B$11)</f>
        <v>86100</v>
      </c>
      <c r="M74" s="7" t="n">
        <f aca="false">ABS(F74-L74)</f>
        <v>0</v>
      </c>
      <c r="N74" s="6" t="n">
        <f aca="false">INT(E74/Assumptions!$B$12)</f>
        <v>1</v>
      </c>
    </row>
    <row r="75" customFormat="false" ht="15" hidden="false" customHeight="false" outlineLevel="0" collapsed="false">
      <c r="A75" s="2" t="s">
        <v>118</v>
      </c>
      <c r="B75" s="2" t="s">
        <v>47</v>
      </c>
      <c r="C75" s="2" t="s">
        <v>20</v>
      </c>
      <c r="D75" s="2" t="s">
        <v>16</v>
      </c>
      <c r="E75" s="5" t="n">
        <v>438000</v>
      </c>
      <c r="F75" s="5" t="n">
        <v>240900</v>
      </c>
      <c r="G75" s="5" t="n">
        <v>144540</v>
      </c>
      <c r="H75" s="5" t="n">
        <f aca="false">TRUE()</f>
        <v>1</v>
      </c>
      <c r="I75" s="6" t="n">
        <f aca="false">VLOOKUP(D75,Assumptions!$H$4:$I$5,2,FALSE())</f>
        <v>1.15</v>
      </c>
      <c r="J75" s="6" t="n">
        <f aca="false">MATCH(C75,Assumptions!$K$4:$K$6,0)</f>
        <v>3</v>
      </c>
      <c r="K75" s="6" t="n">
        <f aca="false">INDEX(Assumptions!$L$4:$L$6,J75)</f>
        <v>0.55</v>
      </c>
      <c r="L75" s="6" t="n">
        <f aca="false">IF(H75,ROUND(E75*K75,2),Assumptions!$B$11)</f>
        <v>240900</v>
      </c>
      <c r="M75" s="7" t="n">
        <f aca="false">ABS(F75-L75)</f>
        <v>0</v>
      </c>
      <c r="N75" s="6" t="n">
        <f aca="false">INT(E75/Assumptions!$B$12)</f>
        <v>4</v>
      </c>
    </row>
    <row r="76" customFormat="false" ht="15" hidden="false" customHeight="false" outlineLevel="0" collapsed="false">
      <c r="A76" s="2" t="s">
        <v>119</v>
      </c>
      <c r="B76" s="2" t="s">
        <v>47</v>
      </c>
      <c r="C76" s="2" t="s">
        <v>13</v>
      </c>
      <c r="D76" s="2" t="s">
        <v>12</v>
      </c>
      <c r="E76" s="5" t="n">
        <v>216000</v>
      </c>
      <c r="F76" s="5" t="n">
        <v>133920</v>
      </c>
      <c r="G76" s="5" t="n">
        <v>80352</v>
      </c>
      <c r="H76" s="5" t="n">
        <f aca="false">TRUE()</f>
        <v>1</v>
      </c>
      <c r="I76" s="6" t="n">
        <f aca="false">VLOOKUP(D76,Assumptions!$H$4:$I$5,2,FALSE())</f>
        <v>1</v>
      </c>
      <c r="J76" s="6" t="n">
        <f aca="false">MATCH(C76,Assumptions!$K$4:$K$6,0)</f>
        <v>1</v>
      </c>
      <c r="K76" s="6" t="n">
        <f aca="false">INDEX(Assumptions!$L$4:$L$6,J76)</f>
        <v>0.62</v>
      </c>
      <c r="L76" s="6" t="n">
        <f aca="false">IF(H76,ROUND(E76*K76,2),Assumptions!$B$11)</f>
        <v>133920</v>
      </c>
      <c r="M76" s="7" t="n">
        <f aca="false">ABS(F76-L76)</f>
        <v>0</v>
      </c>
      <c r="N76" s="6" t="n">
        <f aca="false">INT(E76/Assumptions!$B$12)</f>
        <v>2</v>
      </c>
    </row>
    <row r="77" customFormat="false" ht="15" hidden="false" customHeight="false" outlineLevel="0" collapsed="false">
      <c r="A77" s="2" t="s">
        <v>120</v>
      </c>
      <c r="B77" s="2" t="s">
        <v>47</v>
      </c>
      <c r="C77" s="2" t="s">
        <v>17</v>
      </c>
      <c r="D77" s="2" t="s">
        <v>12</v>
      </c>
      <c r="E77" s="5" t="n">
        <v>495000</v>
      </c>
      <c r="F77" s="5" t="n">
        <v>346500</v>
      </c>
      <c r="G77" s="5" t="n">
        <v>207900</v>
      </c>
      <c r="H77" s="5" t="n">
        <f aca="false">TRUE()</f>
        <v>1</v>
      </c>
      <c r="I77" s="6" t="n">
        <f aca="false">VLOOKUP(D77,Assumptions!$H$4:$I$5,2,FALSE())</f>
        <v>1</v>
      </c>
      <c r="J77" s="6" t="n">
        <f aca="false">MATCH(C77,Assumptions!$K$4:$K$6,0)</f>
        <v>2</v>
      </c>
      <c r="K77" s="6" t="n">
        <f aca="false">INDEX(Assumptions!$L$4:$L$6,J77)</f>
        <v>0.7</v>
      </c>
      <c r="L77" s="6" t="n">
        <f aca="false">IF(H77,ROUND(E77*K77,2),Assumptions!$B$11)</f>
        <v>346500</v>
      </c>
      <c r="M77" s="7" t="n">
        <f aca="false">ABS(F77-L77)</f>
        <v>0</v>
      </c>
      <c r="N77" s="6" t="n">
        <f aca="false">INT(E77/Assumptions!$B$12)</f>
        <v>4</v>
      </c>
    </row>
    <row r="78" customFormat="false" ht="15" hidden="false" customHeight="false" outlineLevel="0" collapsed="false">
      <c r="A78" s="2" t="s">
        <v>121</v>
      </c>
      <c r="B78" s="2" t="s">
        <v>47</v>
      </c>
      <c r="C78" s="2" t="s">
        <v>20</v>
      </c>
      <c r="D78" s="2" t="s">
        <v>12</v>
      </c>
      <c r="E78" s="5" t="n">
        <v>248000</v>
      </c>
      <c r="F78" s="5" t="n">
        <v>136400</v>
      </c>
      <c r="G78" s="5" t="n">
        <v>81840</v>
      </c>
      <c r="H78" s="5" t="n">
        <f aca="false">TRUE()</f>
        <v>1</v>
      </c>
      <c r="I78" s="6" t="n">
        <f aca="false">VLOOKUP(D78,Assumptions!$H$4:$I$5,2,FALSE())</f>
        <v>1</v>
      </c>
      <c r="J78" s="6" t="n">
        <f aca="false">MATCH(C78,Assumptions!$K$4:$K$6,0)</f>
        <v>3</v>
      </c>
      <c r="K78" s="6" t="n">
        <f aca="false">INDEX(Assumptions!$L$4:$L$6,J78)</f>
        <v>0.55</v>
      </c>
      <c r="L78" s="6" t="n">
        <f aca="false">IF(H78,ROUND(E78*K78,2),Assumptions!$B$11)</f>
        <v>136400</v>
      </c>
      <c r="M78" s="7" t="n">
        <f aca="false">ABS(F78-L78)</f>
        <v>0</v>
      </c>
      <c r="N78" s="6" t="n">
        <f aca="false">INT(E78/Assumptions!$B$12)</f>
        <v>2</v>
      </c>
    </row>
    <row r="79" customFormat="false" ht="15" hidden="false" customHeight="false" outlineLevel="0" collapsed="false">
      <c r="A79" s="2" t="s">
        <v>122</v>
      </c>
      <c r="B79" s="2" t="s">
        <v>47</v>
      </c>
      <c r="C79" s="2" t="s">
        <v>13</v>
      </c>
      <c r="D79" s="2" t="s">
        <v>16</v>
      </c>
      <c r="E79" s="5" t="n">
        <v>140000</v>
      </c>
      <c r="F79" s="5" t="n">
        <v>86800</v>
      </c>
      <c r="G79" s="5" t="n">
        <v>52080</v>
      </c>
      <c r="H79" s="5" t="n">
        <f aca="false">TRUE()</f>
        <v>1</v>
      </c>
      <c r="I79" s="6" t="n">
        <f aca="false">VLOOKUP(D79,Assumptions!$H$4:$I$5,2,FALSE())</f>
        <v>1.15</v>
      </c>
      <c r="J79" s="6" t="n">
        <f aca="false">MATCH(C79,Assumptions!$K$4:$K$6,0)</f>
        <v>1</v>
      </c>
      <c r="K79" s="6" t="n">
        <f aca="false">INDEX(Assumptions!$L$4:$L$6,J79)</f>
        <v>0.62</v>
      </c>
      <c r="L79" s="6" t="n">
        <f aca="false">IF(H79,ROUND(E79*K79,2),Assumptions!$B$11)</f>
        <v>86800</v>
      </c>
      <c r="M79" s="7" t="n">
        <f aca="false">ABS(F79-L79)</f>
        <v>0</v>
      </c>
      <c r="N79" s="6" t="n">
        <f aca="false">INT(E79/Assumptions!$B$12)</f>
        <v>1</v>
      </c>
    </row>
    <row r="80" customFormat="false" ht="15" hidden="false" customHeight="false" outlineLevel="0" collapsed="false">
      <c r="A80" s="2" t="s">
        <v>123</v>
      </c>
      <c r="B80" s="2" t="s">
        <v>47</v>
      </c>
      <c r="C80" s="2" t="s">
        <v>17</v>
      </c>
      <c r="D80" s="2" t="s">
        <v>12</v>
      </c>
      <c r="E80" s="5" t="n">
        <v>219000</v>
      </c>
      <c r="F80" s="5" t="n">
        <v>153300</v>
      </c>
      <c r="G80" s="5" t="n">
        <v>91980</v>
      </c>
      <c r="H80" s="5" t="n">
        <f aca="false">TRUE()</f>
        <v>1</v>
      </c>
      <c r="I80" s="6" t="n">
        <f aca="false">VLOOKUP(D80,Assumptions!$H$4:$I$5,2,FALSE())</f>
        <v>1</v>
      </c>
      <c r="J80" s="6" t="n">
        <f aca="false">MATCH(C80,Assumptions!$K$4:$K$6,0)</f>
        <v>2</v>
      </c>
      <c r="K80" s="6" t="n">
        <f aca="false">INDEX(Assumptions!$L$4:$L$6,J80)</f>
        <v>0.7</v>
      </c>
      <c r="L80" s="6" t="n">
        <f aca="false">IF(H80,ROUND(E80*K80,2),Assumptions!$B$11)</f>
        <v>153300</v>
      </c>
      <c r="M80" s="7" t="n">
        <f aca="false">ABS(F80-L80)</f>
        <v>0</v>
      </c>
      <c r="N80" s="6" t="n">
        <f aca="false">INT(E80/Assumptions!$B$12)</f>
        <v>2</v>
      </c>
    </row>
    <row r="81" customFormat="false" ht="15" hidden="false" customHeight="false" outlineLevel="0" collapsed="false">
      <c r="A81" s="2" t="s">
        <v>124</v>
      </c>
      <c r="B81" s="2" t="s">
        <v>47</v>
      </c>
      <c r="C81" s="2" t="s">
        <v>20</v>
      </c>
      <c r="D81" s="2" t="s">
        <v>12</v>
      </c>
      <c r="E81" s="5" t="n">
        <v>151000</v>
      </c>
      <c r="F81" s="5" t="n">
        <v>83050</v>
      </c>
      <c r="G81" s="5" t="n">
        <v>49830</v>
      </c>
      <c r="H81" s="5" t="n">
        <f aca="false">TRUE()</f>
        <v>1</v>
      </c>
      <c r="I81" s="6" t="n">
        <f aca="false">VLOOKUP(D81,Assumptions!$H$4:$I$5,2,FALSE())</f>
        <v>1</v>
      </c>
      <c r="J81" s="6" t="n">
        <f aca="false">MATCH(C81,Assumptions!$K$4:$K$6,0)</f>
        <v>3</v>
      </c>
      <c r="K81" s="6" t="n">
        <f aca="false">INDEX(Assumptions!$L$4:$L$6,J81)</f>
        <v>0.55</v>
      </c>
      <c r="L81" s="6" t="n">
        <f aca="false">IF(H81,ROUND(E81*K81,2),Assumptions!$B$11)</f>
        <v>83050</v>
      </c>
      <c r="M81" s="7" t="n">
        <f aca="false">ABS(F81-L81)</f>
        <v>0</v>
      </c>
      <c r="N81" s="6" t="n">
        <f aca="false">INT(E81/Assumptions!$B$12)</f>
        <v>1</v>
      </c>
    </row>
    <row r="82" customFormat="false" ht="15" hidden="false" customHeight="false" outlineLevel="0" collapsed="false">
      <c r="A82" s="2" t="s">
        <v>125</v>
      </c>
      <c r="B82" s="2" t="s">
        <v>47</v>
      </c>
      <c r="C82" s="2" t="s">
        <v>13</v>
      </c>
      <c r="D82" s="2" t="s">
        <v>12</v>
      </c>
      <c r="E82" s="5" t="n">
        <v>294000</v>
      </c>
      <c r="F82" s="5" t="n">
        <v>182280</v>
      </c>
      <c r="G82" s="5" t="n">
        <v>109368</v>
      </c>
      <c r="H82" s="5" t="n">
        <f aca="false">TRUE()</f>
        <v>1</v>
      </c>
      <c r="I82" s="6" t="n">
        <f aca="false">VLOOKUP(D82,Assumptions!$H$4:$I$5,2,FALSE())</f>
        <v>1</v>
      </c>
      <c r="J82" s="6" t="n">
        <f aca="false">MATCH(C82,Assumptions!$K$4:$K$6,0)</f>
        <v>1</v>
      </c>
      <c r="K82" s="6" t="n">
        <f aca="false">INDEX(Assumptions!$L$4:$L$6,J82)</f>
        <v>0.62</v>
      </c>
      <c r="L82" s="6" t="n">
        <f aca="false">IF(H82,ROUND(E82*K82,2),Assumptions!$B$11)</f>
        <v>182280</v>
      </c>
      <c r="M82" s="7" t="n">
        <f aca="false">ABS(F82-L82)</f>
        <v>0</v>
      </c>
      <c r="N82" s="6" t="n">
        <f aca="false">INT(E82/Assumptions!$B$12)</f>
        <v>2</v>
      </c>
    </row>
    <row r="83" customFormat="false" ht="15" hidden="false" customHeight="false" outlineLevel="0" collapsed="false">
      <c r="A83" s="2" t="s">
        <v>126</v>
      </c>
      <c r="B83" s="2" t="s">
        <v>47</v>
      </c>
      <c r="C83" s="2" t="s">
        <v>17</v>
      </c>
      <c r="D83" s="2" t="s">
        <v>16</v>
      </c>
      <c r="E83" s="5" t="n">
        <v>242000</v>
      </c>
      <c r="F83" s="5" t="n">
        <v>169400</v>
      </c>
      <c r="G83" s="5" t="n">
        <v>101640</v>
      </c>
      <c r="H83" s="5" t="n">
        <f aca="false">TRUE()</f>
        <v>1</v>
      </c>
      <c r="I83" s="6" t="n">
        <f aca="false">VLOOKUP(D83,Assumptions!$H$4:$I$5,2,FALSE())</f>
        <v>1.15</v>
      </c>
      <c r="J83" s="6" t="n">
        <f aca="false">MATCH(C83,Assumptions!$K$4:$K$6,0)</f>
        <v>2</v>
      </c>
      <c r="K83" s="6" t="n">
        <f aca="false">INDEX(Assumptions!$L$4:$L$6,J83)</f>
        <v>0.7</v>
      </c>
      <c r="L83" s="6" t="n">
        <f aca="false">IF(H83,ROUND(E83*K83,2),Assumptions!$B$11)</f>
        <v>169400</v>
      </c>
      <c r="M83" s="7" t="n">
        <f aca="false">ABS(F83-L83)</f>
        <v>0</v>
      </c>
      <c r="N83" s="6" t="n">
        <f aca="false">INT(E83/Assumptions!$B$12)</f>
        <v>2</v>
      </c>
    </row>
    <row r="84" customFormat="false" ht="15" hidden="false" customHeight="false" outlineLevel="0" collapsed="false">
      <c r="A84" s="2" t="s">
        <v>127</v>
      </c>
      <c r="B84" s="2" t="s">
        <v>47</v>
      </c>
      <c r="C84" s="2" t="s">
        <v>20</v>
      </c>
      <c r="D84" s="2" t="s">
        <v>12</v>
      </c>
      <c r="E84" s="5" t="n">
        <v>332000</v>
      </c>
      <c r="F84" s="5" t="n">
        <v>182600</v>
      </c>
      <c r="G84" s="5" t="n">
        <v>109560</v>
      </c>
      <c r="H84" s="5" t="n">
        <f aca="false">TRUE()</f>
        <v>1</v>
      </c>
      <c r="I84" s="6" t="n">
        <f aca="false">VLOOKUP(D84,Assumptions!$H$4:$I$5,2,FALSE())</f>
        <v>1</v>
      </c>
      <c r="J84" s="6" t="n">
        <f aca="false">MATCH(C84,Assumptions!$K$4:$K$6,0)</f>
        <v>3</v>
      </c>
      <c r="K84" s="6" t="n">
        <f aca="false">INDEX(Assumptions!$L$4:$L$6,J84)</f>
        <v>0.55</v>
      </c>
      <c r="L84" s="6" t="n">
        <f aca="false">IF(H84,ROUND(E84*K84,2),Assumptions!$B$11)</f>
        <v>182600</v>
      </c>
      <c r="M84" s="7" t="n">
        <f aca="false">ABS(F84-L84)</f>
        <v>0</v>
      </c>
      <c r="N84" s="6" t="n">
        <f aca="false">INT(E84/Assumptions!$B$12)</f>
        <v>3</v>
      </c>
    </row>
    <row r="85" customFormat="false" ht="15" hidden="false" customHeight="false" outlineLevel="0" collapsed="false">
      <c r="A85" s="2" t="s">
        <v>128</v>
      </c>
      <c r="B85" s="2" t="s">
        <v>47</v>
      </c>
      <c r="C85" s="2" t="s">
        <v>13</v>
      </c>
      <c r="D85" s="2" t="s">
        <v>12</v>
      </c>
      <c r="E85" s="5" t="n">
        <v>425000</v>
      </c>
      <c r="F85" s="5" t="n">
        <v>263500</v>
      </c>
      <c r="G85" s="5" t="n">
        <v>158100</v>
      </c>
      <c r="H85" s="5" t="n">
        <f aca="false">TRUE()</f>
        <v>1</v>
      </c>
      <c r="I85" s="6" t="n">
        <f aca="false">VLOOKUP(D85,Assumptions!$H$4:$I$5,2,FALSE())</f>
        <v>1</v>
      </c>
      <c r="J85" s="6" t="n">
        <f aca="false">MATCH(C85,Assumptions!$K$4:$K$6,0)</f>
        <v>1</v>
      </c>
      <c r="K85" s="6" t="n">
        <f aca="false">INDEX(Assumptions!$L$4:$L$6,J85)</f>
        <v>0.62</v>
      </c>
      <c r="L85" s="6" t="n">
        <f aca="false">IF(H85,ROUND(E85*K85,2),Assumptions!$B$11)</f>
        <v>263500</v>
      </c>
      <c r="M85" s="7" t="n">
        <f aca="false">ABS(F85-L85)</f>
        <v>0</v>
      </c>
      <c r="N85" s="6" t="n">
        <f aca="false">INT(E85/Assumptions!$B$12)</f>
        <v>4</v>
      </c>
    </row>
    <row r="86" customFormat="false" ht="15" hidden="false" customHeight="false" outlineLevel="0" collapsed="false">
      <c r="A86" s="2" t="s">
        <v>129</v>
      </c>
      <c r="B86" s="2" t="s">
        <v>47</v>
      </c>
      <c r="C86" s="2" t="s">
        <v>17</v>
      </c>
      <c r="D86" s="2" t="s">
        <v>12</v>
      </c>
      <c r="E86" s="5" t="n">
        <v>286000</v>
      </c>
      <c r="F86" s="5" t="n">
        <v>200200</v>
      </c>
      <c r="G86" s="5" t="n">
        <v>120120</v>
      </c>
      <c r="H86" s="5" t="n">
        <f aca="false">TRUE()</f>
        <v>1</v>
      </c>
      <c r="I86" s="6" t="n">
        <f aca="false">VLOOKUP(D86,Assumptions!$H$4:$I$5,2,FALSE())</f>
        <v>1</v>
      </c>
      <c r="J86" s="6" t="n">
        <f aca="false">MATCH(C86,Assumptions!$K$4:$K$6,0)</f>
        <v>2</v>
      </c>
      <c r="K86" s="6" t="n">
        <f aca="false">INDEX(Assumptions!$L$4:$L$6,J86)</f>
        <v>0.7</v>
      </c>
      <c r="L86" s="6" t="n">
        <f aca="false">IF(H86,ROUND(E86*K86,2),Assumptions!$B$11)</f>
        <v>200200</v>
      </c>
      <c r="M86" s="7" t="n">
        <f aca="false">ABS(F86-L86)</f>
        <v>0</v>
      </c>
      <c r="N86" s="6" t="n">
        <f aca="false">INT(E86/Assumptions!$B$12)</f>
        <v>2</v>
      </c>
    </row>
    <row r="87" customFormat="false" ht="15" hidden="false" customHeight="false" outlineLevel="0" collapsed="false">
      <c r="A87" s="2" t="s">
        <v>130</v>
      </c>
      <c r="B87" s="2" t="s">
        <v>47</v>
      </c>
      <c r="C87" s="2" t="s">
        <v>20</v>
      </c>
      <c r="D87" s="2" t="s">
        <v>16</v>
      </c>
      <c r="E87" s="5" t="n">
        <v>183000</v>
      </c>
      <c r="F87" s="5" t="n">
        <v>100650</v>
      </c>
      <c r="G87" s="5" t="n">
        <v>60390</v>
      </c>
      <c r="H87" s="5" t="n">
        <f aca="false">TRUE()</f>
        <v>1</v>
      </c>
      <c r="I87" s="6" t="n">
        <f aca="false">VLOOKUP(D87,Assumptions!$H$4:$I$5,2,FALSE())</f>
        <v>1.15</v>
      </c>
      <c r="J87" s="6" t="n">
        <f aca="false">MATCH(C87,Assumptions!$K$4:$K$6,0)</f>
        <v>3</v>
      </c>
      <c r="K87" s="6" t="n">
        <f aca="false">INDEX(Assumptions!$L$4:$L$6,J87)</f>
        <v>0.55</v>
      </c>
      <c r="L87" s="6" t="n">
        <f aca="false">IF(H87,ROUND(E87*K87,2),Assumptions!$B$11)</f>
        <v>100650</v>
      </c>
      <c r="M87" s="7" t="n">
        <f aca="false">ABS(F87-L87)</f>
        <v>0</v>
      </c>
      <c r="N87" s="6" t="n">
        <f aca="false">INT(E87/Assumptions!$B$12)</f>
        <v>1</v>
      </c>
    </row>
    <row r="88" customFormat="false" ht="15" hidden="false" customHeight="false" outlineLevel="0" collapsed="false">
      <c r="A88" s="2" t="s">
        <v>131</v>
      </c>
      <c r="B88" s="2" t="s">
        <v>47</v>
      </c>
      <c r="C88" s="2" t="s">
        <v>13</v>
      </c>
      <c r="D88" s="2" t="s">
        <v>12</v>
      </c>
      <c r="E88" s="5" t="n">
        <v>289000</v>
      </c>
      <c r="F88" s="5" t="n">
        <v>179180</v>
      </c>
      <c r="G88" s="5" t="n">
        <v>107508</v>
      </c>
      <c r="H88" s="5" t="n">
        <f aca="false">FALSE()</f>
        <v>0</v>
      </c>
      <c r="I88" s="6" t="n">
        <f aca="false">VLOOKUP(D88,Assumptions!$H$4:$I$5,2,FALSE())</f>
        <v>1</v>
      </c>
      <c r="J88" s="6" t="n">
        <f aca="false">MATCH(C88,Assumptions!$K$4:$K$6,0)</f>
        <v>1</v>
      </c>
      <c r="K88" s="6" t="n">
        <f aca="false">INDEX(Assumptions!$L$4:$L$6,J88)</f>
        <v>0.62</v>
      </c>
      <c r="L88" s="6" t="n">
        <f aca="false">IF(H88,ROUND(E88*K88,2),Assumptions!$B$11)</f>
        <v>0</v>
      </c>
      <c r="M88" s="7" t="n">
        <f aca="false">ABS(F88-L88)</f>
        <v>179180</v>
      </c>
      <c r="N88" s="6" t="n">
        <f aca="false">INT(E88/Assumptions!$B$12)</f>
        <v>2</v>
      </c>
    </row>
    <row r="89" customFormat="false" ht="15" hidden="false" customHeight="false" outlineLevel="0" collapsed="false">
      <c r="A89" s="2" t="s">
        <v>132</v>
      </c>
      <c r="B89" s="2" t="s">
        <v>47</v>
      </c>
      <c r="C89" s="2" t="s">
        <v>17</v>
      </c>
      <c r="D89" s="2" t="s">
        <v>12</v>
      </c>
      <c r="E89" s="5" t="n">
        <v>281000</v>
      </c>
      <c r="F89" s="5" t="n">
        <v>196700</v>
      </c>
      <c r="G89" s="5" t="n">
        <v>118020</v>
      </c>
      <c r="H89" s="5" t="n">
        <f aca="false">TRUE()</f>
        <v>1</v>
      </c>
      <c r="I89" s="6" t="n">
        <f aca="false">VLOOKUP(D89,Assumptions!$H$4:$I$5,2,FALSE())</f>
        <v>1</v>
      </c>
      <c r="J89" s="6" t="n">
        <f aca="false">MATCH(C89,Assumptions!$K$4:$K$6,0)</f>
        <v>2</v>
      </c>
      <c r="K89" s="6" t="n">
        <f aca="false">INDEX(Assumptions!$L$4:$L$6,J89)</f>
        <v>0.7</v>
      </c>
      <c r="L89" s="6" t="n">
        <f aca="false">IF(H89,ROUND(E89*K89,2),Assumptions!$B$11)</f>
        <v>196700</v>
      </c>
      <c r="M89" s="7" t="n">
        <f aca="false">ABS(F89-L89)</f>
        <v>0</v>
      </c>
      <c r="N89" s="6" t="n">
        <f aca="false">INT(E89/Assumptions!$B$12)</f>
        <v>2</v>
      </c>
    </row>
    <row r="90" customFormat="false" ht="15" hidden="false" customHeight="false" outlineLevel="0" collapsed="false">
      <c r="A90" s="2" t="s">
        <v>133</v>
      </c>
      <c r="B90" s="2" t="s">
        <v>47</v>
      </c>
      <c r="C90" s="2" t="s">
        <v>20</v>
      </c>
      <c r="D90" s="2" t="s">
        <v>12</v>
      </c>
      <c r="E90" s="5" t="n">
        <v>207000</v>
      </c>
      <c r="F90" s="5" t="n">
        <v>113850</v>
      </c>
      <c r="G90" s="5" t="n">
        <v>68310</v>
      </c>
      <c r="H90" s="5" t="n">
        <f aca="false">TRUE()</f>
        <v>1</v>
      </c>
      <c r="I90" s="6" t="n">
        <f aca="false">VLOOKUP(D90,Assumptions!$H$4:$I$5,2,FALSE())</f>
        <v>1</v>
      </c>
      <c r="J90" s="6" t="n">
        <f aca="false">MATCH(C90,Assumptions!$K$4:$K$6,0)</f>
        <v>3</v>
      </c>
      <c r="K90" s="6" t="n">
        <f aca="false">INDEX(Assumptions!$L$4:$L$6,J90)</f>
        <v>0.55</v>
      </c>
      <c r="L90" s="6" t="n">
        <f aca="false">IF(H90,ROUND(E90*K90,2),Assumptions!$B$11)</f>
        <v>113850</v>
      </c>
      <c r="M90" s="7" t="n">
        <f aca="false">ABS(F90-L90)</f>
        <v>0</v>
      </c>
      <c r="N90" s="6" t="n">
        <f aca="false">INT(E90/Assumptions!$B$12)</f>
        <v>2</v>
      </c>
    </row>
    <row r="91" customFormat="false" ht="15" hidden="false" customHeight="false" outlineLevel="0" collapsed="false">
      <c r="A91" s="2" t="s">
        <v>134</v>
      </c>
      <c r="B91" s="2" t="s">
        <v>47</v>
      </c>
      <c r="C91" s="2" t="s">
        <v>13</v>
      </c>
      <c r="D91" s="2" t="s">
        <v>16</v>
      </c>
      <c r="E91" s="5" t="n">
        <v>443000</v>
      </c>
      <c r="F91" s="5" t="n">
        <v>274660</v>
      </c>
      <c r="G91" s="5" t="n">
        <v>164796</v>
      </c>
      <c r="H91" s="5" t="n">
        <f aca="false">TRUE()</f>
        <v>1</v>
      </c>
      <c r="I91" s="6" t="n">
        <f aca="false">VLOOKUP(D91,Assumptions!$H$4:$I$5,2,FALSE())</f>
        <v>1.15</v>
      </c>
      <c r="J91" s="6" t="n">
        <f aca="false">MATCH(C91,Assumptions!$K$4:$K$6,0)</f>
        <v>1</v>
      </c>
      <c r="K91" s="6" t="n">
        <f aca="false">INDEX(Assumptions!$L$4:$L$6,J91)</f>
        <v>0.62</v>
      </c>
      <c r="L91" s="6" t="n">
        <f aca="false">IF(H91,ROUND(E91*K91,2),Assumptions!$B$11)</f>
        <v>274660</v>
      </c>
      <c r="M91" s="7" t="n">
        <f aca="false">ABS(F91-L91)</f>
        <v>0</v>
      </c>
      <c r="N91" s="6" t="n">
        <f aca="false">INT(E91/Assumptions!$B$12)</f>
        <v>4</v>
      </c>
    </row>
    <row r="92" customFormat="false" ht="15" hidden="false" customHeight="false" outlineLevel="0" collapsed="false">
      <c r="A92" s="2" t="s">
        <v>135</v>
      </c>
      <c r="B92" s="2" t="s">
        <v>47</v>
      </c>
      <c r="C92" s="2" t="s">
        <v>17</v>
      </c>
      <c r="D92" s="2" t="s">
        <v>12</v>
      </c>
      <c r="E92" s="5" t="n">
        <v>236000</v>
      </c>
      <c r="F92" s="5" t="n">
        <v>165200</v>
      </c>
      <c r="G92" s="5" t="n">
        <v>99120</v>
      </c>
      <c r="H92" s="5" t="n">
        <f aca="false">TRUE()</f>
        <v>1</v>
      </c>
      <c r="I92" s="6" t="n">
        <f aca="false">VLOOKUP(D92,Assumptions!$H$4:$I$5,2,FALSE())</f>
        <v>1</v>
      </c>
      <c r="J92" s="6" t="n">
        <f aca="false">MATCH(C92,Assumptions!$K$4:$K$6,0)</f>
        <v>2</v>
      </c>
      <c r="K92" s="6" t="n">
        <f aca="false">INDEX(Assumptions!$L$4:$L$6,J92)</f>
        <v>0.7</v>
      </c>
      <c r="L92" s="6" t="n">
        <f aca="false">IF(H92,ROUND(E92*K92,2),Assumptions!$B$11)</f>
        <v>165200</v>
      </c>
      <c r="M92" s="7" t="n">
        <f aca="false">ABS(F92-L92)</f>
        <v>0</v>
      </c>
      <c r="N92" s="6" t="n">
        <f aca="false">INT(E92/Assumptions!$B$12)</f>
        <v>2</v>
      </c>
    </row>
    <row r="93" customFormat="false" ht="15" hidden="false" customHeight="false" outlineLevel="0" collapsed="false">
      <c r="A93" s="2" t="s">
        <v>136</v>
      </c>
      <c r="B93" s="2" t="s">
        <v>47</v>
      </c>
      <c r="C93" s="2" t="s">
        <v>20</v>
      </c>
      <c r="D93" s="2" t="s">
        <v>12</v>
      </c>
      <c r="E93" s="5" t="n">
        <v>459000</v>
      </c>
      <c r="F93" s="5" t="n">
        <v>252450</v>
      </c>
      <c r="G93" s="5" t="n">
        <v>151470</v>
      </c>
      <c r="H93" s="5" t="n">
        <f aca="false">TRUE()</f>
        <v>1</v>
      </c>
      <c r="I93" s="6" t="n">
        <f aca="false">VLOOKUP(D93,Assumptions!$H$4:$I$5,2,FALSE())</f>
        <v>1</v>
      </c>
      <c r="J93" s="6" t="n">
        <f aca="false">MATCH(C93,Assumptions!$K$4:$K$6,0)</f>
        <v>3</v>
      </c>
      <c r="K93" s="6" t="n">
        <f aca="false">INDEX(Assumptions!$L$4:$L$6,J93)</f>
        <v>0.55</v>
      </c>
      <c r="L93" s="6" t="n">
        <f aca="false">IF(H93,ROUND(E93*K93,2),Assumptions!$B$11)</f>
        <v>252450</v>
      </c>
      <c r="M93" s="7" t="n">
        <f aca="false">ABS(F93-L93)</f>
        <v>0</v>
      </c>
      <c r="N93" s="6" t="n">
        <f aca="false">INT(E93/Assumptions!$B$12)</f>
        <v>4</v>
      </c>
    </row>
    <row r="94" customFormat="false" ht="15" hidden="false" customHeight="false" outlineLevel="0" collapsed="false">
      <c r="A94" s="2" t="s">
        <v>137</v>
      </c>
      <c r="B94" s="2" t="s">
        <v>47</v>
      </c>
      <c r="C94" s="2" t="s">
        <v>13</v>
      </c>
      <c r="D94" s="2" t="s">
        <v>12</v>
      </c>
      <c r="E94" s="5" t="n">
        <v>449000</v>
      </c>
      <c r="F94" s="5" t="n">
        <v>278380</v>
      </c>
      <c r="G94" s="5" t="n">
        <v>167028</v>
      </c>
      <c r="H94" s="5" t="n">
        <f aca="false">TRUE()</f>
        <v>1</v>
      </c>
      <c r="I94" s="6" t="n">
        <f aca="false">VLOOKUP(D94,Assumptions!$H$4:$I$5,2,FALSE())</f>
        <v>1</v>
      </c>
      <c r="J94" s="6" t="n">
        <f aca="false">MATCH(C94,Assumptions!$K$4:$K$6,0)</f>
        <v>1</v>
      </c>
      <c r="K94" s="6" t="n">
        <f aca="false">INDEX(Assumptions!$L$4:$L$6,J94)</f>
        <v>0.62</v>
      </c>
      <c r="L94" s="6" t="n">
        <f aca="false">IF(H94,ROUND(E94*K94,2),Assumptions!$B$11)</f>
        <v>278380</v>
      </c>
      <c r="M94" s="7" t="n">
        <f aca="false">ABS(F94-L94)</f>
        <v>0</v>
      </c>
      <c r="N94" s="6" t="n">
        <f aca="false">INT(E94/Assumptions!$B$12)</f>
        <v>4</v>
      </c>
    </row>
    <row r="95" customFormat="false" ht="15" hidden="false" customHeight="false" outlineLevel="0" collapsed="false">
      <c r="A95" s="2" t="s">
        <v>138</v>
      </c>
      <c r="B95" s="2" t="s">
        <v>47</v>
      </c>
      <c r="C95" s="2" t="s">
        <v>17</v>
      </c>
      <c r="D95" s="2" t="s">
        <v>16</v>
      </c>
      <c r="E95" s="5" t="n">
        <v>431000</v>
      </c>
      <c r="F95" s="5" t="n">
        <v>301700</v>
      </c>
      <c r="G95" s="5" t="n">
        <v>181020</v>
      </c>
      <c r="H95" s="5" t="n">
        <f aca="false">TRUE()</f>
        <v>1</v>
      </c>
      <c r="I95" s="6" t="n">
        <f aca="false">VLOOKUP(D95,Assumptions!$H$4:$I$5,2,FALSE())</f>
        <v>1.15</v>
      </c>
      <c r="J95" s="6" t="n">
        <f aca="false">MATCH(C95,Assumptions!$K$4:$K$6,0)</f>
        <v>2</v>
      </c>
      <c r="K95" s="6" t="n">
        <f aca="false">INDEX(Assumptions!$L$4:$L$6,J95)</f>
        <v>0.7</v>
      </c>
      <c r="L95" s="6" t="n">
        <f aca="false">IF(H95,ROUND(E95*K95,2),Assumptions!$B$11)</f>
        <v>301700</v>
      </c>
      <c r="M95" s="7" t="n">
        <f aca="false">ABS(F95-L95)</f>
        <v>0</v>
      </c>
      <c r="N95" s="6" t="n">
        <f aca="false">INT(E95/Assumptions!$B$12)</f>
        <v>4</v>
      </c>
    </row>
    <row r="96" customFormat="false" ht="15" hidden="false" customHeight="false" outlineLevel="0" collapsed="false">
      <c r="A96" s="2" t="s">
        <v>139</v>
      </c>
      <c r="B96" s="2" t="s">
        <v>47</v>
      </c>
      <c r="C96" s="2" t="s">
        <v>20</v>
      </c>
      <c r="D96" s="2" t="s">
        <v>12</v>
      </c>
      <c r="E96" s="5" t="n">
        <v>136000</v>
      </c>
      <c r="F96" s="5" t="n">
        <v>74800</v>
      </c>
      <c r="G96" s="5" t="n">
        <v>44880</v>
      </c>
      <c r="H96" s="5" t="n">
        <f aca="false">TRUE()</f>
        <v>1</v>
      </c>
      <c r="I96" s="6" t="n">
        <f aca="false">VLOOKUP(D96,Assumptions!$H$4:$I$5,2,FALSE())</f>
        <v>1</v>
      </c>
      <c r="J96" s="6" t="n">
        <f aca="false">MATCH(C96,Assumptions!$K$4:$K$6,0)</f>
        <v>3</v>
      </c>
      <c r="K96" s="6" t="n">
        <f aca="false">INDEX(Assumptions!$L$4:$L$6,J96)</f>
        <v>0.55</v>
      </c>
      <c r="L96" s="6" t="n">
        <f aca="false">IF(H96,ROUND(E96*K96,2),Assumptions!$B$11)</f>
        <v>74800</v>
      </c>
      <c r="M96" s="7" t="n">
        <f aca="false">ABS(F96-L96)</f>
        <v>0</v>
      </c>
      <c r="N96" s="6" t="n">
        <f aca="false">INT(E96/Assumptions!$B$12)</f>
        <v>1</v>
      </c>
    </row>
    <row r="97" customFormat="false" ht="15" hidden="false" customHeight="false" outlineLevel="0" collapsed="false">
      <c r="A97" s="2" t="s">
        <v>140</v>
      </c>
      <c r="B97" s="2" t="s">
        <v>47</v>
      </c>
      <c r="C97" s="2" t="s">
        <v>13</v>
      </c>
      <c r="D97" s="2" t="s">
        <v>12</v>
      </c>
      <c r="E97" s="5" t="n">
        <v>411000</v>
      </c>
      <c r="F97" s="5" t="n">
        <v>254820</v>
      </c>
      <c r="G97" s="5" t="n">
        <v>152892</v>
      </c>
      <c r="H97" s="5" t="n">
        <f aca="false">TRUE()</f>
        <v>1</v>
      </c>
      <c r="I97" s="6" t="n">
        <f aca="false">VLOOKUP(D97,Assumptions!$H$4:$I$5,2,FALSE())</f>
        <v>1</v>
      </c>
      <c r="J97" s="6" t="n">
        <f aca="false">MATCH(C97,Assumptions!$K$4:$K$6,0)</f>
        <v>1</v>
      </c>
      <c r="K97" s="6" t="n">
        <f aca="false">INDEX(Assumptions!$L$4:$L$6,J97)</f>
        <v>0.62</v>
      </c>
      <c r="L97" s="6" t="n">
        <f aca="false">IF(H97,ROUND(E97*K97,2),Assumptions!$B$11)</f>
        <v>254820</v>
      </c>
      <c r="M97" s="7" t="n">
        <f aca="false">ABS(F97-L97)</f>
        <v>0</v>
      </c>
      <c r="N97" s="6" t="n">
        <f aca="false">INT(E97/Assumptions!$B$12)</f>
        <v>4</v>
      </c>
    </row>
    <row r="98" customFormat="false" ht="15" hidden="false" customHeight="false" outlineLevel="0" collapsed="false">
      <c r="A98" s="2" t="s">
        <v>141</v>
      </c>
      <c r="B98" s="2" t="s">
        <v>47</v>
      </c>
      <c r="C98" s="2" t="s">
        <v>17</v>
      </c>
      <c r="D98" s="2" t="s">
        <v>12</v>
      </c>
      <c r="E98" s="5" t="n">
        <v>425000</v>
      </c>
      <c r="F98" s="5" t="n">
        <v>297500</v>
      </c>
      <c r="G98" s="5" t="n">
        <v>178500</v>
      </c>
      <c r="H98" s="5" t="n">
        <f aca="false">TRUE()</f>
        <v>1</v>
      </c>
      <c r="I98" s="6" t="n">
        <f aca="false">VLOOKUP(D98,Assumptions!$H$4:$I$5,2,FALSE())</f>
        <v>1</v>
      </c>
      <c r="J98" s="6" t="n">
        <f aca="false">MATCH(C98,Assumptions!$K$4:$K$6,0)</f>
        <v>2</v>
      </c>
      <c r="K98" s="6" t="n">
        <f aca="false">INDEX(Assumptions!$L$4:$L$6,J98)</f>
        <v>0.7</v>
      </c>
      <c r="L98" s="6" t="n">
        <f aca="false">IF(H98,ROUND(E98*K98,2),Assumptions!$B$11)</f>
        <v>297500</v>
      </c>
      <c r="M98" s="7" t="n">
        <f aca="false">ABS(F98-L98)</f>
        <v>0</v>
      </c>
      <c r="N98" s="6" t="n">
        <f aca="false">INT(E98/Assumptions!$B$12)</f>
        <v>4</v>
      </c>
    </row>
    <row r="99" customFormat="false" ht="15" hidden="false" customHeight="false" outlineLevel="0" collapsed="false">
      <c r="A99" s="2" t="s">
        <v>142</v>
      </c>
      <c r="B99" s="2" t="s">
        <v>47</v>
      </c>
      <c r="C99" s="2" t="s">
        <v>20</v>
      </c>
      <c r="D99" s="2" t="s">
        <v>16</v>
      </c>
      <c r="E99" s="5" t="n">
        <v>187000</v>
      </c>
      <c r="F99" s="5" t="n">
        <v>102850</v>
      </c>
      <c r="G99" s="5" t="n">
        <v>61710</v>
      </c>
      <c r="H99" s="5" t="n">
        <f aca="false">TRUE()</f>
        <v>1</v>
      </c>
      <c r="I99" s="6" t="n">
        <f aca="false">VLOOKUP(D99,Assumptions!$H$4:$I$5,2,FALSE())</f>
        <v>1.15</v>
      </c>
      <c r="J99" s="6" t="n">
        <f aca="false">MATCH(C99,Assumptions!$K$4:$K$6,0)</f>
        <v>3</v>
      </c>
      <c r="K99" s="6" t="n">
        <f aca="false">INDEX(Assumptions!$L$4:$L$6,J99)</f>
        <v>0.55</v>
      </c>
      <c r="L99" s="6" t="n">
        <f aca="false">IF(H99,ROUND(E99*K99,2),Assumptions!$B$11)</f>
        <v>102850</v>
      </c>
      <c r="M99" s="7" t="n">
        <f aca="false">ABS(F99-L99)</f>
        <v>0</v>
      </c>
      <c r="N99" s="6" t="n">
        <f aca="false">INT(E99/Assumptions!$B$12)</f>
        <v>1</v>
      </c>
    </row>
    <row r="100" customFormat="false" ht="15" hidden="false" customHeight="false" outlineLevel="0" collapsed="false">
      <c r="A100" s="2" t="s">
        <v>143</v>
      </c>
      <c r="B100" s="2" t="s">
        <v>47</v>
      </c>
      <c r="C100" s="2" t="s">
        <v>13</v>
      </c>
      <c r="D100" s="2" t="s">
        <v>12</v>
      </c>
      <c r="E100" s="5" t="n">
        <v>373000</v>
      </c>
      <c r="F100" s="5" t="n">
        <v>231260</v>
      </c>
      <c r="G100" s="5" t="n">
        <v>138756</v>
      </c>
      <c r="H100" s="5" t="n">
        <f aca="false">TRUE()</f>
        <v>1</v>
      </c>
      <c r="I100" s="6" t="n">
        <f aca="false">VLOOKUP(D100,Assumptions!$H$4:$I$5,2,FALSE())</f>
        <v>1</v>
      </c>
      <c r="J100" s="6" t="n">
        <f aca="false">MATCH(C100,Assumptions!$K$4:$K$6,0)</f>
        <v>1</v>
      </c>
      <c r="K100" s="6" t="n">
        <f aca="false">INDEX(Assumptions!$L$4:$L$6,J100)</f>
        <v>0.62</v>
      </c>
      <c r="L100" s="6" t="n">
        <f aca="false">IF(H100,ROUND(E100*K100,2),Assumptions!$B$11)</f>
        <v>231260</v>
      </c>
      <c r="M100" s="7" t="n">
        <f aca="false">ABS(F100-L100)</f>
        <v>0</v>
      </c>
      <c r="N100" s="6" t="n">
        <f aca="false">INT(E100/Assumptions!$B$12)</f>
        <v>3</v>
      </c>
    </row>
    <row r="101" customFormat="false" ht="15" hidden="false" customHeight="false" outlineLevel="0" collapsed="false">
      <c r="A101" s="2" t="s">
        <v>144</v>
      </c>
      <c r="B101" s="2" t="s">
        <v>47</v>
      </c>
      <c r="C101" s="2" t="s">
        <v>17</v>
      </c>
      <c r="D101" s="2" t="s">
        <v>12</v>
      </c>
      <c r="E101" s="5" t="n">
        <v>473000</v>
      </c>
      <c r="F101" s="5" t="n">
        <v>331100</v>
      </c>
      <c r="G101" s="5" t="n">
        <v>198660</v>
      </c>
      <c r="H101" s="5" t="n">
        <f aca="false">TRUE()</f>
        <v>1</v>
      </c>
      <c r="I101" s="6" t="n">
        <f aca="false">VLOOKUP(D101,Assumptions!$H$4:$I$5,2,FALSE())</f>
        <v>1</v>
      </c>
      <c r="J101" s="6" t="n">
        <f aca="false">MATCH(C101,Assumptions!$K$4:$K$6,0)</f>
        <v>2</v>
      </c>
      <c r="K101" s="6" t="n">
        <f aca="false">INDEX(Assumptions!$L$4:$L$6,J101)</f>
        <v>0.7</v>
      </c>
      <c r="L101" s="6" t="n">
        <f aca="false">IF(H101,ROUND(E101*K101,2),Assumptions!$B$11)</f>
        <v>331100</v>
      </c>
      <c r="M101" s="7" t="n">
        <f aca="false">ABS(F101-L101)</f>
        <v>0</v>
      </c>
      <c r="N101" s="6" t="n">
        <f aca="false">INT(E101/Assumptions!$B$12)</f>
        <v>4</v>
      </c>
    </row>
    <row r="102" customFormat="false" ht="15" hidden="false" customHeight="false" outlineLevel="0" collapsed="false">
      <c r="A102" s="2" t="s">
        <v>145</v>
      </c>
      <c r="B102" s="2" t="s">
        <v>47</v>
      </c>
      <c r="C102" s="2" t="s">
        <v>20</v>
      </c>
      <c r="D102" s="2" t="s">
        <v>12</v>
      </c>
      <c r="E102" s="5" t="n">
        <v>225000</v>
      </c>
      <c r="F102" s="5" t="n">
        <v>123750</v>
      </c>
      <c r="G102" s="5" t="n">
        <v>74250</v>
      </c>
      <c r="H102" s="5" t="n">
        <f aca="false">TRUE()</f>
        <v>1</v>
      </c>
      <c r="I102" s="6" t="n">
        <f aca="false">VLOOKUP(D102,Assumptions!$H$4:$I$5,2,FALSE())</f>
        <v>1</v>
      </c>
      <c r="J102" s="6" t="n">
        <f aca="false">MATCH(C102,Assumptions!$K$4:$K$6,0)</f>
        <v>3</v>
      </c>
      <c r="K102" s="6" t="n">
        <f aca="false">INDEX(Assumptions!$L$4:$L$6,J102)</f>
        <v>0.55</v>
      </c>
      <c r="L102" s="6" t="n">
        <f aca="false">IF(H102,ROUND(E102*K102,2),Assumptions!$B$11)</f>
        <v>123750</v>
      </c>
      <c r="M102" s="7" t="n">
        <f aca="false">ABS(F102-L102)</f>
        <v>0</v>
      </c>
      <c r="N102" s="6" t="n">
        <f aca="false">INT(E102/Assumptions!$B$12)</f>
        <v>2</v>
      </c>
    </row>
    <row r="103" customFormat="false" ht="15" hidden="false" customHeight="false" outlineLevel="0" collapsed="false">
      <c r="A103" s="2" t="s">
        <v>146</v>
      </c>
      <c r="B103" s="2" t="s">
        <v>47</v>
      </c>
      <c r="C103" s="2" t="s">
        <v>13</v>
      </c>
      <c r="D103" s="2" t="s">
        <v>16</v>
      </c>
      <c r="E103" s="5" t="n">
        <v>183000</v>
      </c>
      <c r="F103" s="5" t="n">
        <v>113460</v>
      </c>
      <c r="G103" s="5" t="n">
        <v>68076</v>
      </c>
      <c r="H103" s="5" t="n">
        <f aca="false">TRUE()</f>
        <v>1</v>
      </c>
      <c r="I103" s="6" t="n">
        <f aca="false">VLOOKUP(D103,Assumptions!$H$4:$I$5,2,FALSE())</f>
        <v>1.15</v>
      </c>
      <c r="J103" s="6" t="n">
        <f aca="false">MATCH(C103,Assumptions!$K$4:$K$6,0)</f>
        <v>1</v>
      </c>
      <c r="K103" s="6" t="n">
        <f aca="false">INDEX(Assumptions!$L$4:$L$6,J103)</f>
        <v>0.62</v>
      </c>
      <c r="L103" s="6" t="n">
        <f aca="false">IF(H103,ROUND(E103*K103,2),Assumptions!$B$11)</f>
        <v>113460</v>
      </c>
      <c r="M103" s="7" t="n">
        <f aca="false">ABS(F103-L103)</f>
        <v>0</v>
      </c>
      <c r="N103" s="6" t="n">
        <f aca="false">INT(E103/Assumptions!$B$12)</f>
        <v>1</v>
      </c>
    </row>
    <row r="104" customFormat="false" ht="15" hidden="false" customHeight="false" outlineLevel="0" collapsed="false">
      <c r="A104" s="2" t="s">
        <v>147</v>
      </c>
      <c r="B104" s="2" t="s">
        <v>47</v>
      </c>
      <c r="C104" s="2" t="s">
        <v>17</v>
      </c>
      <c r="D104" s="2" t="s">
        <v>12</v>
      </c>
      <c r="E104" s="5" t="n">
        <v>336000</v>
      </c>
      <c r="F104" s="5" t="n">
        <v>235200</v>
      </c>
      <c r="G104" s="5" t="n">
        <v>141120</v>
      </c>
      <c r="H104" s="5" t="n">
        <f aca="false">TRUE()</f>
        <v>1</v>
      </c>
      <c r="I104" s="6" t="n">
        <f aca="false">VLOOKUP(D104,Assumptions!$H$4:$I$5,2,FALSE())</f>
        <v>1</v>
      </c>
      <c r="J104" s="6" t="n">
        <f aca="false">MATCH(C104,Assumptions!$K$4:$K$6,0)</f>
        <v>2</v>
      </c>
      <c r="K104" s="6" t="n">
        <f aca="false">INDEX(Assumptions!$L$4:$L$6,J104)</f>
        <v>0.7</v>
      </c>
      <c r="L104" s="6" t="n">
        <f aca="false">IF(H104,ROUND(E104*K104,2),Assumptions!$B$11)</f>
        <v>235200</v>
      </c>
      <c r="M104" s="7" t="n">
        <f aca="false">ABS(F104-L104)</f>
        <v>0</v>
      </c>
      <c r="N104" s="6" t="n">
        <f aca="false">INT(E104/Assumptions!$B$12)</f>
        <v>3</v>
      </c>
    </row>
    <row r="105" customFormat="false" ht="15" hidden="false" customHeight="false" outlineLevel="0" collapsed="false">
      <c r="A105" s="2" t="s">
        <v>148</v>
      </c>
      <c r="B105" s="2" t="s">
        <v>47</v>
      </c>
      <c r="C105" s="2" t="s">
        <v>20</v>
      </c>
      <c r="D105" s="2" t="s">
        <v>12</v>
      </c>
      <c r="E105" s="5" t="n">
        <v>294000</v>
      </c>
      <c r="F105" s="5" t="n">
        <v>161700</v>
      </c>
      <c r="G105" s="5" t="n">
        <v>97020</v>
      </c>
      <c r="H105" s="5" t="n">
        <f aca="false">FALSE()</f>
        <v>0</v>
      </c>
      <c r="I105" s="6" t="n">
        <f aca="false">VLOOKUP(D105,Assumptions!$H$4:$I$5,2,FALSE())</f>
        <v>1</v>
      </c>
      <c r="J105" s="6" t="n">
        <f aca="false">MATCH(C105,Assumptions!$K$4:$K$6,0)</f>
        <v>3</v>
      </c>
      <c r="K105" s="6" t="n">
        <f aca="false">INDEX(Assumptions!$L$4:$L$6,J105)</f>
        <v>0.55</v>
      </c>
      <c r="L105" s="6" t="n">
        <f aca="false">IF(H105,ROUND(E105*K105,2),Assumptions!$B$11)</f>
        <v>0</v>
      </c>
      <c r="M105" s="7" t="n">
        <f aca="false">ABS(F105-L105)</f>
        <v>161700</v>
      </c>
      <c r="N105" s="6" t="n">
        <f aca="false">INT(E105/Assumptions!$B$12)</f>
        <v>2</v>
      </c>
    </row>
    <row r="106" customFormat="false" ht="15" hidden="false" customHeight="false" outlineLevel="0" collapsed="false">
      <c r="A106" s="2" t="s">
        <v>149</v>
      </c>
      <c r="B106" s="2" t="s">
        <v>47</v>
      </c>
      <c r="C106" s="2" t="s">
        <v>13</v>
      </c>
      <c r="D106" s="2" t="s">
        <v>12</v>
      </c>
      <c r="E106" s="5" t="n">
        <v>238000</v>
      </c>
      <c r="F106" s="5" t="n">
        <v>147560</v>
      </c>
      <c r="G106" s="5" t="n">
        <v>88536</v>
      </c>
      <c r="H106" s="5" t="n">
        <f aca="false">TRUE()</f>
        <v>1</v>
      </c>
      <c r="I106" s="6" t="n">
        <f aca="false">VLOOKUP(D106,Assumptions!$H$4:$I$5,2,FALSE())</f>
        <v>1</v>
      </c>
      <c r="J106" s="6" t="n">
        <f aca="false">MATCH(C106,Assumptions!$K$4:$K$6,0)</f>
        <v>1</v>
      </c>
      <c r="K106" s="6" t="n">
        <f aca="false">INDEX(Assumptions!$L$4:$L$6,J106)</f>
        <v>0.62</v>
      </c>
      <c r="L106" s="6" t="n">
        <f aca="false">IF(H106,ROUND(E106*K106,2),Assumptions!$B$11)</f>
        <v>147560</v>
      </c>
      <c r="M106" s="7" t="n">
        <f aca="false">ABS(F106-L106)</f>
        <v>0</v>
      </c>
      <c r="N106" s="6" t="n">
        <f aca="false">INT(E106/Assumptions!$B$12)</f>
        <v>2</v>
      </c>
    </row>
    <row r="107" customFormat="false" ht="15" hidden="false" customHeight="false" outlineLevel="0" collapsed="false">
      <c r="A107" s="2" t="s">
        <v>150</v>
      </c>
      <c r="B107" s="2" t="s">
        <v>47</v>
      </c>
      <c r="C107" s="2" t="s">
        <v>17</v>
      </c>
      <c r="D107" s="2" t="s">
        <v>16</v>
      </c>
      <c r="E107" s="5" t="n">
        <v>427000</v>
      </c>
      <c r="F107" s="5" t="n">
        <v>298900</v>
      </c>
      <c r="G107" s="5" t="n">
        <v>179340</v>
      </c>
      <c r="H107" s="5" t="n">
        <f aca="false">TRUE()</f>
        <v>1</v>
      </c>
      <c r="I107" s="6" t="n">
        <f aca="false">VLOOKUP(D107,Assumptions!$H$4:$I$5,2,FALSE())</f>
        <v>1.15</v>
      </c>
      <c r="J107" s="6" t="n">
        <f aca="false">MATCH(C107,Assumptions!$K$4:$K$6,0)</f>
        <v>2</v>
      </c>
      <c r="K107" s="6" t="n">
        <f aca="false">INDEX(Assumptions!$L$4:$L$6,J107)</f>
        <v>0.7</v>
      </c>
      <c r="L107" s="6" t="n">
        <f aca="false">IF(H107,ROUND(E107*K107,2),Assumptions!$B$11)</f>
        <v>298900</v>
      </c>
      <c r="M107" s="7" t="n">
        <f aca="false">ABS(F107-L107)</f>
        <v>0</v>
      </c>
      <c r="N107" s="6" t="n">
        <f aca="false">INT(E107/Assumptions!$B$12)</f>
        <v>4</v>
      </c>
    </row>
    <row r="108" customFormat="false" ht="15" hidden="false" customHeight="false" outlineLevel="0" collapsed="false">
      <c r="A108" s="2" t="s">
        <v>151</v>
      </c>
      <c r="B108" s="2" t="s">
        <v>47</v>
      </c>
      <c r="C108" s="2" t="s">
        <v>20</v>
      </c>
      <c r="D108" s="2" t="s">
        <v>12</v>
      </c>
      <c r="E108" s="5" t="n">
        <v>452000</v>
      </c>
      <c r="F108" s="5" t="n">
        <v>248600</v>
      </c>
      <c r="G108" s="5" t="n">
        <v>149160</v>
      </c>
      <c r="H108" s="5" t="n">
        <f aca="false">TRUE()</f>
        <v>1</v>
      </c>
      <c r="I108" s="6" t="n">
        <f aca="false">VLOOKUP(D108,Assumptions!$H$4:$I$5,2,FALSE())</f>
        <v>1</v>
      </c>
      <c r="J108" s="6" t="n">
        <f aca="false">MATCH(C108,Assumptions!$K$4:$K$6,0)</f>
        <v>3</v>
      </c>
      <c r="K108" s="6" t="n">
        <f aca="false">INDEX(Assumptions!$L$4:$L$6,J108)</f>
        <v>0.55</v>
      </c>
      <c r="L108" s="6" t="n">
        <f aca="false">IF(H108,ROUND(E108*K108,2),Assumptions!$B$11)</f>
        <v>248600</v>
      </c>
      <c r="M108" s="7" t="n">
        <f aca="false">ABS(F108-L108)</f>
        <v>0</v>
      </c>
      <c r="N108" s="6" t="n">
        <f aca="false">INT(E108/Assumptions!$B$12)</f>
        <v>4</v>
      </c>
    </row>
    <row r="109" customFormat="false" ht="15" hidden="false" customHeight="false" outlineLevel="0" collapsed="false">
      <c r="A109" s="2" t="s">
        <v>152</v>
      </c>
      <c r="B109" s="2" t="s">
        <v>47</v>
      </c>
      <c r="C109" s="2" t="s">
        <v>13</v>
      </c>
      <c r="D109" s="2" t="s">
        <v>12</v>
      </c>
      <c r="E109" s="5" t="n">
        <v>385000</v>
      </c>
      <c r="F109" s="5" t="n">
        <v>238700</v>
      </c>
      <c r="G109" s="5" t="n">
        <v>143220</v>
      </c>
      <c r="H109" s="5" t="n">
        <f aca="false">TRUE()</f>
        <v>1</v>
      </c>
      <c r="I109" s="6" t="n">
        <f aca="false">VLOOKUP(D109,Assumptions!$H$4:$I$5,2,FALSE())</f>
        <v>1</v>
      </c>
      <c r="J109" s="6" t="n">
        <f aca="false">MATCH(C109,Assumptions!$K$4:$K$6,0)</f>
        <v>1</v>
      </c>
      <c r="K109" s="6" t="n">
        <f aca="false">INDEX(Assumptions!$L$4:$L$6,J109)</f>
        <v>0.62</v>
      </c>
      <c r="L109" s="6" t="n">
        <f aca="false">IF(H109,ROUND(E109*K109,2),Assumptions!$B$11)</f>
        <v>238700</v>
      </c>
      <c r="M109" s="7" t="n">
        <f aca="false">ABS(F109-L109)</f>
        <v>0</v>
      </c>
      <c r="N109" s="6" t="n">
        <f aca="false">INT(E109/Assumptions!$B$12)</f>
        <v>3</v>
      </c>
    </row>
    <row r="110" customFormat="false" ht="15" hidden="false" customHeight="false" outlineLevel="0" collapsed="false">
      <c r="A110" s="2" t="s">
        <v>153</v>
      </c>
      <c r="B110" s="2" t="s">
        <v>47</v>
      </c>
      <c r="C110" s="2" t="s">
        <v>17</v>
      </c>
      <c r="D110" s="2" t="s">
        <v>12</v>
      </c>
      <c r="E110" s="5" t="n">
        <v>212000</v>
      </c>
      <c r="F110" s="5" t="n">
        <v>148400</v>
      </c>
      <c r="G110" s="5" t="n">
        <v>89040</v>
      </c>
      <c r="H110" s="5" t="n">
        <f aca="false">TRUE()</f>
        <v>1</v>
      </c>
      <c r="I110" s="6" t="n">
        <f aca="false">VLOOKUP(D110,Assumptions!$H$4:$I$5,2,FALSE())</f>
        <v>1</v>
      </c>
      <c r="J110" s="6" t="n">
        <f aca="false">MATCH(C110,Assumptions!$K$4:$K$6,0)</f>
        <v>2</v>
      </c>
      <c r="K110" s="6" t="n">
        <f aca="false">INDEX(Assumptions!$L$4:$L$6,J110)</f>
        <v>0.7</v>
      </c>
      <c r="L110" s="6" t="n">
        <f aca="false">IF(H110,ROUND(E110*K110,2),Assumptions!$B$11)</f>
        <v>148400</v>
      </c>
      <c r="M110" s="7" t="n">
        <f aca="false">ABS(F110-L110)</f>
        <v>0</v>
      </c>
      <c r="N110" s="6" t="n">
        <f aca="false">INT(E110/Assumptions!$B$12)</f>
        <v>2</v>
      </c>
    </row>
    <row r="111" customFormat="false" ht="15" hidden="false" customHeight="false" outlineLevel="0" collapsed="false">
      <c r="A111" s="2" t="s">
        <v>154</v>
      </c>
      <c r="B111" s="2" t="s">
        <v>47</v>
      </c>
      <c r="C111" s="2" t="s">
        <v>20</v>
      </c>
      <c r="D111" s="2" t="s">
        <v>16</v>
      </c>
      <c r="E111" s="5" t="n">
        <v>450000</v>
      </c>
      <c r="F111" s="5" t="n">
        <v>247500</v>
      </c>
      <c r="G111" s="5" t="n">
        <v>148500</v>
      </c>
      <c r="H111" s="5" t="n">
        <f aca="false">TRUE()</f>
        <v>1</v>
      </c>
      <c r="I111" s="6" t="n">
        <f aca="false">VLOOKUP(D111,Assumptions!$H$4:$I$5,2,FALSE())</f>
        <v>1.15</v>
      </c>
      <c r="J111" s="6" t="n">
        <f aca="false">MATCH(C111,Assumptions!$K$4:$K$6,0)</f>
        <v>3</v>
      </c>
      <c r="K111" s="6" t="n">
        <f aca="false">INDEX(Assumptions!$L$4:$L$6,J111)</f>
        <v>0.55</v>
      </c>
      <c r="L111" s="6" t="n">
        <f aca="false">IF(H111,ROUND(E111*K111,2),Assumptions!$B$11)</f>
        <v>247500</v>
      </c>
      <c r="M111" s="7" t="n">
        <f aca="false">ABS(F111-L111)</f>
        <v>0</v>
      </c>
      <c r="N111" s="6" t="n">
        <f aca="false">INT(E111/Assumptions!$B$12)</f>
        <v>4</v>
      </c>
    </row>
    <row r="112" customFormat="false" ht="15" hidden="false" customHeight="false" outlineLevel="0" collapsed="false">
      <c r="A112" s="2" t="s">
        <v>155</v>
      </c>
      <c r="B112" s="2" t="s">
        <v>47</v>
      </c>
      <c r="C112" s="2" t="s">
        <v>13</v>
      </c>
      <c r="D112" s="2" t="s">
        <v>12</v>
      </c>
      <c r="E112" s="5" t="n">
        <v>266000</v>
      </c>
      <c r="F112" s="5" t="n">
        <v>164920</v>
      </c>
      <c r="G112" s="5" t="n">
        <v>98952</v>
      </c>
      <c r="H112" s="5" t="n">
        <f aca="false">TRUE()</f>
        <v>1</v>
      </c>
      <c r="I112" s="6" t="n">
        <f aca="false">VLOOKUP(D112,Assumptions!$H$4:$I$5,2,FALSE())</f>
        <v>1</v>
      </c>
      <c r="J112" s="6" t="n">
        <f aca="false">MATCH(C112,Assumptions!$K$4:$K$6,0)</f>
        <v>1</v>
      </c>
      <c r="K112" s="6" t="n">
        <f aca="false">INDEX(Assumptions!$L$4:$L$6,J112)</f>
        <v>0.62</v>
      </c>
      <c r="L112" s="6" t="n">
        <f aca="false">IF(H112,ROUND(E112*K112,2),Assumptions!$B$11)</f>
        <v>164920</v>
      </c>
      <c r="M112" s="7" t="n">
        <f aca="false">ABS(F112-L112)</f>
        <v>0</v>
      </c>
      <c r="N112" s="6" t="n">
        <f aca="false">INT(E112/Assumptions!$B$12)</f>
        <v>2</v>
      </c>
    </row>
    <row r="113" customFormat="false" ht="15" hidden="false" customHeight="false" outlineLevel="0" collapsed="false">
      <c r="A113" s="2" t="s">
        <v>156</v>
      </c>
      <c r="B113" s="2" t="s">
        <v>47</v>
      </c>
      <c r="C113" s="2" t="s">
        <v>17</v>
      </c>
      <c r="D113" s="2" t="s">
        <v>12</v>
      </c>
      <c r="E113" s="5" t="n">
        <v>493000</v>
      </c>
      <c r="F113" s="5" t="n">
        <v>345100</v>
      </c>
      <c r="G113" s="5" t="n">
        <v>207060</v>
      </c>
      <c r="H113" s="5" t="n">
        <f aca="false">TRUE()</f>
        <v>1</v>
      </c>
      <c r="I113" s="6" t="n">
        <f aca="false">VLOOKUP(D113,Assumptions!$H$4:$I$5,2,FALSE())</f>
        <v>1</v>
      </c>
      <c r="J113" s="6" t="n">
        <f aca="false">MATCH(C113,Assumptions!$K$4:$K$6,0)</f>
        <v>2</v>
      </c>
      <c r="K113" s="6" t="n">
        <f aca="false">INDEX(Assumptions!$L$4:$L$6,J113)</f>
        <v>0.7</v>
      </c>
      <c r="L113" s="6" t="n">
        <f aca="false">IF(H113,ROUND(E113*K113,2),Assumptions!$B$11)</f>
        <v>345100</v>
      </c>
      <c r="M113" s="7" t="n">
        <f aca="false">ABS(F113-L113)</f>
        <v>0</v>
      </c>
      <c r="N113" s="6" t="n">
        <f aca="false">INT(E113/Assumptions!$B$12)</f>
        <v>4</v>
      </c>
    </row>
    <row r="114" customFormat="false" ht="15" hidden="false" customHeight="false" outlineLevel="0" collapsed="false">
      <c r="A114" s="2" t="s">
        <v>157</v>
      </c>
      <c r="B114" s="2" t="s">
        <v>47</v>
      </c>
      <c r="C114" s="2" t="s">
        <v>20</v>
      </c>
      <c r="D114" s="2" t="s">
        <v>12</v>
      </c>
      <c r="E114" s="5" t="n">
        <v>497000</v>
      </c>
      <c r="F114" s="5" t="n">
        <v>273350</v>
      </c>
      <c r="G114" s="5" t="n">
        <v>164010</v>
      </c>
      <c r="H114" s="5" t="n">
        <f aca="false">TRUE()</f>
        <v>1</v>
      </c>
      <c r="I114" s="6" t="n">
        <f aca="false">VLOOKUP(D114,Assumptions!$H$4:$I$5,2,FALSE())</f>
        <v>1</v>
      </c>
      <c r="J114" s="6" t="n">
        <f aca="false">MATCH(C114,Assumptions!$K$4:$K$6,0)</f>
        <v>3</v>
      </c>
      <c r="K114" s="6" t="n">
        <f aca="false">INDEX(Assumptions!$L$4:$L$6,J114)</f>
        <v>0.55</v>
      </c>
      <c r="L114" s="6" t="n">
        <f aca="false">IF(H114,ROUND(E114*K114,2),Assumptions!$B$11)</f>
        <v>273350</v>
      </c>
      <c r="M114" s="7" t="n">
        <f aca="false">ABS(F114-L114)</f>
        <v>0</v>
      </c>
      <c r="N114" s="6" t="n">
        <f aca="false">INT(E114/Assumptions!$B$12)</f>
        <v>4</v>
      </c>
    </row>
    <row r="115" customFormat="false" ht="15" hidden="false" customHeight="false" outlineLevel="0" collapsed="false">
      <c r="A115" s="2" t="s">
        <v>158</v>
      </c>
      <c r="B115" s="2" t="s">
        <v>47</v>
      </c>
      <c r="C115" s="2" t="s">
        <v>13</v>
      </c>
      <c r="D115" s="2" t="s">
        <v>16</v>
      </c>
      <c r="E115" s="5" t="n">
        <v>128000</v>
      </c>
      <c r="F115" s="5" t="n">
        <v>79360</v>
      </c>
      <c r="G115" s="5" t="n">
        <v>47616</v>
      </c>
      <c r="H115" s="5" t="n">
        <f aca="false">TRUE()</f>
        <v>1</v>
      </c>
      <c r="I115" s="6" t="n">
        <f aca="false">VLOOKUP(D115,Assumptions!$H$4:$I$5,2,FALSE())</f>
        <v>1.15</v>
      </c>
      <c r="J115" s="6" t="n">
        <f aca="false">MATCH(C115,Assumptions!$K$4:$K$6,0)</f>
        <v>1</v>
      </c>
      <c r="K115" s="6" t="n">
        <f aca="false">INDEX(Assumptions!$L$4:$L$6,J115)</f>
        <v>0.62</v>
      </c>
      <c r="L115" s="6" t="n">
        <f aca="false">IF(H115,ROUND(E115*K115,2),Assumptions!$B$11)</f>
        <v>79360</v>
      </c>
      <c r="M115" s="7" t="n">
        <f aca="false">ABS(F115-L115)</f>
        <v>0</v>
      </c>
      <c r="N115" s="6" t="n">
        <f aca="false">INT(E115/Assumptions!$B$12)</f>
        <v>1</v>
      </c>
    </row>
    <row r="116" customFormat="false" ht="15" hidden="false" customHeight="false" outlineLevel="0" collapsed="false">
      <c r="A116" s="2" t="s">
        <v>159</v>
      </c>
      <c r="B116" s="2" t="s">
        <v>47</v>
      </c>
      <c r="C116" s="2" t="s">
        <v>17</v>
      </c>
      <c r="D116" s="2" t="s">
        <v>12</v>
      </c>
      <c r="E116" s="5" t="n">
        <v>217000</v>
      </c>
      <c r="F116" s="5" t="n">
        <v>151900</v>
      </c>
      <c r="G116" s="5" t="n">
        <v>91140</v>
      </c>
      <c r="H116" s="5" t="n">
        <f aca="false">TRUE()</f>
        <v>1</v>
      </c>
      <c r="I116" s="6" t="n">
        <f aca="false">VLOOKUP(D116,Assumptions!$H$4:$I$5,2,FALSE())</f>
        <v>1</v>
      </c>
      <c r="J116" s="6" t="n">
        <f aca="false">MATCH(C116,Assumptions!$K$4:$K$6,0)</f>
        <v>2</v>
      </c>
      <c r="K116" s="6" t="n">
        <f aca="false">INDEX(Assumptions!$L$4:$L$6,J116)</f>
        <v>0.7</v>
      </c>
      <c r="L116" s="6" t="n">
        <f aca="false">IF(H116,ROUND(E116*K116,2),Assumptions!$B$11)</f>
        <v>151900</v>
      </c>
      <c r="M116" s="7" t="n">
        <f aca="false">ABS(F116-L116)</f>
        <v>0</v>
      </c>
      <c r="N116" s="6" t="n">
        <f aca="false">INT(E116/Assumptions!$B$12)</f>
        <v>2</v>
      </c>
    </row>
    <row r="117" customFormat="false" ht="15" hidden="false" customHeight="false" outlineLevel="0" collapsed="false">
      <c r="A117" s="2" t="s">
        <v>160</v>
      </c>
      <c r="B117" s="2" t="s">
        <v>47</v>
      </c>
      <c r="C117" s="2" t="s">
        <v>20</v>
      </c>
      <c r="D117" s="2" t="s">
        <v>12</v>
      </c>
      <c r="E117" s="5" t="n">
        <v>116000</v>
      </c>
      <c r="F117" s="5" t="n">
        <v>63800</v>
      </c>
      <c r="G117" s="5" t="n">
        <v>38280</v>
      </c>
      <c r="H117" s="5" t="n">
        <f aca="false">TRUE()</f>
        <v>1</v>
      </c>
      <c r="I117" s="6" t="n">
        <f aca="false">VLOOKUP(D117,Assumptions!$H$4:$I$5,2,FALSE())</f>
        <v>1</v>
      </c>
      <c r="J117" s="6" t="n">
        <f aca="false">MATCH(C117,Assumptions!$K$4:$K$6,0)</f>
        <v>3</v>
      </c>
      <c r="K117" s="6" t="n">
        <f aca="false">INDEX(Assumptions!$L$4:$L$6,J117)</f>
        <v>0.55</v>
      </c>
      <c r="L117" s="6" t="n">
        <f aca="false">IF(H117,ROUND(E117*K117,2),Assumptions!$B$11)</f>
        <v>63800</v>
      </c>
      <c r="M117" s="7" t="n">
        <f aca="false">ABS(F117-L117)</f>
        <v>0</v>
      </c>
      <c r="N117" s="6" t="n">
        <f aca="false">INT(E117/Assumptions!$B$12)</f>
        <v>1</v>
      </c>
    </row>
    <row r="118" customFormat="false" ht="15" hidden="false" customHeight="false" outlineLevel="0" collapsed="false">
      <c r="A118" s="2" t="s">
        <v>161</v>
      </c>
      <c r="B118" s="2" t="s">
        <v>47</v>
      </c>
      <c r="C118" s="2" t="s">
        <v>13</v>
      </c>
      <c r="D118" s="2" t="s">
        <v>12</v>
      </c>
      <c r="E118" s="5" t="n">
        <v>261000</v>
      </c>
      <c r="F118" s="5" t="n">
        <v>161820</v>
      </c>
      <c r="G118" s="5" t="n">
        <v>97092</v>
      </c>
      <c r="H118" s="5" t="n">
        <f aca="false">TRUE()</f>
        <v>1</v>
      </c>
      <c r="I118" s="6" t="n">
        <f aca="false">VLOOKUP(D118,Assumptions!$H$4:$I$5,2,FALSE())</f>
        <v>1</v>
      </c>
      <c r="J118" s="6" t="n">
        <f aca="false">MATCH(C118,Assumptions!$K$4:$K$6,0)</f>
        <v>1</v>
      </c>
      <c r="K118" s="6" t="n">
        <f aca="false">INDEX(Assumptions!$L$4:$L$6,J118)</f>
        <v>0.62</v>
      </c>
      <c r="L118" s="6" t="n">
        <f aca="false">IF(H118,ROUND(E118*K118,2),Assumptions!$B$11)</f>
        <v>161820</v>
      </c>
      <c r="M118" s="7" t="n">
        <f aca="false">ABS(F118-L118)</f>
        <v>0</v>
      </c>
      <c r="N118" s="6" t="n">
        <f aca="false">INT(E118/Assumptions!$B$12)</f>
        <v>2</v>
      </c>
    </row>
    <row r="119" customFormat="false" ht="15" hidden="false" customHeight="false" outlineLevel="0" collapsed="false">
      <c r="A119" s="2" t="s">
        <v>162</v>
      </c>
      <c r="B119" s="2" t="s">
        <v>47</v>
      </c>
      <c r="C119" s="2" t="s">
        <v>17</v>
      </c>
      <c r="D119" s="2" t="s">
        <v>16</v>
      </c>
      <c r="E119" s="5" t="n">
        <v>305000</v>
      </c>
      <c r="F119" s="5" t="n">
        <v>213500</v>
      </c>
      <c r="G119" s="5" t="n">
        <v>128100</v>
      </c>
      <c r="H119" s="5" t="n">
        <f aca="false">TRUE()</f>
        <v>1</v>
      </c>
      <c r="I119" s="6" t="n">
        <f aca="false">VLOOKUP(D119,Assumptions!$H$4:$I$5,2,FALSE())</f>
        <v>1.15</v>
      </c>
      <c r="J119" s="6" t="n">
        <f aca="false">MATCH(C119,Assumptions!$K$4:$K$6,0)</f>
        <v>2</v>
      </c>
      <c r="K119" s="6" t="n">
        <f aca="false">INDEX(Assumptions!$L$4:$L$6,J119)</f>
        <v>0.7</v>
      </c>
      <c r="L119" s="6" t="n">
        <f aca="false">IF(H119,ROUND(E119*K119,2),Assumptions!$B$11)</f>
        <v>213500</v>
      </c>
      <c r="M119" s="7" t="n">
        <f aca="false">ABS(F119-L119)</f>
        <v>0</v>
      </c>
      <c r="N119" s="6" t="n">
        <f aca="false">INT(E119/Assumptions!$B$12)</f>
        <v>3</v>
      </c>
    </row>
    <row r="120" customFormat="false" ht="15" hidden="false" customHeight="false" outlineLevel="0" collapsed="false">
      <c r="A120" s="2" t="s">
        <v>163</v>
      </c>
      <c r="B120" s="2" t="s">
        <v>47</v>
      </c>
      <c r="C120" s="2" t="s">
        <v>20</v>
      </c>
      <c r="D120" s="2" t="s">
        <v>12</v>
      </c>
      <c r="E120" s="5" t="n">
        <v>237000</v>
      </c>
      <c r="F120" s="5" t="n">
        <v>130350</v>
      </c>
      <c r="G120" s="5" t="n">
        <v>78210</v>
      </c>
      <c r="H120" s="5" t="n">
        <f aca="false">TRUE()</f>
        <v>1</v>
      </c>
      <c r="I120" s="6" t="n">
        <f aca="false">VLOOKUP(D120,Assumptions!$H$4:$I$5,2,FALSE())</f>
        <v>1</v>
      </c>
      <c r="J120" s="6" t="n">
        <f aca="false">MATCH(C120,Assumptions!$K$4:$K$6,0)</f>
        <v>3</v>
      </c>
      <c r="K120" s="6" t="n">
        <f aca="false">INDEX(Assumptions!$L$4:$L$6,J120)</f>
        <v>0.55</v>
      </c>
      <c r="L120" s="6" t="n">
        <f aca="false">IF(H120,ROUND(E120*K120,2),Assumptions!$B$11)</f>
        <v>130350</v>
      </c>
      <c r="M120" s="7" t="n">
        <f aca="false">ABS(F120-L120)</f>
        <v>0</v>
      </c>
      <c r="N120" s="6" t="n">
        <f aca="false">INT(E120/Assumptions!$B$12)</f>
        <v>2</v>
      </c>
    </row>
    <row r="121" customFormat="false" ht="15" hidden="false" customHeight="false" outlineLevel="0" collapsed="false">
      <c r="A121" s="2" t="s">
        <v>164</v>
      </c>
      <c r="B121" s="2" t="s">
        <v>47</v>
      </c>
      <c r="C121" s="2" t="s">
        <v>13</v>
      </c>
      <c r="D121" s="2" t="s">
        <v>12</v>
      </c>
      <c r="E121" s="5" t="n">
        <v>133000</v>
      </c>
      <c r="F121" s="5" t="n">
        <v>82460</v>
      </c>
      <c r="G121" s="5" t="n">
        <v>49476</v>
      </c>
      <c r="H121" s="5" t="n">
        <f aca="false">TRUE()</f>
        <v>1</v>
      </c>
      <c r="I121" s="6" t="n">
        <f aca="false">VLOOKUP(D121,Assumptions!$H$4:$I$5,2,FALSE())</f>
        <v>1</v>
      </c>
      <c r="J121" s="6" t="n">
        <f aca="false">MATCH(C121,Assumptions!$K$4:$K$6,0)</f>
        <v>1</v>
      </c>
      <c r="K121" s="6" t="n">
        <f aca="false">INDEX(Assumptions!$L$4:$L$6,J121)</f>
        <v>0.62</v>
      </c>
      <c r="L121" s="6" t="n">
        <f aca="false">IF(H121,ROUND(E121*K121,2),Assumptions!$B$11)</f>
        <v>82460</v>
      </c>
      <c r="M121" s="7" t="n">
        <f aca="false">ABS(F121-L121)</f>
        <v>0</v>
      </c>
      <c r="N121" s="6" t="n">
        <f aca="false">INT(E121/Assumptions!$B$12)</f>
        <v>1</v>
      </c>
    </row>
    <row r="122" customFormat="false" ht="15" hidden="false" customHeight="false" outlineLevel="0" collapsed="false">
      <c r="A122" s="2" t="s">
        <v>165</v>
      </c>
      <c r="B122" s="2" t="s">
        <v>47</v>
      </c>
      <c r="C122" s="2" t="s">
        <v>17</v>
      </c>
      <c r="D122" s="2" t="s">
        <v>12</v>
      </c>
      <c r="E122" s="5" t="n">
        <v>208000</v>
      </c>
      <c r="F122" s="5" t="n">
        <v>145600</v>
      </c>
      <c r="G122" s="5" t="n">
        <v>87360</v>
      </c>
      <c r="H122" s="5" t="n">
        <f aca="false">FALSE()</f>
        <v>0</v>
      </c>
      <c r="I122" s="6" t="n">
        <f aca="false">VLOOKUP(D122,Assumptions!$H$4:$I$5,2,FALSE())</f>
        <v>1</v>
      </c>
      <c r="J122" s="6" t="n">
        <f aca="false">MATCH(C122,Assumptions!$K$4:$K$6,0)</f>
        <v>2</v>
      </c>
      <c r="K122" s="6" t="n">
        <f aca="false">INDEX(Assumptions!$L$4:$L$6,J122)</f>
        <v>0.7</v>
      </c>
      <c r="L122" s="6" t="n">
        <f aca="false">IF(H122,ROUND(E122*K122,2),Assumptions!$B$11)</f>
        <v>0</v>
      </c>
      <c r="M122" s="7" t="n">
        <f aca="false">ABS(F122-L122)</f>
        <v>145600</v>
      </c>
      <c r="N122" s="6" t="n">
        <f aca="false">INT(E122/Assumptions!$B$12)</f>
        <v>2</v>
      </c>
    </row>
    <row r="123" customFormat="false" ht="15" hidden="false" customHeight="false" outlineLevel="0" collapsed="false">
      <c r="A123" s="2" t="s">
        <v>166</v>
      </c>
      <c r="B123" s="2" t="s">
        <v>47</v>
      </c>
      <c r="C123" s="2" t="s">
        <v>20</v>
      </c>
      <c r="D123" s="2" t="s">
        <v>16</v>
      </c>
      <c r="E123" s="5" t="n">
        <v>390000</v>
      </c>
      <c r="F123" s="5" t="n">
        <v>214500</v>
      </c>
      <c r="G123" s="5" t="n">
        <v>128700</v>
      </c>
      <c r="H123" s="5" t="n">
        <f aca="false">TRUE()</f>
        <v>1</v>
      </c>
      <c r="I123" s="6" t="n">
        <f aca="false">VLOOKUP(D123,Assumptions!$H$4:$I$5,2,FALSE())</f>
        <v>1.15</v>
      </c>
      <c r="J123" s="6" t="n">
        <f aca="false">MATCH(C123,Assumptions!$K$4:$K$6,0)</f>
        <v>3</v>
      </c>
      <c r="K123" s="6" t="n">
        <f aca="false">INDEX(Assumptions!$L$4:$L$6,J123)</f>
        <v>0.55</v>
      </c>
      <c r="L123" s="6" t="n">
        <f aca="false">IF(H123,ROUND(E123*K123,2),Assumptions!$B$11)</f>
        <v>214500</v>
      </c>
      <c r="M123" s="7" t="n">
        <f aca="false">ABS(F123-L123)</f>
        <v>0</v>
      </c>
      <c r="N123" s="6" t="n">
        <f aca="false">INT(E123/Assumptions!$B$12)</f>
        <v>3</v>
      </c>
    </row>
    <row r="124" customFormat="false" ht="15" hidden="false" customHeight="false" outlineLevel="0" collapsed="false">
      <c r="A124" s="2" t="s">
        <v>167</v>
      </c>
      <c r="B124" s="2" t="s">
        <v>47</v>
      </c>
      <c r="C124" s="2" t="s">
        <v>13</v>
      </c>
      <c r="D124" s="2" t="s">
        <v>12</v>
      </c>
      <c r="E124" s="5" t="n">
        <v>467000</v>
      </c>
      <c r="F124" s="5" t="n">
        <v>289540</v>
      </c>
      <c r="G124" s="5" t="n">
        <v>173724</v>
      </c>
      <c r="H124" s="5" t="n">
        <f aca="false">TRUE()</f>
        <v>1</v>
      </c>
      <c r="I124" s="6" t="n">
        <f aca="false">VLOOKUP(D124,Assumptions!$H$4:$I$5,2,FALSE())</f>
        <v>1</v>
      </c>
      <c r="J124" s="6" t="n">
        <f aca="false">MATCH(C124,Assumptions!$K$4:$K$6,0)</f>
        <v>1</v>
      </c>
      <c r="K124" s="6" t="n">
        <f aca="false">INDEX(Assumptions!$L$4:$L$6,J124)</f>
        <v>0.62</v>
      </c>
      <c r="L124" s="6" t="n">
        <f aca="false">IF(H124,ROUND(E124*K124,2),Assumptions!$B$11)</f>
        <v>289540</v>
      </c>
      <c r="M124" s="7" t="n">
        <f aca="false">ABS(F124-L124)</f>
        <v>0</v>
      </c>
      <c r="N124" s="6" t="n">
        <f aca="false">INT(E124/Assumptions!$B$12)</f>
        <v>4</v>
      </c>
    </row>
    <row r="125" customFormat="false" ht="15" hidden="false" customHeight="false" outlineLevel="0" collapsed="false">
      <c r="A125" s="2" t="s">
        <v>168</v>
      </c>
      <c r="B125" s="2" t="s">
        <v>47</v>
      </c>
      <c r="C125" s="2" t="s">
        <v>17</v>
      </c>
      <c r="D125" s="2" t="s">
        <v>12</v>
      </c>
      <c r="E125" s="5" t="n">
        <v>261000</v>
      </c>
      <c r="F125" s="5" t="n">
        <v>182700</v>
      </c>
      <c r="G125" s="5" t="n">
        <v>109620</v>
      </c>
      <c r="H125" s="5" t="n">
        <f aca="false">TRUE()</f>
        <v>1</v>
      </c>
      <c r="I125" s="6" t="n">
        <f aca="false">VLOOKUP(D125,Assumptions!$H$4:$I$5,2,FALSE())</f>
        <v>1</v>
      </c>
      <c r="J125" s="6" t="n">
        <f aca="false">MATCH(C125,Assumptions!$K$4:$K$6,0)</f>
        <v>2</v>
      </c>
      <c r="K125" s="6" t="n">
        <f aca="false">INDEX(Assumptions!$L$4:$L$6,J125)</f>
        <v>0.7</v>
      </c>
      <c r="L125" s="6" t="n">
        <f aca="false">IF(H125,ROUND(E125*K125,2),Assumptions!$B$11)</f>
        <v>182700</v>
      </c>
      <c r="M125" s="7" t="n">
        <f aca="false">ABS(F125-L125)</f>
        <v>0</v>
      </c>
      <c r="N125" s="6" t="n">
        <f aca="false">INT(E125/Assumptions!$B$12)</f>
        <v>2</v>
      </c>
    </row>
    <row r="126" customFormat="false" ht="15" hidden="false" customHeight="false" outlineLevel="0" collapsed="false">
      <c r="A126" s="2" t="s">
        <v>169</v>
      </c>
      <c r="B126" s="2" t="s">
        <v>47</v>
      </c>
      <c r="C126" s="2" t="s">
        <v>20</v>
      </c>
      <c r="D126" s="2" t="s">
        <v>12</v>
      </c>
      <c r="E126" s="5" t="n">
        <v>208000</v>
      </c>
      <c r="F126" s="5" t="n">
        <v>114400</v>
      </c>
      <c r="G126" s="5" t="n">
        <v>68640</v>
      </c>
      <c r="H126" s="5" t="n">
        <f aca="false">TRUE()</f>
        <v>1</v>
      </c>
      <c r="I126" s="6" t="n">
        <f aca="false">VLOOKUP(D126,Assumptions!$H$4:$I$5,2,FALSE())</f>
        <v>1</v>
      </c>
      <c r="J126" s="6" t="n">
        <f aca="false">MATCH(C126,Assumptions!$K$4:$K$6,0)</f>
        <v>3</v>
      </c>
      <c r="K126" s="6" t="n">
        <f aca="false">INDEX(Assumptions!$L$4:$L$6,J126)</f>
        <v>0.55</v>
      </c>
      <c r="L126" s="6" t="n">
        <f aca="false">IF(H126,ROUND(E126*K126,2),Assumptions!$B$11)</f>
        <v>114400</v>
      </c>
      <c r="M126" s="7" t="n">
        <f aca="false">ABS(F126-L126)</f>
        <v>0</v>
      </c>
      <c r="N126" s="6" t="n">
        <f aca="false">INT(E126/Assumptions!$B$12)</f>
        <v>2</v>
      </c>
    </row>
    <row r="127" customFormat="false" ht="15" hidden="false" customHeight="false" outlineLevel="0" collapsed="false">
      <c r="A127" s="2" t="s">
        <v>170</v>
      </c>
      <c r="B127" s="2" t="s">
        <v>47</v>
      </c>
      <c r="C127" s="2" t="s">
        <v>13</v>
      </c>
      <c r="D127" s="2" t="s">
        <v>16</v>
      </c>
      <c r="E127" s="5" t="n">
        <v>435000</v>
      </c>
      <c r="F127" s="5" t="n">
        <v>269700</v>
      </c>
      <c r="G127" s="5" t="n">
        <v>161820</v>
      </c>
      <c r="H127" s="5" t="n">
        <f aca="false">TRUE()</f>
        <v>1</v>
      </c>
      <c r="I127" s="6" t="n">
        <f aca="false">VLOOKUP(D127,Assumptions!$H$4:$I$5,2,FALSE())</f>
        <v>1.15</v>
      </c>
      <c r="J127" s="6" t="n">
        <f aca="false">MATCH(C127,Assumptions!$K$4:$K$6,0)</f>
        <v>1</v>
      </c>
      <c r="K127" s="6" t="n">
        <f aca="false">INDEX(Assumptions!$L$4:$L$6,J127)</f>
        <v>0.62</v>
      </c>
      <c r="L127" s="6" t="n">
        <f aca="false">IF(H127,ROUND(E127*K127,2),Assumptions!$B$11)</f>
        <v>269700</v>
      </c>
      <c r="M127" s="7" t="n">
        <f aca="false">ABS(F127-L127)</f>
        <v>0</v>
      </c>
      <c r="N127" s="6" t="n">
        <f aca="false">INT(E127/Assumptions!$B$12)</f>
        <v>4</v>
      </c>
    </row>
    <row r="128" customFormat="false" ht="15" hidden="false" customHeight="false" outlineLevel="0" collapsed="false">
      <c r="A128" s="2" t="s">
        <v>171</v>
      </c>
      <c r="B128" s="2" t="s">
        <v>47</v>
      </c>
      <c r="C128" s="2" t="s">
        <v>17</v>
      </c>
      <c r="D128" s="2" t="s">
        <v>12</v>
      </c>
      <c r="E128" s="5" t="n">
        <v>355000</v>
      </c>
      <c r="F128" s="5" t="n">
        <v>248500</v>
      </c>
      <c r="G128" s="5" t="n">
        <v>149100</v>
      </c>
      <c r="H128" s="5" t="n">
        <f aca="false">TRUE()</f>
        <v>1</v>
      </c>
      <c r="I128" s="6" t="n">
        <f aca="false">VLOOKUP(D128,Assumptions!$H$4:$I$5,2,FALSE())</f>
        <v>1</v>
      </c>
      <c r="J128" s="6" t="n">
        <f aca="false">MATCH(C128,Assumptions!$K$4:$K$6,0)</f>
        <v>2</v>
      </c>
      <c r="K128" s="6" t="n">
        <f aca="false">INDEX(Assumptions!$L$4:$L$6,J128)</f>
        <v>0.7</v>
      </c>
      <c r="L128" s="6" t="n">
        <f aca="false">IF(H128,ROUND(E128*K128,2),Assumptions!$B$11)</f>
        <v>248500</v>
      </c>
      <c r="M128" s="7" t="n">
        <f aca="false">ABS(F128-L128)</f>
        <v>0</v>
      </c>
      <c r="N128" s="6" t="n">
        <f aca="false">INT(E128/Assumptions!$B$12)</f>
        <v>3</v>
      </c>
    </row>
    <row r="129" customFormat="false" ht="15" hidden="false" customHeight="false" outlineLevel="0" collapsed="false">
      <c r="A129" s="2" t="s">
        <v>172</v>
      </c>
      <c r="B129" s="2" t="s">
        <v>47</v>
      </c>
      <c r="C129" s="2" t="s">
        <v>20</v>
      </c>
      <c r="D129" s="2" t="s">
        <v>12</v>
      </c>
      <c r="E129" s="5" t="n">
        <v>302000</v>
      </c>
      <c r="F129" s="5" t="n">
        <v>166100</v>
      </c>
      <c r="G129" s="5" t="n">
        <v>99660</v>
      </c>
      <c r="H129" s="5" t="n">
        <f aca="false">TRUE()</f>
        <v>1</v>
      </c>
      <c r="I129" s="6" t="n">
        <f aca="false">VLOOKUP(D129,Assumptions!$H$4:$I$5,2,FALSE())</f>
        <v>1</v>
      </c>
      <c r="J129" s="6" t="n">
        <f aca="false">MATCH(C129,Assumptions!$K$4:$K$6,0)</f>
        <v>3</v>
      </c>
      <c r="K129" s="6" t="n">
        <f aca="false">INDEX(Assumptions!$L$4:$L$6,J129)</f>
        <v>0.55</v>
      </c>
      <c r="L129" s="6" t="n">
        <f aca="false">IF(H129,ROUND(E129*K129,2),Assumptions!$B$11)</f>
        <v>166100</v>
      </c>
      <c r="M129" s="7" t="n">
        <f aca="false">ABS(F129-L129)</f>
        <v>0</v>
      </c>
      <c r="N129" s="6" t="n">
        <f aca="false">INT(E129/Assumptions!$B$12)</f>
        <v>3</v>
      </c>
    </row>
    <row r="130" customFormat="false" ht="15" hidden="false" customHeight="false" outlineLevel="0" collapsed="false">
      <c r="A130" s="2" t="s">
        <v>173</v>
      </c>
      <c r="B130" s="2" t="s">
        <v>47</v>
      </c>
      <c r="C130" s="2" t="s">
        <v>13</v>
      </c>
      <c r="D130" s="2" t="s">
        <v>12</v>
      </c>
      <c r="E130" s="5" t="n">
        <v>429000</v>
      </c>
      <c r="F130" s="5" t="n">
        <v>265980</v>
      </c>
      <c r="G130" s="5" t="n">
        <v>159588</v>
      </c>
      <c r="H130" s="5" t="n">
        <f aca="false">TRUE()</f>
        <v>1</v>
      </c>
      <c r="I130" s="6" t="n">
        <f aca="false">VLOOKUP(D130,Assumptions!$H$4:$I$5,2,FALSE())</f>
        <v>1</v>
      </c>
      <c r="J130" s="6" t="n">
        <f aca="false">MATCH(C130,Assumptions!$K$4:$K$6,0)</f>
        <v>1</v>
      </c>
      <c r="K130" s="6" t="n">
        <f aca="false">INDEX(Assumptions!$L$4:$L$6,J130)</f>
        <v>0.62</v>
      </c>
      <c r="L130" s="6" t="n">
        <f aca="false">IF(H130,ROUND(E130*K130,2),Assumptions!$B$11)</f>
        <v>265980</v>
      </c>
      <c r="M130" s="7" t="n">
        <f aca="false">ABS(F130-L130)</f>
        <v>0</v>
      </c>
      <c r="N130" s="6" t="n">
        <f aca="false">INT(E130/Assumptions!$B$12)</f>
        <v>4</v>
      </c>
    </row>
    <row r="131" customFormat="false" ht="15" hidden="false" customHeight="false" outlineLevel="0" collapsed="false">
      <c r="A131" s="2" t="s">
        <v>174</v>
      </c>
      <c r="B131" s="2" t="s">
        <v>47</v>
      </c>
      <c r="C131" s="2" t="s">
        <v>17</v>
      </c>
      <c r="D131" s="2" t="s">
        <v>16</v>
      </c>
      <c r="E131" s="5" t="n">
        <v>334000</v>
      </c>
      <c r="F131" s="5" t="n">
        <v>233800</v>
      </c>
      <c r="G131" s="5" t="n">
        <v>140280</v>
      </c>
      <c r="H131" s="5" t="n">
        <f aca="false">TRUE()</f>
        <v>1</v>
      </c>
      <c r="I131" s="6" t="n">
        <f aca="false">VLOOKUP(D131,Assumptions!$H$4:$I$5,2,FALSE())</f>
        <v>1.15</v>
      </c>
      <c r="J131" s="6" t="n">
        <f aca="false">MATCH(C131,Assumptions!$K$4:$K$6,0)</f>
        <v>2</v>
      </c>
      <c r="K131" s="6" t="n">
        <f aca="false">INDEX(Assumptions!$L$4:$L$6,J131)</f>
        <v>0.7</v>
      </c>
      <c r="L131" s="6" t="n">
        <f aca="false">IF(H131,ROUND(E131*K131,2),Assumptions!$B$11)</f>
        <v>233800</v>
      </c>
      <c r="M131" s="7" t="n">
        <f aca="false">ABS(F131-L131)</f>
        <v>0</v>
      </c>
      <c r="N131" s="6" t="n">
        <f aca="false">INT(E131/Assumptions!$B$12)</f>
        <v>3</v>
      </c>
    </row>
    <row r="132" customFormat="false" ht="15" hidden="false" customHeight="false" outlineLevel="0" collapsed="false">
      <c r="A132" s="2" t="s">
        <v>175</v>
      </c>
      <c r="B132" s="2" t="s">
        <v>47</v>
      </c>
      <c r="C132" s="2" t="s">
        <v>20</v>
      </c>
      <c r="D132" s="2" t="s">
        <v>12</v>
      </c>
      <c r="E132" s="5" t="n">
        <v>173000</v>
      </c>
      <c r="F132" s="5" t="n">
        <v>95150</v>
      </c>
      <c r="G132" s="5" t="n">
        <v>57090</v>
      </c>
      <c r="H132" s="5" t="n">
        <f aca="false">TRUE()</f>
        <v>1</v>
      </c>
      <c r="I132" s="6" t="n">
        <f aca="false">VLOOKUP(D132,Assumptions!$H$4:$I$5,2,FALSE())</f>
        <v>1</v>
      </c>
      <c r="J132" s="6" t="n">
        <f aca="false">MATCH(C132,Assumptions!$K$4:$K$6,0)</f>
        <v>3</v>
      </c>
      <c r="K132" s="6" t="n">
        <f aca="false">INDEX(Assumptions!$L$4:$L$6,J132)</f>
        <v>0.55</v>
      </c>
      <c r="L132" s="6" t="n">
        <f aca="false">IF(H132,ROUND(E132*K132,2),Assumptions!$B$11)</f>
        <v>95150</v>
      </c>
      <c r="M132" s="7" t="n">
        <f aca="false">ABS(F132-L132)</f>
        <v>0</v>
      </c>
      <c r="N132" s="6" t="n">
        <f aca="false">INT(E132/Assumptions!$B$12)</f>
        <v>1</v>
      </c>
    </row>
    <row r="133" customFormat="false" ht="15" hidden="false" customHeight="false" outlineLevel="0" collapsed="false">
      <c r="A133" s="2" t="s">
        <v>176</v>
      </c>
      <c r="B133" s="2" t="s">
        <v>47</v>
      </c>
      <c r="C133" s="2" t="s">
        <v>13</v>
      </c>
      <c r="D133" s="2" t="s">
        <v>12</v>
      </c>
      <c r="E133" s="5" t="n">
        <v>235000</v>
      </c>
      <c r="F133" s="5" t="n">
        <v>145700</v>
      </c>
      <c r="G133" s="5" t="n">
        <v>87420</v>
      </c>
      <c r="H133" s="5" t="n">
        <f aca="false">TRUE()</f>
        <v>1</v>
      </c>
      <c r="I133" s="6" t="n">
        <f aca="false">VLOOKUP(D133,Assumptions!$H$4:$I$5,2,FALSE())</f>
        <v>1</v>
      </c>
      <c r="J133" s="6" t="n">
        <f aca="false">MATCH(C133,Assumptions!$K$4:$K$6,0)</f>
        <v>1</v>
      </c>
      <c r="K133" s="6" t="n">
        <f aca="false">INDEX(Assumptions!$L$4:$L$6,J133)</f>
        <v>0.62</v>
      </c>
      <c r="L133" s="6" t="n">
        <f aca="false">IF(H133,ROUND(E133*K133,2),Assumptions!$B$11)</f>
        <v>145700</v>
      </c>
      <c r="M133" s="7" t="n">
        <f aca="false">ABS(F133-L133)</f>
        <v>0</v>
      </c>
      <c r="N133" s="6" t="n">
        <f aca="false">INT(E133/Assumptions!$B$12)</f>
        <v>2</v>
      </c>
    </row>
    <row r="134" customFormat="false" ht="15" hidden="false" customHeight="false" outlineLevel="0" collapsed="false">
      <c r="A134" s="2" t="s">
        <v>177</v>
      </c>
      <c r="B134" s="2" t="s">
        <v>47</v>
      </c>
      <c r="C134" s="2" t="s">
        <v>17</v>
      </c>
      <c r="D134" s="2" t="s">
        <v>12</v>
      </c>
      <c r="E134" s="5" t="n">
        <v>171000</v>
      </c>
      <c r="F134" s="5" t="n">
        <v>119700</v>
      </c>
      <c r="G134" s="5" t="n">
        <v>71820</v>
      </c>
      <c r="H134" s="5" t="n">
        <f aca="false">TRUE()</f>
        <v>1</v>
      </c>
      <c r="I134" s="6" t="n">
        <f aca="false">VLOOKUP(D134,Assumptions!$H$4:$I$5,2,FALSE())</f>
        <v>1</v>
      </c>
      <c r="J134" s="6" t="n">
        <f aca="false">MATCH(C134,Assumptions!$K$4:$K$6,0)</f>
        <v>2</v>
      </c>
      <c r="K134" s="6" t="n">
        <f aca="false">INDEX(Assumptions!$L$4:$L$6,J134)</f>
        <v>0.7</v>
      </c>
      <c r="L134" s="6" t="n">
        <f aca="false">IF(H134,ROUND(E134*K134,2),Assumptions!$B$11)</f>
        <v>119700</v>
      </c>
      <c r="M134" s="7" t="n">
        <f aca="false">ABS(F134-L134)</f>
        <v>0</v>
      </c>
      <c r="N134" s="6" t="n">
        <f aca="false">INT(E134/Assumptions!$B$12)</f>
        <v>1</v>
      </c>
    </row>
    <row r="135" customFormat="false" ht="15" hidden="false" customHeight="false" outlineLevel="0" collapsed="false">
      <c r="A135" s="2" t="s">
        <v>178</v>
      </c>
      <c r="B135" s="2" t="s">
        <v>47</v>
      </c>
      <c r="C135" s="2" t="s">
        <v>20</v>
      </c>
      <c r="D135" s="2" t="s">
        <v>16</v>
      </c>
      <c r="E135" s="5" t="n">
        <v>226000</v>
      </c>
      <c r="F135" s="5" t="n">
        <v>124300</v>
      </c>
      <c r="G135" s="5" t="n">
        <v>74580</v>
      </c>
      <c r="H135" s="5" t="n">
        <f aca="false">TRUE()</f>
        <v>1</v>
      </c>
      <c r="I135" s="6" t="n">
        <f aca="false">VLOOKUP(D135,Assumptions!$H$4:$I$5,2,FALSE())</f>
        <v>1.15</v>
      </c>
      <c r="J135" s="6" t="n">
        <f aca="false">MATCH(C135,Assumptions!$K$4:$K$6,0)</f>
        <v>3</v>
      </c>
      <c r="K135" s="6" t="n">
        <f aca="false">INDEX(Assumptions!$L$4:$L$6,J135)</f>
        <v>0.55</v>
      </c>
      <c r="L135" s="6" t="n">
        <f aca="false">IF(H135,ROUND(E135*K135,2),Assumptions!$B$11)</f>
        <v>124300</v>
      </c>
      <c r="M135" s="7" t="n">
        <f aca="false">ABS(F135-L135)</f>
        <v>0</v>
      </c>
      <c r="N135" s="6" t="n">
        <f aca="false">INT(E135/Assumptions!$B$12)</f>
        <v>2</v>
      </c>
    </row>
    <row r="136" customFormat="false" ht="15" hidden="false" customHeight="false" outlineLevel="0" collapsed="false">
      <c r="A136" s="2" t="s">
        <v>179</v>
      </c>
      <c r="B136" s="2" t="s">
        <v>47</v>
      </c>
      <c r="C136" s="2" t="s">
        <v>13</v>
      </c>
      <c r="D136" s="2" t="s">
        <v>12</v>
      </c>
      <c r="E136" s="5" t="n">
        <v>481000</v>
      </c>
      <c r="F136" s="5" t="n">
        <v>298220</v>
      </c>
      <c r="G136" s="5" t="n">
        <v>178932</v>
      </c>
      <c r="H136" s="5" t="n">
        <f aca="false">TRUE()</f>
        <v>1</v>
      </c>
      <c r="I136" s="6" t="n">
        <f aca="false">VLOOKUP(D136,Assumptions!$H$4:$I$5,2,FALSE())</f>
        <v>1</v>
      </c>
      <c r="J136" s="6" t="n">
        <f aca="false">MATCH(C136,Assumptions!$K$4:$K$6,0)</f>
        <v>1</v>
      </c>
      <c r="K136" s="6" t="n">
        <f aca="false">INDEX(Assumptions!$L$4:$L$6,J136)</f>
        <v>0.62</v>
      </c>
      <c r="L136" s="6" t="n">
        <f aca="false">IF(H136,ROUND(E136*K136,2),Assumptions!$B$11)</f>
        <v>298220</v>
      </c>
      <c r="M136" s="7" t="n">
        <f aca="false">ABS(F136-L136)</f>
        <v>0</v>
      </c>
      <c r="N136" s="6" t="n">
        <f aca="false">INT(E136/Assumptions!$B$12)</f>
        <v>4</v>
      </c>
    </row>
    <row r="137" customFormat="false" ht="15" hidden="false" customHeight="false" outlineLevel="0" collapsed="false">
      <c r="A137" s="2" t="s">
        <v>180</v>
      </c>
      <c r="B137" s="2" t="s">
        <v>47</v>
      </c>
      <c r="C137" s="2" t="s">
        <v>17</v>
      </c>
      <c r="D137" s="2" t="s">
        <v>12</v>
      </c>
      <c r="E137" s="5" t="n">
        <v>387000</v>
      </c>
      <c r="F137" s="5" t="n">
        <v>270900</v>
      </c>
      <c r="G137" s="5" t="n">
        <v>162540</v>
      </c>
      <c r="H137" s="5" t="n">
        <f aca="false">TRUE()</f>
        <v>1</v>
      </c>
      <c r="I137" s="6" t="n">
        <f aca="false">VLOOKUP(D137,Assumptions!$H$4:$I$5,2,FALSE())</f>
        <v>1</v>
      </c>
      <c r="J137" s="6" t="n">
        <f aca="false">MATCH(C137,Assumptions!$K$4:$K$6,0)</f>
        <v>2</v>
      </c>
      <c r="K137" s="6" t="n">
        <f aca="false">INDEX(Assumptions!$L$4:$L$6,J137)</f>
        <v>0.7</v>
      </c>
      <c r="L137" s="6" t="n">
        <f aca="false">IF(H137,ROUND(E137*K137,2),Assumptions!$B$11)</f>
        <v>270900</v>
      </c>
      <c r="M137" s="7" t="n">
        <f aca="false">ABS(F137-L137)</f>
        <v>0</v>
      </c>
      <c r="N137" s="6" t="n">
        <f aca="false">INT(E137/Assumptions!$B$12)</f>
        <v>3</v>
      </c>
    </row>
    <row r="138" customFormat="false" ht="15" hidden="false" customHeight="false" outlineLevel="0" collapsed="false">
      <c r="A138" s="2" t="s">
        <v>181</v>
      </c>
      <c r="B138" s="2" t="s">
        <v>47</v>
      </c>
      <c r="C138" s="2" t="s">
        <v>20</v>
      </c>
      <c r="D138" s="2" t="s">
        <v>12</v>
      </c>
      <c r="E138" s="5" t="n">
        <v>375000</v>
      </c>
      <c r="F138" s="5" t="n">
        <v>206250</v>
      </c>
      <c r="G138" s="5" t="n">
        <v>123750</v>
      </c>
      <c r="H138" s="5" t="n">
        <f aca="false">TRUE()</f>
        <v>1</v>
      </c>
      <c r="I138" s="6" t="n">
        <f aca="false">VLOOKUP(D138,Assumptions!$H$4:$I$5,2,FALSE())</f>
        <v>1</v>
      </c>
      <c r="J138" s="6" t="n">
        <f aca="false">MATCH(C138,Assumptions!$K$4:$K$6,0)</f>
        <v>3</v>
      </c>
      <c r="K138" s="6" t="n">
        <f aca="false">INDEX(Assumptions!$L$4:$L$6,J138)</f>
        <v>0.55</v>
      </c>
      <c r="L138" s="6" t="n">
        <f aca="false">IF(H138,ROUND(E138*K138,2),Assumptions!$B$11)</f>
        <v>206250</v>
      </c>
      <c r="M138" s="7" t="n">
        <f aca="false">ABS(F138-L138)</f>
        <v>0</v>
      </c>
      <c r="N138" s="6" t="n">
        <f aca="false">INT(E138/Assumptions!$B$12)</f>
        <v>3</v>
      </c>
    </row>
    <row r="139" customFormat="false" ht="15" hidden="false" customHeight="false" outlineLevel="0" collapsed="false">
      <c r="A139" s="2" t="s">
        <v>182</v>
      </c>
      <c r="B139" s="2" t="s">
        <v>47</v>
      </c>
      <c r="C139" s="2" t="s">
        <v>13</v>
      </c>
      <c r="D139" s="2" t="s">
        <v>16</v>
      </c>
      <c r="E139" s="5" t="n">
        <v>234000</v>
      </c>
      <c r="F139" s="5" t="n">
        <v>145080</v>
      </c>
      <c r="G139" s="5" t="n">
        <v>87048</v>
      </c>
      <c r="H139" s="5" t="n">
        <f aca="false">FALSE()</f>
        <v>0</v>
      </c>
      <c r="I139" s="6" t="n">
        <f aca="false">VLOOKUP(D139,Assumptions!$H$4:$I$5,2,FALSE())</f>
        <v>1.15</v>
      </c>
      <c r="J139" s="6" t="n">
        <f aca="false">MATCH(C139,Assumptions!$K$4:$K$6,0)</f>
        <v>1</v>
      </c>
      <c r="K139" s="6" t="n">
        <f aca="false">INDEX(Assumptions!$L$4:$L$6,J139)</f>
        <v>0.62</v>
      </c>
      <c r="L139" s="6" t="n">
        <f aca="false">IF(H139,ROUND(E139*K139,2),Assumptions!$B$11)</f>
        <v>0</v>
      </c>
      <c r="M139" s="7" t="n">
        <f aca="false">ABS(F139-L139)</f>
        <v>145080</v>
      </c>
      <c r="N139" s="6" t="n">
        <f aca="false">INT(E139/Assumptions!$B$12)</f>
        <v>2</v>
      </c>
    </row>
    <row r="140" customFormat="false" ht="15" hidden="false" customHeight="false" outlineLevel="0" collapsed="false">
      <c r="A140" s="2" t="s">
        <v>183</v>
      </c>
      <c r="B140" s="2" t="s">
        <v>47</v>
      </c>
      <c r="C140" s="2" t="s">
        <v>17</v>
      </c>
      <c r="D140" s="2" t="s">
        <v>12</v>
      </c>
      <c r="E140" s="5" t="n">
        <v>482000</v>
      </c>
      <c r="F140" s="5" t="n">
        <v>337400</v>
      </c>
      <c r="G140" s="5" t="n">
        <v>202440</v>
      </c>
      <c r="H140" s="5" t="n">
        <f aca="false">TRUE()</f>
        <v>1</v>
      </c>
      <c r="I140" s="6" t="n">
        <f aca="false">VLOOKUP(D140,Assumptions!$H$4:$I$5,2,FALSE())</f>
        <v>1</v>
      </c>
      <c r="J140" s="6" t="n">
        <f aca="false">MATCH(C140,Assumptions!$K$4:$K$6,0)</f>
        <v>2</v>
      </c>
      <c r="K140" s="6" t="n">
        <f aca="false">INDEX(Assumptions!$L$4:$L$6,J140)</f>
        <v>0.7</v>
      </c>
      <c r="L140" s="6" t="n">
        <f aca="false">IF(H140,ROUND(E140*K140,2),Assumptions!$B$11)</f>
        <v>337400</v>
      </c>
      <c r="M140" s="7" t="n">
        <f aca="false">ABS(F140-L140)</f>
        <v>0</v>
      </c>
      <c r="N140" s="6" t="n">
        <f aca="false">INT(E140/Assumptions!$B$12)</f>
        <v>4</v>
      </c>
    </row>
    <row r="141" customFormat="false" ht="15" hidden="false" customHeight="false" outlineLevel="0" collapsed="false">
      <c r="A141" s="2" t="s">
        <v>184</v>
      </c>
      <c r="B141" s="2" t="s">
        <v>47</v>
      </c>
      <c r="C141" s="2" t="s">
        <v>20</v>
      </c>
      <c r="D141" s="2" t="s">
        <v>12</v>
      </c>
      <c r="E141" s="5" t="n">
        <v>399000</v>
      </c>
      <c r="F141" s="5" t="n">
        <v>219450</v>
      </c>
      <c r="G141" s="5" t="n">
        <v>131670</v>
      </c>
      <c r="H141" s="5" t="n">
        <f aca="false">TRUE()</f>
        <v>1</v>
      </c>
      <c r="I141" s="6" t="n">
        <f aca="false">VLOOKUP(D141,Assumptions!$H$4:$I$5,2,FALSE())</f>
        <v>1</v>
      </c>
      <c r="J141" s="6" t="n">
        <f aca="false">MATCH(C141,Assumptions!$K$4:$K$6,0)</f>
        <v>3</v>
      </c>
      <c r="K141" s="6" t="n">
        <f aca="false">INDEX(Assumptions!$L$4:$L$6,J141)</f>
        <v>0.55</v>
      </c>
      <c r="L141" s="6" t="n">
        <f aca="false">IF(H141,ROUND(E141*K141,2),Assumptions!$B$11)</f>
        <v>219450</v>
      </c>
      <c r="M141" s="7" t="n">
        <f aca="false">ABS(F141-L141)</f>
        <v>0</v>
      </c>
      <c r="N141" s="6" t="n">
        <f aca="false">INT(E141/Assumptions!$B$12)</f>
        <v>3</v>
      </c>
    </row>
    <row r="142" customFormat="false" ht="15" hidden="false" customHeight="false" outlineLevel="0" collapsed="false">
      <c r="A142" s="2" t="s">
        <v>185</v>
      </c>
      <c r="B142" s="2" t="s">
        <v>47</v>
      </c>
      <c r="C142" s="2" t="s">
        <v>13</v>
      </c>
      <c r="D142" s="2" t="s">
        <v>12</v>
      </c>
      <c r="E142" s="5" t="n">
        <v>319000</v>
      </c>
      <c r="F142" s="5" t="n">
        <v>197780</v>
      </c>
      <c r="G142" s="5" t="n">
        <v>118668</v>
      </c>
      <c r="H142" s="5" t="n">
        <f aca="false">TRUE()</f>
        <v>1</v>
      </c>
      <c r="I142" s="6" t="n">
        <f aca="false">VLOOKUP(D142,Assumptions!$H$4:$I$5,2,FALSE())</f>
        <v>1</v>
      </c>
      <c r="J142" s="6" t="n">
        <f aca="false">MATCH(C142,Assumptions!$K$4:$K$6,0)</f>
        <v>1</v>
      </c>
      <c r="K142" s="6" t="n">
        <f aca="false">INDEX(Assumptions!$L$4:$L$6,J142)</f>
        <v>0.62</v>
      </c>
      <c r="L142" s="6" t="n">
        <f aca="false">IF(H142,ROUND(E142*K142,2),Assumptions!$B$11)</f>
        <v>197780</v>
      </c>
      <c r="M142" s="7" t="n">
        <f aca="false">ABS(F142-L142)</f>
        <v>0</v>
      </c>
      <c r="N142" s="6" t="n">
        <f aca="false">INT(E142/Assumptions!$B$12)</f>
        <v>3</v>
      </c>
    </row>
    <row r="143" customFormat="false" ht="15" hidden="false" customHeight="false" outlineLevel="0" collapsed="false">
      <c r="A143" s="2" t="s">
        <v>186</v>
      </c>
      <c r="B143" s="2" t="s">
        <v>47</v>
      </c>
      <c r="C143" s="2" t="s">
        <v>17</v>
      </c>
      <c r="D143" s="2" t="s">
        <v>16</v>
      </c>
      <c r="E143" s="5" t="n">
        <v>398000</v>
      </c>
      <c r="F143" s="5" t="n">
        <v>278600</v>
      </c>
      <c r="G143" s="5" t="n">
        <v>167160</v>
      </c>
      <c r="H143" s="5" t="n">
        <f aca="false">TRUE()</f>
        <v>1</v>
      </c>
      <c r="I143" s="6" t="n">
        <f aca="false">VLOOKUP(D143,Assumptions!$H$4:$I$5,2,FALSE())</f>
        <v>1.15</v>
      </c>
      <c r="J143" s="6" t="n">
        <f aca="false">MATCH(C143,Assumptions!$K$4:$K$6,0)</f>
        <v>2</v>
      </c>
      <c r="K143" s="6" t="n">
        <f aca="false">INDEX(Assumptions!$L$4:$L$6,J143)</f>
        <v>0.7</v>
      </c>
      <c r="L143" s="6" t="n">
        <f aca="false">IF(H143,ROUND(E143*K143,2),Assumptions!$B$11)</f>
        <v>278600</v>
      </c>
      <c r="M143" s="7" t="n">
        <f aca="false">ABS(F143-L143)</f>
        <v>0</v>
      </c>
      <c r="N143" s="6" t="n">
        <f aca="false">INT(E143/Assumptions!$B$12)</f>
        <v>3</v>
      </c>
    </row>
    <row r="144" customFormat="false" ht="15" hidden="false" customHeight="false" outlineLevel="0" collapsed="false">
      <c r="A144" s="2" t="s">
        <v>187</v>
      </c>
      <c r="B144" s="2" t="s">
        <v>47</v>
      </c>
      <c r="C144" s="2" t="s">
        <v>20</v>
      </c>
      <c r="D144" s="2" t="s">
        <v>12</v>
      </c>
      <c r="E144" s="5" t="n">
        <v>304000</v>
      </c>
      <c r="F144" s="5" t="n">
        <v>167200</v>
      </c>
      <c r="G144" s="5" t="n">
        <v>100320</v>
      </c>
      <c r="H144" s="5" t="n">
        <f aca="false">TRUE()</f>
        <v>1</v>
      </c>
      <c r="I144" s="6" t="n">
        <f aca="false">VLOOKUP(D144,Assumptions!$H$4:$I$5,2,FALSE())</f>
        <v>1</v>
      </c>
      <c r="J144" s="6" t="n">
        <f aca="false">MATCH(C144,Assumptions!$K$4:$K$6,0)</f>
        <v>3</v>
      </c>
      <c r="K144" s="6" t="n">
        <f aca="false">INDEX(Assumptions!$L$4:$L$6,J144)</f>
        <v>0.55</v>
      </c>
      <c r="L144" s="6" t="n">
        <f aca="false">IF(H144,ROUND(E144*K144,2),Assumptions!$B$11)</f>
        <v>167200</v>
      </c>
      <c r="M144" s="7" t="n">
        <f aca="false">ABS(F144-L144)</f>
        <v>0</v>
      </c>
      <c r="N144" s="6" t="n">
        <f aca="false">INT(E144/Assumptions!$B$12)</f>
        <v>3</v>
      </c>
    </row>
    <row r="145" customFormat="false" ht="15" hidden="false" customHeight="false" outlineLevel="0" collapsed="false">
      <c r="A145" s="2" t="s">
        <v>188</v>
      </c>
      <c r="B145" s="2" t="s">
        <v>47</v>
      </c>
      <c r="C145" s="2" t="s">
        <v>13</v>
      </c>
      <c r="D145" s="2" t="s">
        <v>12</v>
      </c>
      <c r="E145" s="5" t="n">
        <v>285000</v>
      </c>
      <c r="F145" s="5" t="n">
        <v>176700</v>
      </c>
      <c r="G145" s="5" t="n">
        <v>106020</v>
      </c>
      <c r="H145" s="5" t="n">
        <f aca="false">TRUE()</f>
        <v>1</v>
      </c>
      <c r="I145" s="6" t="n">
        <f aca="false">VLOOKUP(D145,Assumptions!$H$4:$I$5,2,FALSE())</f>
        <v>1</v>
      </c>
      <c r="J145" s="6" t="n">
        <f aca="false">MATCH(C145,Assumptions!$K$4:$K$6,0)</f>
        <v>1</v>
      </c>
      <c r="K145" s="6" t="n">
        <f aca="false">INDEX(Assumptions!$L$4:$L$6,J145)</f>
        <v>0.62</v>
      </c>
      <c r="L145" s="6" t="n">
        <f aca="false">IF(H145,ROUND(E145*K145,2),Assumptions!$B$11)</f>
        <v>176700</v>
      </c>
      <c r="M145" s="7" t="n">
        <f aca="false">ABS(F145-L145)</f>
        <v>0</v>
      </c>
      <c r="N145" s="6" t="n">
        <f aca="false">INT(E145/Assumptions!$B$12)</f>
        <v>2</v>
      </c>
    </row>
    <row r="146" customFormat="false" ht="15" hidden="false" customHeight="false" outlineLevel="0" collapsed="false">
      <c r="A146" s="2" t="s">
        <v>189</v>
      </c>
      <c r="B146" s="2" t="s">
        <v>47</v>
      </c>
      <c r="C146" s="2" t="s">
        <v>17</v>
      </c>
      <c r="D146" s="2" t="s">
        <v>12</v>
      </c>
      <c r="E146" s="5" t="n">
        <v>212000</v>
      </c>
      <c r="F146" s="5" t="n">
        <v>148400</v>
      </c>
      <c r="G146" s="5" t="n">
        <v>89040</v>
      </c>
      <c r="H146" s="5" t="n">
        <f aca="false">TRUE()</f>
        <v>1</v>
      </c>
      <c r="I146" s="6" t="n">
        <f aca="false">VLOOKUP(D146,Assumptions!$H$4:$I$5,2,FALSE())</f>
        <v>1</v>
      </c>
      <c r="J146" s="6" t="n">
        <f aca="false">MATCH(C146,Assumptions!$K$4:$K$6,0)</f>
        <v>2</v>
      </c>
      <c r="K146" s="6" t="n">
        <f aca="false">INDEX(Assumptions!$L$4:$L$6,J146)</f>
        <v>0.7</v>
      </c>
      <c r="L146" s="6" t="n">
        <f aca="false">IF(H146,ROUND(E146*K146,2),Assumptions!$B$11)</f>
        <v>148400</v>
      </c>
      <c r="M146" s="7" t="n">
        <f aca="false">ABS(F146-L146)</f>
        <v>0</v>
      </c>
      <c r="N146" s="6" t="n">
        <f aca="false">INT(E146/Assumptions!$B$12)</f>
        <v>2</v>
      </c>
    </row>
    <row r="147" customFormat="false" ht="15" hidden="false" customHeight="false" outlineLevel="0" collapsed="false">
      <c r="A147" s="2" t="s">
        <v>190</v>
      </c>
      <c r="B147" s="2" t="s">
        <v>47</v>
      </c>
      <c r="C147" s="2" t="s">
        <v>20</v>
      </c>
      <c r="D147" s="2" t="s">
        <v>16</v>
      </c>
      <c r="E147" s="5" t="n">
        <v>170000</v>
      </c>
      <c r="F147" s="5" t="n">
        <v>93500</v>
      </c>
      <c r="G147" s="5" t="n">
        <v>56100</v>
      </c>
      <c r="H147" s="5" t="n">
        <f aca="false">TRUE()</f>
        <v>1</v>
      </c>
      <c r="I147" s="6" t="n">
        <f aca="false">VLOOKUP(D147,Assumptions!$H$4:$I$5,2,FALSE())</f>
        <v>1.15</v>
      </c>
      <c r="J147" s="6" t="n">
        <f aca="false">MATCH(C147,Assumptions!$K$4:$K$6,0)</f>
        <v>3</v>
      </c>
      <c r="K147" s="6" t="n">
        <f aca="false">INDEX(Assumptions!$L$4:$L$6,J147)</f>
        <v>0.55</v>
      </c>
      <c r="L147" s="6" t="n">
        <f aca="false">IF(H147,ROUND(E147*K147,2),Assumptions!$B$11)</f>
        <v>93500</v>
      </c>
      <c r="M147" s="7" t="n">
        <f aca="false">ABS(F147-L147)</f>
        <v>0</v>
      </c>
      <c r="N147" s="6" t="n">
        <f aca="false">INT(E147/Assumptions!$B$12)</f>
        <v>1</v>
      </c>
    </row>
    <row r="148" customFormat="false" ht="15" hidden="false" customHeight="false" outlineLevel="0" collapsed="false">
      <c r="A148" s="2" t="s">
        <v>191</v>
      </c>
      <c r="B148" s="2" t="s">
        <v>47</v>
      </c>
      <c r="C148" s="2" t="s">
        <v>13</v>
      </c>
      <c r="D148" s="2" t="s">
        <v>12</v>
      </c>
      <c r="E148" s="5" t="n">
        <v>360000</v>
      </c>
      <c r="F148" s="5" t="n">
        <v>223200</v>
      </c>
      <c r="G148" s="5" t="n">
        <v>133920</v>
      </c>
      <c r="H148" s="5" t="n">
        <f aca="false">TRUE()</f>
        <v>1</v>
      </c>
      <c r="I148" s="6" t="n">
        <f aca="false">VLOOKUP(D148,Assumptions!$H$4:$I$5,2,FALSE())</f>
        <v>1</v>
      </c>
      <c r="J148" s="6" t="n">
        <f aca="false">MATCH(C148,Assumptions!$K$4:$K$6,0)</f>
        <v>1</v>
      </c>
      <c r="K148" s="6" t="n">
        <f aca="false">INDEX(Assumptions!$L$4:$L$6,J148)</f>
        <v>0.62</v>
      </c>
      <c r="L148" s="6" t="n">
        <f aca="false">IF(H148,ROUND(E148*K148,2),Assumptions!$B$11)</f>
        <v>223200</v>
      </c>
      <c r="M148" s="7" t="n">
        <f aca="false">ABS(F148-L148)</f>
        <v>0</v>
      </c>
      <c r="N148" s="6" t="n">
        <f aca="false">INT(E148/Assumptions!$B$12)</f>
        <v>3</v>
      </c>
    </row>
    <row r="149" customFormat="false" ht="15" hidden="false" customHeight="false" outlineLevel="0" collapsed="false">
      <c r="A149" s="2" t="s">
        <v>192</v>
      </c>
      <c r="B149" s="2" t="s">
        <v>47</v>
      </c>
      <c r="C149" s="2" t="s">
        <v>17</v>
      </c>
      <c r="D149" s="2" t="s">
        <v>12</v>
      </c>
      <c r="E149" s="5" t="n">
        <v>352000</v>
      </c>
      <c r="F149" s="5" t="n">
        <v>246400</v>
      </c>
      <c r="G149" s="5" t="n">
        <v>147840</v>
      </c>
      <c r="H149" s="5" t="n">
        <f aca="false">TRUE()</f>
        <v>1</v>
      </c>
      <c r="I149" s="6" t="n">
        <f aca="false">VLOOKUP(D149,Assumptions!$H$4:$I$5,2,FALSE())</f>
        <v>1</v>
      </c>
      <c r="J149" s="6" t="n">
        <f aca="false">MATCH(C149,Assumptions!$K$4:$K$6,0)</f>
        <v>2</v>
      </c>
      <c r="K149" s="6" t="n">
        <f aca="false">INDEX(Assumptions!$L$4:$L$6,J149)</f>
        <v>0.7</v>
      </c>
      <c r="L149" s="6" t="n">
        <f aca="false">IF(H149,ROUND(E149*K149,2),Assumptions!$B$11)</f>
        <v>246400</v>
      </c>
      <c r="M149" s="7" t="n">
        <f aca="false">ABS(F149-L149)</f>
        <v>0</v>
      </c>
      <c r="N149" s="6" t="n">
        <f aca="false">INT(E149/Assumptions!$B$12)</f>
        <v>3</v>
      </c>
    </row>
    <row r="150" customFormat="false" ht="15" hidden="false" customHeight="false" outlineLevel="0" collapsed="false">
      <c r="A150" s="2" t="s">
        <v>193</v>
      </c>
      <c r="B150" s="2" t="s">
        <v>47</v>
      </c>
      <c r="C150" s="2" t="s">
        <v>20</v>
      </c>
      <c r="D150" s="2" t="s">
        <v>12</v>
      </c>
      <c r="E150" s="5" t="n">
        <v>146000</v>
      </c>
      <c r="F150" s="5" t="n">
        <v>80300</v>
      </c>
      <c r="G150" s="5" t="n">
        <v>48180</v>
      </c>
      <c r="H150" s="5" t="n">
        <f aca="false">TRUE()</f>
        <v>1</v>
      </c>
      <c r="I150" s="6" t="n">
        <f aca="false">VLOOKUP(D150,Assumptions!$H$4:$I$5,2,FALSE())</f>
        <v>1</v>
      </c>
      <c r="J150" s="6" t="n">
        <f aca="false">MATCH(C150,Assumptions!$K$4:$K$6,0)</f>
        <v>3</v>
      </c>
      <c r="K150" s="6" t="n">
        <f aca="false">INDEX(Assumptions!$L$4:$L$6,J150)</f>
        <v>0.55</v>
      </c>
      <c r="L150" s="6" t="n">
        <f aca="false">IF(H150,ROUND(E150*K150,2),Assumptions!$B$11)</f>
        <v>80300</v>
      </c>
      <c r="M150" s="7" t="n">
        <f aca="false">ABS(F150-L150)</f>
        <v>0</v>
      </c>
      <c r="N150" s="6" t="n">
        <f aca="false">INT(E150/Assumptions!$B$12)</f>
        <v>1</v>
      </c>
    </row>
    <row r="151" customFormat="false" ht="15" hidden="false" customHeight="false" outlineLevel="0" collapsed="false">
      <c r="A151" s="2" t="s">
        <v>194</v>
      </c>
      <c r="B151" s="2" t="s">
        <v>47</v>
      </c>
      <c r="C151" s="2" t="s">
        <v>13</v>
      </c>
      <c r="D151" s="2" t="s">
        <v>16</v>
      </c>
      <c r="E151" s="5" t="n">
        <v>486000</v>
      </c>
      <c r="F151" s="5" t="n">
        <v>301320</v>
      </c>
      <c r="G151" s="5" t="n">
        <v>180792</v>
      </c>
      <c r="H151" s="5" t="n">
        <f aca="false">TRUE()</f>
        <v>1</v>
      </c>
      <c r="I151" s="6" t="n">
        <f aca="false">VLOOKUP(D151,Assumptions!$H$4:$I$5,2,FALSE())</f>
        <v>1.15</v>
      </c>
      <c r="J151" s="6" t="n">
        <f aca="false">MATCH(C151,Assumptions!$K$4:$K$6,0)</f>
        <v>1</v>
      </c>
      <c r="K151" s="6" t="n">
        <f aca="false">INDEX(Assumptions!$L$4:$L$6,J151)</f>
        <v>0.62</v>
      </c>
      <c r="L151" s="6" t="n">
        <f aca="false">IF(H151,ROUND(E151*K151,2),Assumptions!$B$11)</f>
        <v>301320</v>
      </c>
      <c r="M151" s="7" t="n">
        <f aca="false">ABS(F151-L151)</f>
        <v>0</v>
      </c>
      <c r="N151" s="6" t="n">
        <f aca="false">INT(E151/Assumptions!$B$12)</f>
        <v>4</v>
      </c>
    </row>
    <row r="152" customFormat="false" ht="15" hidden="false" customHeight="false" outlineLevel="0" collapsed="false">
      <c r="A152" s="2" t="s">
        <v>195</v>
      </c>
      <c r="B152" s="2" t="s">
        <v>47</v>
      </c>
      <c r="C152" s="2" t="s">
        <v>17</v>
      </c>
      <c r="D152" s="2" t="s">
        <v>12</v>
      </c>
      <c r="E152" s="5" t="n">
        <v>124000</v>
      </c>
      <c r="F152" s="5" t="n">
        <v>86800</v>
      </c>
      <c r="G152" s="5" t="n">
        <v>52080</v>
      </c>
      <c r="H152" s="5" t="n">
        <f aca="false">TRUE()</f>
        <v>1</v>
      </c>
      <c r="I152" s="6" t="n">
        <f aca="false">VLOOKUP(D152,Assumptions!$H$4:$I$5,2,FALSE())</f>
        <v>1</v>
      </c>
      <c r="J152" s="6" t="n">
        <f aca="false">MATCH(C152,Assumptions!$K$4:$K$6,0)</f>
        <v>2</v>
      </c>
      <c r="K152" s="6" t="n">
        <f aca="false">INDEX(Assumptions!$L$4:$L$6,J152)</f>
        <v>0.7</v>
      </c>
      <c r="L152" s="6" t="n">
        <f aca="false">IF(H152,ROUND(E152*K152,2),Assumptions!$B$11)</f>
        <v>86800</v>
      </c>
      <c r="M152" s="7" t="n">
        <f aca="false">ABS(F152-L152)</f>
        <v>0</v>
      </c>
      <c r="N152" s="6" t="n">
        <f aca="false">INT(E152/Assumptions!$B$12)</f>
        <v>1</v>
      </c>
    </row>
    <row r="153" customFormat="false" ht="15" hidden="false" customHeight="false" outlineLevel="0" collapsed="false">
      <c r="A153" s="2" t="s">
        <v>196</v>
      </c>
      <c r="B153" s="2" t="s">
        <v>47</v>
      </c>
      <c r="C153" s="2" t="s">
        <v>20</v>
      </c>
      <c r="D153" s="2" t="s">
        <v>12</v>
      </c>
      <c r="E153" s="5" t="n">
        <v>156000</v>
      </c>
      <c r="F153" s="5" t="n">
        <v>85800</v>
      </c>
      <c r="G153" s="5" t="n">
        <v>51480</v>
      </c>
      <c r="H153" s="5" t="n">
        <f aca="false">TRUE()</f>
        <v>1</v>
      </c>
      <c r="I153" s="6" t="n">
        <f aca="false">VLOOKUP(D153,Assumptions!$H$4:$I$5,2,FALSE())</f>
        <v>1</v>
      </c>
      <c r="J153" s="6" t="n">
        <f aca="false">MATCH(C153,Assumptions!$K$4:$K$6,0)</f>
        <v>3</v>
      </c>
      <c r="K153" s="6" t="n">
        <f aca="false">INDEX(Assumptions!$L$4:$L$6,J153)</f>
        <v>0.55</v>
      </c>
      <c r="L153" s="6" t="n">
        <f aca="false">IF(H153,ROUND(E153*K153,2),Assumptions!$B$11)</f>
        <v>85800</v>
      </c>
      <c r="M153" s="7" t="n">
        <f aca="false">ABS(F153-L153)</f>
        <v>0</v>
      </c>
      <c r="N153" s="6" t="n">
        <f aca="false">INT(E153/Assumptions!$B$12)</f>
        <v>1</v>
      </c>
    </row>
    <row r="154" customFormat="false" ht="15" hidden="false" customHeight="false" outlineLevel="0" collapsed="false">
      <c r="A154" s="2" t="s">
        <v>197</v>
      </c>
      <c r="B154" s="2" t="s">
        <v>47</v>
      </c>
      <c r="C154" s="2" t="s">
        <v>13</v>
      </c>
      <c r="D154" s="2" t="s">
        <v>12</v>
      </c>
      <c r="E154" s="5" t="n">
        <v>178000</v>
      </c>
      <c r="F154" s="5" t="n">
        <v>110360</v>
      </c>
      <c r="G154" s="5" t="n">
        <v>66216</v>
      </c>
      <c r="H154" s="5" t="n">
        <f aca="false">TRUE()</f>
        <v>1</v>
      </c>
      <c r="I154" s="6" t="n">
        <f aca="false">VLOOKUP(D154,Assumptions!$H$4:$I$5,2,FALSE())</f>
        <v>1</v>
      </c>
      <c r="J154" s="6" t="n">
        <f aca="false">MATCH(C154,Assumptions!$K$4:$K$6,0)</f>
        <v>1</v>
      </c>
      <c r="K154" s="6" t="n">
        <f aca="false">INDEX(Assumptions!$L$4:$L$6,J154)</f>
        <v>0.62</v>
      </c>
      <c r="L154" s="6" t="n">
        <f aca="false">IF(H154,ROUND(E154*K154,2),Assumptions!$B$11)</f>
        <v>110360</v>
      </c>
      <c r="M154" s="7" t="n">
        <f aca="false">ABS(F154-L154)</f>
        <v>0</v>
      </c>
      <c r="N154" s="6" t="n">
        <f aca="false">INT(E154/Assumptions!$B$12)</f>
        <v>1</v>
      </c>
    </row>
    <row r="155" customFormat="false" ht="15" hidden="false" customHeight="false" outlineLevel="0" collapsed="false">
      <c r="A155" s="2" t="s">
        <v>198</v>
      </c>
      <c r="B155" s="2" t="s">
        <v>47</v>
      </c>
      <c r="C155" s="2" t="s">
        <v>17</v>
      </c>
      <c r="D155" s="2" t="s">
        <v>16</v>
      </c>
      <c r="E155" s="5" t="n">
        <v>421000</v>
      </c>
      <c r="F155" s="5" t="n">
        <v>294700</v>
      </c>
      <c r="G155" s="5" t="n">
        <v>176820</v>
      </c>
      <c r="H155" s="5" t="n">
        <f aca="false">TRUE()</f>
        <v>1</v>
      </c>
      <c r="I155" s="6" t="n">
        <f aca="false">VLOOKUP(D155,Assumptions!$H$4:$I$5,2,FALSE())</f>
        <v>1.15</v>
      </c>
      <c r="J155" s="6" t="n">
        <f aca="false">MATCH(C155,Assumptions!$K$4:$K$6,0)</f>
        <v>2</v>
      </c>
      <c r="K155" s="6" t="n">
        <f aca="false">INDEX(Assumptions!$L$4:$L$6,J155)</f>
        <v>0.7</v>
      </c>
      <c r="L155" s="6" t="n">
        <f aca="false">IF(H155,ROUND(E155*K155,2),Assumptions!$B$11)</f>
        <v>294700</v>
      </c>
      <c r="M155" s="7" t="n">
        <f aca="false">ABS(F155-L155)</f>
        <v>0</v>
      </c>
      <c r="N155" s="6" t="n">
        <f aca="false">INT(E155/Assumptions!$B$12)</f>
        <v>4</v>
      </c>
    </row>
    <row r="156" customFormat="false" ht="15" hidden="false" customHeight="false" outlineLevel="0" collapsed="false">
      <c r="A156" s="2" t="s">
        <v>199</v>
      </c>
      <c r="B156" s="2" t="s">
        <v>47</v>
      </c>
      <c r="C156" s="2" t="s">
        <v>20</v>
      </c>
      <c r="D156" s="2" t="s">
        <v>12</v>
      </c>
      <c r="E156" s="5" t="n">
        <v>181000</v>
      </c>
      <c r="F156" s="5" t="n">
        <v>99550</v>
      </c>
      <c r="G156" s="5" t="n">
        <v>59730</v>
      </c>
      <c r="H156" s="5" t="n">
        <f aca="false">FALSE()</f>
        <v>0</v>
      </c>
      <c r="I156" s="6" t="n">
        <f aca="false">VLOOKUP(D156,Assumptions!$H$4:$I$5,2,FALSE())</f>
        <v>1</v>
      </c>
      <c r="J156" s="6" t="n">
        <f aca="false">MATCH(C156,Assumptions!$K$4:$K$6,0)</f>
        <v>3</v>
      </c>
      <c r="K156" s="6" t="n">
        <f aca="false">INDEX(Assumptions!$L$4:$L$6,J156)</f>
        <v>0.55</v>
      </c>
      <c r="L156" s="6" t="n">
        <f aca="false">IF(H156,ROUND(E156*K156,2),Assumptions!$B$11)</f>
        <v>0</v>
      </c>
      <c r="M156" s="7" t="n">
        <f aca="false">ABS(F156-L156)</f>
        <v>99550</v>
      </c>
      <c r="N156" s="6" t="n">
        <f aca="false">INT(E156/Assumptions!$B$12)</f>
        <v>1</v>
      </c>
    </row>
    <row r="157" customFormat="false" ht="15" hidden="false" customHeight="false" outlineLevel="0" collapsed="false">
      <c r="A157" s="2" t="s">
        <v>200</v>
      </c>
      <c r="B157" s="2" t="s">
        <v>47</v>
      </c>
      <c r="C157" s="2" t="s">
        <v>13</v>
      </c>
      <c r="D157" s="2" t="s">
        <v>12</v>
      </c>
      <c r="E157" s="5" t="n">
        <v>448000</v>
      </c>
      <c r="F157" s="5" t="n">
        <v>277760</v>
      </c>
      <c r="G157" s="5" t="n">
        <v>166656</v>
      </c>
      <c r="H157" s="5" t="n">
        <f aca="false">TRUE()</f>
        <v>1</v>
      </c>
      <c r="I157" s="6" t="n">
        <f aca="false">VLOOKUP(D157,Assumptions!$H$4:$I$5,2,FALSE())</f>
        <v>1</v>
      </c>
      <c r="J157" s="6" t="n">
        <f aca="false">MATCH(C157,Assumptions!$K$4:$K$6,0)</f>
        <v>1</v>
      </c>
      <c r="K157" s="6" t="n">
        <f aca="false">INDEX(Assumptions!$L$4:$L$6,J157)</f>
        <v>0.62</v>
      </c>
      <c r="L157" s="6" t="n">
        <f aca="false">IF(H157,ROUND(E157*K157,2),Assumptions!$B$11)</f>
        <v>277760</v>
      </c>
      <c r="M157" s="7" t="n">
        <f aca="false">ABS(F157-L157)</f>
        <v>0</v>
      </c>
      <c r="N157" s="6" t="n">
        <f aca="false">INT(E157/Assumptions!$B$12)</f>
        <v>4</v>
      </c>
    </row>
    <row r="158" customFormat="false" ht="15" hidden="false" customHeight="false" outlineLevel="0" collapsed="false">
      <c r="A158" s="2" t="s">
        <v>201</v>
      </c>
      <c r="B158" s="2" t="s">
        <v>47</v>
      </c>
      <c r="C158" s="2" t="s">
        <v>17</v>
      </c>
      <c r="D158" s="2" t="s">
        <v>12</v>
      </c>
      <c r="E158" s="5" t="n">
        <v>316000</v>
      </c>
      <c r="F158" s="5" t="n">
        <v>221200</v>
      </c>
      <c r="G158" s="5" t="n">
        <v>132720</v>
      </c>
      <c r="H158" s="5" t="n">
        <f aca="false">TRUE()</f>
        <v>1</v>
      </c>
      <c r="I158" s="6" t="n">
        <f aca="false">VLOOKUP(D158,Assumptions!$H$4:$I$5,2,FALSE())</f>
        <v>1</v>
      </c>
      <c r="J158" s="6" t="n">
        <f aca="false">MATCH(C158,Assumptions!$K$4:$K$6,0)</f>
        <v>2</v>
      </c>
      <c r="K158" s="6" t="n">
        <f aca="false">INDEX(Assumptions!$L$4:$L$6,J158)</f>
        <v>0.7</v>
      </c>
      <c r="L158" s="6" t="n">
        <f aca="false">IF(H158,ROUND(E158*K158,2),Assumptions!$B$11)</f>
        <v>221200</v>
      </c>
      <c r="M158" s="7" t="n">
        <f aca="false">ABS(F158-L158)</f>
        <v>0</v>
      </c>
      <c r="N158" s="6" t="n">
        <f aca="false">INT(E158/Assumptions!$B$12)</f>
        <v>3</v>
      </c>
    </row>
    <row r="159" customFormat="false" ht="15" hidden="false" customHeight="false" outlineLevel="0" collapsed="false">
      <c r="A159" s="2" t="s">
        <v>202</v>
      </c>
      <c r="B159" s="2" t="s">
        <v>47</v>
      </c>
      <c r="C159" s="2" t="s">
        <v>20</v>
      </c>
      <c r="D159" s="2" t="s">
        <v>16</v>
      </c>
      <c r="E159" s="5" t="n">
        <v>405000</v>
      </c>
      <c r="F159" s="5" t="n">
        <v>222750</v>
      </c>
      <c r="G159" s="5" t="n">
        <v>133650</v>
      </c>
      <c r="H159" s="5" t="n">
        <f aca="false">TRUE()</f>
        <v>1</v>
      </c>
      <c r="I159" s="6" t="n">
        <f aca="false">VLOOKUP(D159,Assumptions!$H$4:$I$5,2,FALSE())</f>
        <v>1.15</v>
      </c>
      <c r="J159" s="6" t="n">
        <f aca="false">MATCH(C159,Assumptions!$K$4:$K$6,0)</f>
        <v>3</v>
      </c>
      <c r="K159" s="6" t="n">
        <f aca="false">INDEX(Assumptions!$L$4:$L$6,J159)</f>
        <v>0.55</v>
      </c>
      <c r="L159" s="6" t="n">
        <f aca="false">IF(H159,ROUND(E159*K159,2),Assumptions!$B$11)</f>
        <v>222750</v>
      </c>
      <c r="M159" s="7" t="n">
        <f aca="false">ABS(F159-L159)</f>
        <v>0</v>
      </c>
      <c r="N159" s="6" t="n">
        <f aca="false">INT(E159/Assumptions!$B$12)</f>
        <v>4</v>
      </c>
    </row>
    <row r="160" customFormat="false" ht="15" hidden="false" customHeight="false" outlineLevel="0" collapsed="false">
      <c r="A160" s="2" t="s">
        <v>203</v>
      </c>
      <c r="B160" s="2" t="s">
        <v>47</v>
      </c>
      <c r="C160" s="2" t="s">
        <v>13</v>
      </c>
      <c r="D160" s="2" t="s">
        <v>12</v>
      </c>
      <c r="E160" s="5" t="n">
        <v>132000</v>
      </c>
      <c r="F160" s="5" t="n">
        <v>81840</v>
      </c>
      <c r="G160" s="5" t="n">
        <v>49104</v>
      </c>
      <c r="H160" s="5" t="n">
        <f aca="false">TRUE()</f>
        <v>1</v>
      </c>
      <c r="I160" s="6" t="n">
        <f aca="false">VLOOKUP(D160,Assumptions!$H$4:$I$5,2,FALSE())</f>
        <v>1</v>
      </c>
      <c r="J160" s="6" t="n">
        <f aca="false">MATCH(C160,Assumptions!$K$4:$K$6,0)</f>
        <v>1</v>
      </c>
      <c r="K160" s="6" t="n">
        <f aca="false">INDEX(Assumptions!$L$4:$L$6,J160)</f>
        <v>0.62</v>
      </c>
      <c r="L160" s="6" t="n">
        <f aca="false">IF(H160,ROUND(E160*K160,2),Assumptions!$B$11)</f>
        <v>81840</v>
      </c>
      <c r="M160" s="7" t="n">
        <f aca="false">ABS(F160-L160)</f>
        <v>0</v>
      </c>
      <c r="N160" s="6" t="n">
        <f aca="false">INT(E160/Assumptions!$B$12)</f>
        <v>1</v>
      </c>
    </row>
    <row r="161" customFormat="false" ht="15" hidden="false" customHeight="false" outlineLevel="0" collapsed="false">
      <c r="A161" s="2" t="s">
        <v>204</v>
      </c>
      <c r="B161" s="2" t="s">
        <v>47</v>
      </c>
      <c r="C161" s="2" t="s">
        <v>17</v>
      </c>
      <c r="D161" s="2" t="s">
        <v>12</v>
      </c>
      <c r="E161" s="5" t="n">
        <v>297000</v>
      </c>
      <c r="F161" s="5" t="n">
        <v>207900</v>
      </c>
      <c r="G161" s="5" t="n">
        <v>124740</v>
      </c>
      <c r="H161" s="5" t="n">
        <f aca="false">TRUE()</f>
        <v>1</v>
      </c>
      <c r="I161" s="6" t="n">
        <f aca="false">VLOOKUP(D161,Assumptions!$H$4:$I$5,2,FALSE())</f>
        <v>1</v>
      </c>
      <c r="J161" s="6" t="n">
        <f aca="false">MATCH(C161,Assumptions!$K$4:$K$6,0)</f>
        <v>2</v>
      </c>
      <c r="K161" s="6" t="n">
        <f aca="false">INDEX(Assumptions!$L$4:$L$6,J161)</f>
        <v>0.7</v>
      </c>
      <c r="L161" s="6" t="n">
        <f aca="false">IF(H161,ROUND(E161*K161,2),Assumptions!$B$11)</f>
        <v>207900</v>
      </c>
      <c r="M161" s="7" t="n">
        <f aca="false">ABS(F161-L161)</f>
        <v>0</v>
      </c>
      <c r="N161" s="6" t="n">
        <f aca="false">INT(E161/Assumptions!$B$12)</f>
        <v>2</v>
      </c>
    </row>
    <row r="162" customFormat="false" ht="15" hidden="false" customHeight="false" outlineLevel="0" collapsed="false">
      <c r="A162" s="2" t="s">
        <v>205</v>
      </c>
      <c r="B162" s="2" t="s">
        <v>47</v>
      </c>
      <c r="C162" s="2" t="s">
        <v>20</v>
      </c>
      <c r="D162" s="2" t="s">
        <v>12</v>
      </c>
      <c r="E162" s="5" t="n">
        <v>295000</v>
      </c>
      <c r="F162" s="5" t="n">
        <v>162250</v>
      </c>
      <c r="G162" s="5" t="n">
        <v>97350</v>
      </c>
      <c r="H162" s="5" t="n">
        <f aca="false">TRUE()</f>
        <v>1</v>
      </c>
      <c r="I162" s="6" t="n">
        <f aca="false">VLOOKUP(D162,Assumptions!$H$4:$I$5,2,FALSE())</f>
        <v>1</v>
      </c>
      <c r="J162" s="6" t="n">
        <f aca="false">MATCH(C162,Assumptions!$K$4:$K$6,0)</f>
        <v>3</v>
      </c>
      <c r="K162" s="6" t="n">
        <f aca="false">INDEX(Assumptions!$L$4:$L$6,J162)</f>
        <v>0.55</v>
      </c>
      <c r="L162" s="6" t="n">
        <f aca="false">IF(H162,ROUND(E162*K162,2),Assumptions!$B$11)</f>
        <v>162250</v>
      </c>
      <c r="M162" s="7" t="n">
        <f aca="false">ABS(F162-L162)</f>
        <v>0</v>
      </c>
      <c r="N162" s="6" t="n">
        <f aca="false">INT(E162/Assumptions!$B$12)</f>
        <v>2</v>
      </c>
    </row>
    <row r="163" customFormat="false" ht="15" hidden="false" customHeight="false" outlineLevel="0" collapsed="false">
      <c r="A163" s="2" t="s">
        <v>206</v>
      </c>
      <c r="B163" s="2" t="s">
        <v>47</v>
      </c>
      <c r="C163" s="2" t="s">
        <v>13</v>
      </c>
      <c r="D163" s="2" t="s">
        <v>16</v>
      </c>
      <c r="E163" s="5" t="n">
        <v>405000</v>
      </c>
      <c r="F163" s="5" t="n">
        <v>251100</v>
      </c>
      <c r="G163" s="5" t="n">
        <v>150660</v>
      </c>
      <c r="H163" s="5" t="n">
        <f aca="false">TRUE()</f>
        <v>1</v>
      </c>
      <c r="I163" s="6" t="n">
        <f aca="false">VLOOKUP(D163,Assumptions!$H$4:$I$5,2,FALSE())</f>
        <v>1.15</v>
      </c>
      <c r="J163" s="6" t="n">
        <f aca="false">MATCH(C163,Assumptions!$K$4:$K$6,0)</f>
        <v>1</v>
      </c>
      <c r="K163" s="6" t="n">
        <f aca="false">INDEX(Assumptions!$L$4:$L$6,J163)</f>
        <v>0.62</v>
      </c>
      <c r="L163" s="6" t="n">
        <f aca="false">IF(H163,ROUND(E163*K163,2),Assumptions!$B$11)</f>
        <v>251100</v>
      </c>
      <c r="M163" s="7" t="n">
        <f aca="false">ABS(F163-L163)</f>
        <v>0</v>
      </c>
      <c r="N163" s="6" t="n">
        <f aca="false">INT(E163/Assumptions!$B$12)</f>
        <v>4</v>
      </c>
    </row>
    <row r="164" customFormat="false" ht="15" hidden="false" customHeight="false" outlineLevel="0" collapsed="false">
      <c r="A164" s="2" t="s">
        <v>207</v>
      </c>
      <c r="B164" s="2" t="s">
        <v>47</v>
      </c>
      <c r="C164" s="2" t="s">
        <v>17</v>
      </c>
      <c r="D164" s="2" t="s">
        <v>12</v>
      </c>
      <c r="E164" s="5" t="n">
        <v>339000</v>
      </c>
      <c r="F164" s="5" t="n">
        <v>237300</v>
      </c>
      <c r="G164" s="5" t="n">
        <v>142380</v>
      </c>
      <c r="H164" s="5" t="n">
        <f aca="false">TRUE()</f>
        <v>1</v>
      </c>
      <c r="I164" s="6" t="n">
        <f aca="false">VLOOKUP(D164,Assumptions!$H$4:$I$5,2,FALSE())</f>
        <v>1</v>
      </c>
      <c r="J164" s="6" t="n">
        <f aca="false">MATCH(C164,Assumptions!$K$4:$K$6,0)</f>
        <v>2</v>
      </c>
      <c r="K164" s="6" t="n">
        <f aca="false">INDEX(Assumptions!$L$4:$L$6,J164)</f>
        <v>0.7</v>
      </c>
      <c r="L164" s="6" t="n">
        <f aca="false">IF(H164,ROUND(E164*K164,2),Assumptions!$B$11)</f>
        <v>237300</v>
      </c>
      <c r="M164" s="7" t="n">
        <f aca="false">ABS(F164-L164)</f>
        <v>0</v>
      </c>
      <c r="N164" s="6" t="n">
        <f aca="false">INT(E164/Assumptions!$B$12)</f>
        <v>3</v>
      </c>
    </row>
    <row r="165" customFormat="false" ht="15" hidden="false" customHeight="false" outlineLevel="0" collapsed="false">
      <c r="A165" s="2" t="s">
        <v>208</v>
      </c>
      <c r="B165" s="2" t="s">
        <v>47</v>
      </c>
      <c r="C165" s="2" t="s">
        <v>20</v>
      </c>
      <c r="D165" s="2" t="s">
        <v>12</v>
      </c>
      <c r="E165" s="5" t="n">
        <v>370000</v>
      </c>
      <c r="F165" s="5" t="n">
        <v>203500</v>
      </c>
      <c r="G165" s="5" t="n">
        <v>122100</v>
      </c>
      <c r="H165" s="5" t="n">
        <f aca="false">TRUE()</f>
        <v>1</v>
      </c>
      <c r="I165" s="6" t="n">
        <f aca="false">VLOOKUP(D165,Assumptions!$H$4:$I$5,2,FALSE())</f>
        <v>1</v>
      </c>
      <c r="J165" s="6" t="n">
        <f aca="false">MATCH(C165,Assumptions!$K$4:$K$6,0)</f>
        <v>3</v>
      </c>
      <c r="K165" s="6" t="n">
        <f aca="false">INDEX(Assumptions!$L$4:$L$6,J165)</f>
        <v>0.55</v>
      </c>
      <c r="L165" s="6" t="n">
        <f aca="false">IF(H165,ROUND(E165*K165,2),Assumptions!$B$11)</f>
        <v>203500</v>
      </c>
      <c r="M165" s="7" t="n">
        <f aca="false">ABS(F165-L165)</f>
        <v>0</v>
      </c>
      <c r="N165" s="6" t="n">
        <f aca="false">INT(E165/Assumptions!$B$12)</f>
        <v>3</v>
      </c>
    </row>
    <row r="166" customFormat="false" ht="15" hidden="false" customHeight="false" outlineLevel="0" collapsed="false">
      <c r="A166" s="2" t="s">
        <v>209</v>
      </c>
      <c r="B166" s="2" t="s">
        <v>47</v>
      </c>
      <c r="C166" s="2" t="s">
        <v>13</v>
      </c>
      <c r="D166" s="2" t="s">
        <v>12</v>
      </c>
      <c r="E166" s="5" t="n">
        <v>228000</v>
      </c>
      <c r="F166" s="5" t="n">
        <v>141360</v>
      </c>
      <c r="G166" s="5" t="n">
        <v>84816</v>
      </c>
      <c r="H166" s="5" t="n">
        <f aca="false">TRUE()</f>
        <v>1</v>
      </c>
      <c r="I166" s="6" t="n">
        <f aca="false">VLOOKUP(D166,Assumptions!$H$4:$I$5,2,FALSE())</f>
        <v>1</v>
      </c>
      <c r="J166" s="6" t="n">
        <f aca="false">MATCH(C166,Assumptions!$K$4:$K$6,0)</f>
        <v>1</v>
      </c>
      <c r="K166" s="6" t="n">
        <f aca="false">INDEX(Assumptions!$L$4:$L$6,J166)</f>
        <v>0.62</v>
      </c>
      <c r="L166" s="6" t="n">
        <f aca="false">IF(H166,ROUND(E166*K166,2),Assumptions!$B$11)</f>
        <v>141360</v>
      </c>
      <c r="M166" s="7" t="n">
        <f aca="false">ABS(F166-L166)</f>
        <v>0</v>
      </c>
      <c r="N166" s="6" t="n">
        <f aca="false">INT(E166/Assumptions!$B$12)</f>
        <v>2</v>
      </c>
    </row>
    <row r="167" customFormat="false" ht="15" hidden="false" customHeight="false" outlineLevel="0" collapsed="false">
      <c r="A167" s="2" t="s">
        <v>210</v>
      </c>
      <c r="B167" s="2" t="s">
        <v>47</v>
      </c>
      <c r="C167" s="2" t="s">
        <v>17</v>
      </c>
      <c r="D167" s="2" t="s">
        <v>16</v>
      </c>
      <c r="E167" s="5" t="n">
        <v>383000</v>
      </c>
      <c r="F167" s="5" t="n">
        <v>268100</v>
      </c>
      <c r="G167" s="5" t="n">
        <v>160860</v>
      </c>
      <c r="H167" s="5" t="n">
        <f aca="false">TRUE()</f>
        <v>1</v>
      </c>
      <c r="I167" s="6" t="n">
        <f aca="false">VLOOKUP(D167,Assumptions!$H$4:$I$5,2,FALSE())</f>
        <v>1.15</v>
      </c>
      <c r="J167" s="6" t="n">
        <f aca="false">MATCH(C167,Assumptions!$K$4:$K$6,0)</f>
        <v>2</v>
      </c>
      <c r="K167" s="6" t="n">
        <f aca="false">INDEX(Assumptions!$L$4:$L$6,J167)</f>
        <v>0.7</v>
      </c>
      <c r="L167" s="6" t="n">
        <f aca="false">IF(H167,ROUND(E167*K167,2),Assumptions!$B$11)</f>
        <v>268100</v>
      </c>
      <c r="M167" s="7" t="n">
        <f aca="false">ABS(F167-L167)</f>
        <v>0</v>
      </c>
      <c r="N167" s="6" t="n">
        <f aca="false">INT(E167/Assumptions!$B$12)</f>
        <v>3</v>
      </c>
    </row>
    <row r="168" customFormat="false" ht="15" hidden="false" customHeight="false" outlineLevel="0" collapsed="false">
      <c r="A168" s="2" t="s">
        <v>211</v>
      </c>
      <c r="B168" s="2" t="s">
        <v>47</v>
      </c>
      <c r="C168" s="2" t="s">
        <v>20</v>
      </c>
      <c r="D168" s="2" t="s">
        <v>12</v>
      </c>
      <c r="E168" s="5" t="n">
        <v>105000</v>
      </c>
      <c r="F168" s="5" t="n">
        <v>57750</v>
      </c>
      <c r="G168" s="5" t="n">
        <v>34650</v>
      </c>
      <c r="H168" s="5" t="n">
        <f aca="false">TRUE()</f>
        <v>1</v>
      </c>
      <c r="I168" s="6" t="n">
        <f aca="false">VLOOKUP(D168,Assumptions!$H$4:$I$5,2,FALSE())</f>
        <v>1</v>
      </c>
      <c r="J168" s="6" t="n">
        <f aca="false">MATCH(C168,Assumptions!$K$4:$K$6,0)</f>
        <v>3</v>
      </c>
      <c r="K168" s="6" t="n">
        <f aca="false">INDEX(Assumptions!$L$4:$L$6,J168)</f>
        <v>0.55</v>
      </c>
      <c r="L168" s="6" t="n">
        <f aca="false">IF(H168,ROUND(E168*K168,2),Assumptions!$B$11)</f>
        <v>57750</v>
      </c>
      <c r="M168" s="7" t="n">
        <f aca="false">ABS(F168-L168)</f>
        <v>0</v>
      </c>
      <c r="N168" s="6" t="n">
        <f aca="false">INT(E168/Assumptions!$B$12)</f>
        <v>1</v>
      </c>
    </row>
    <row r="169" customFormat="false" ht="15" hidden="false" customHeight="false" outlineLevel="0" collapsed="false">
      <c r="A169" s="2" t="s">
        <v>212</v>
      </c>
      <c r="B169" s="2" t="s">
        <v>47</v>
      </c>
      <c r="C169" s="2" t="s">
        <v>13</v>
      </c>
      <c r="D169" s="2" t="s">
        <v>12</v>
      </c>
      <c r="E169" s="5" t="n">
        <v>448000</v>
      </c>
      <c r="F169" s="5" t="n">
        <v>277760</v>
      </c>
      <c r="G169" s="5" t="n">
        <v>166656</v>
      </c>
      <c r="H169" s="5" t="n">
        <f aca="false">TRUE()</f>
        <v>1</v>
      </c>
      <c r="I169" s="6" t="n">
        <f aca="false">VLOOKUP(D169,Assumptions!$H$4:$I$5,2,FALSE())</f>
        <v>1</v>
      </c>
      <c r="J169" s="6" t="n">
        <f aca="false">MATCH(C169,Assumptions!$K$4:$K$6,0)</f>
        <v>1</v>
      </c>
      <c r="K169" s="6" t="n">
        <f aca="false">INDEX(Assumptions!$L$4:$L$6,J169)</f>
        <v>0.62</v>
      </c>
      <c r="L169" s="6" t="n">
        <f aca="false">IF(H169,ROUND(E169*K169,2),Assumptions!$B$11)</f>
        <v>277760</v>
      </c>
      <c r="M169" s="7" t="n">
        <f aca="false">ABS(F169-L169)</f>
        <v>0</v>
      </c>
      <c r="N169" s="6" t="n">
        <f aca="false">INT(E169/Assumptions!$B$12)</f>
        <v>4</v>
      </c>
    </row>
    <row r="170" customFormat="false" ht="15" hidden="false" customHeight="false" outlineLevel="0" collapsed="false">
      <c r="A170" s="2" t="s">
        <v>213</v>
      </c>
      <c r="B170" s="2" t="s">
        <v>47</v>
      </c>
      <c r="C170" s="2" t="s">
        <v>17</v>
      </c>
      <c r="D170" s="2" t="s">
        <v>12</v>
      </c>
      <c r="E170" s="5" t="n">
        <v>469000</v>
      </c>
      <c r="F170" s="5" t="n">
        <v>328300</v>
      </c>
      <c r="G170" s="5" t="n">
        <v>196980</v>
      </c>
      <c r="H170" s="5" t="n">
        <f aca="false">TRUE()</f>
        <v>1</v>
      </c>
      <c r="I170" s="6" t="n">
        <f aca="false">VLOOKUP(D170,Assumptions!$H$4:$I$5,2,FALSE())</f>
        <v>1</v>
      </c>
      <c r="J170" s="6" t="n">
        <f aca="false">MATCH(C170,Assumptions!$K$4:$K$6,0)</f>
        <v>2</v>
      </c>
      <c r="K170" s="6" t="n">
        <f aca="false">INDEX(Assumptions!$L$4:$L$6,J170)</f>
        <v>0.7</v>
      </c>
      <c r="L170" s="6" t="n">
        <f aca="false">IF(H170,ROUND(E170*K170,2),Assumptions!$B$11)</f>
        <v>328300</v>
      </c>
      <c r="M170" s="7" t="n">
        <f aca="false">ABS(F170-L170)</f>
        <v>0</v>
      </c>
      <c r="N170" s="6" t="n">
        <f aca="false">INT(E170/Assumptions!$B$12)</f>
        <v>4</v>
      </c>
    </row>
    <row r="171" customFormat="false" ht="15" hidden="false" customHeight="false" outlineLevel="0" collapsed="false">
      <c r="A171" s="2" t="s">
        <v>214</v>
      </c>
      <c r="B171" s="2" t="s">
        <v>47</v>
      </c>
      <c r="C171" s="2" t="s">
        <v>20</v>
      </c>
      <c r="D171" s="2" t="s">
        <v>16</v>
      </c>
      <c r="E171" s="5" t="n">
        <v>158000</v>
      </c>
      <c r="F171" s="5" t="n">
        <v>86900</v>
      </c>
      <c r="G171" s="5" t="n">
        <v>52140</v>
      </c>
      <c r="H171" s="5" t="n">
        <f aca="false">TRUE()</f>
        <v>1</v>
      </c>
      <c r="I171" s="6" t="n">
        <f aca="false">VLOOKUP(D171,Assumptions!$H$4:$I$5,2,FALSE())</f>
        <v>1.15</v>
      </c>
      <c r="J171" s="6" t="n">
        <f aca="false">MATCH(C171,Assumptions!$K$4:$K$6,0)</f>
        <v>3</v>
      </c>
      <c r="K171" s="6" t="n">
        <f aca="false">INDEX(Assumptions!$L$4:$L$6,J171)</f>
        <v>0.55</v>
      </c>
      <c r="L171" s="6" t="n">
        <f aca="false">IF(H171,ROUND(E171*K171,2),Assumptions!$B$11)</f>
        <v>86900</v>
      </c>
      <c r="M171" s="7" t="n">
        <f aca="false">ABS(F171-L171)</f>
        <v>0</v>
      </c>
      <c r="N171" s="6" t="n">
        <f aca="false">INT(E171/Assumptions!$B$12)</f>
        <v>1</v>
      </c>
    </row>
    <row r="172" customFormat="false" ht="15" hidden="false" customHeight="false" outlineLevel="0" collapsed="false">
      <c r="A172" s="2" t="s">
        <v>215</v>
      </c>
      <c r="B172" s="2" t="s">
        <v>47</v>
      </c>
      <c r="C172" s="2" t="s">
        <v>13</v>
      </c>
      <c r="D172" s="2" t="s">
        <v>12</v>
      </c>
      <c r="E172" s="5" t="n">
        <v>449000</v>
      </c>
      <c r="F172" s="5" t="n">
        <v>278380</v>
      </c>
      <c r="G172" s="5" t="n">
        <v>167028</v>
      </c>
      <c r="H172" s="5" t="n">
        <f aca="false">TRUE()</f>
        <v>1</v>
      </c>
      <c r="I172" s="6" t="n">
        <f aca="false">VLOOKUP(D172,Assumptions!$H$4:$I$5,2,FALSE())</f>
        <v>1</v>
      </c>
      <c r="J172" s="6" t="n">
        <f aca="false">MATCH(C172,Assumptions!$K$4:$K$6,0)</f>
        <v>1</v>
      </c>
      <c r="K172" s="6" t="n">
        <f aca="false">INDEX(Assumptions!$L$4:$L$6,J172)</f>
        <v>0.62</v>
      </c>
      <c r="L172" s="6" t="n">
        <f aca="false">IF(H172,ROUND(E172*K172,2),Assumptions!$B$11)</f>
        <v>278380</v>
      </c>
      <c r="M172" s="7" t="n">
        <f aca="false">ABS(F172-L172)</f>
        <v>0</v>
      </c>
      <c r="N172" s="6" t="n">
        <f aca="false">INT(E172/Assumptions!$B$12)</f>
        <v>4</v>
      </c>
    </row>
    <row r="173" customFormat="false" ht="15" hidden="false" customHeight="false" outlineLevel="0" collapsed="false">
      <c r="A173" s="2" t="s">
        <v>216</v>
      </c>
      <c r="B173" s="2" t="s">
        <v>47</v>
      </c>
      <c r="C173" s="2" t="s">
        <v>17</v>
      </c>
      <c r="D173" s="2" t="s">
        <v>12</v>
      </c>
      <c r="E173" s="5" t="n">
        <v>374000</v>
      </c>
      <c r="F173" s="5" t="n">
        <v>261800</v>
      </c>
      <c r="G173" s="5" t="n">
        <v>157080</v>
      </c>
      <c r="H173" s="5" t="n">
        <f aca="false">FALSE()</f>
        <v>0</v>
      </c>
      <c r="I173" s="6" t="n">
        <f aca="false">VLOOKUP(D173,Assumptions!$H$4:$I$5,2,FALSE())</f>
        <v>1</v>
      </c>
      <c r="J173" s="6" t="n">
        <f aca="false">MATCH(C173,Assumptions!$K$4:$K$6,0)</f>
        <v>2</v>
      </c>
      <c r="K173" s="6" t="n">
        <f aca="false">INDEX(Assumptions!$L$4:$L$6,J173)</f>
        <v>0.7</v>
      </c>
      <c r="L173" s="6" t="n">
        <f aca="false">IF(H173,ROUND(E173*K173,2),Assumptions!$B$11)</f>
        <v>0</v>
      </c>
      <c r="M173" s="7" t="n">
        <f aca="false">ABS(F173-L173)</f>
        <v>261800</v>
      </c>
      <c r="N173" s="6" t="n">
        <f aca="false">INT(E173/Assumptions!$B$12)</f>
        <v>3</v>
      </c>
    </row>
    <row r="174" customFormat="false" ht="15" hidden="false" customHeight="false" outlineLevel="0" collapsed="false">
      <c r="A174" s="2" t="s">
        <v>217</v>
      </c>
      <c r="B174" s="2" t="s">
        <v>47</v>
      </c>
      <c r="C174" s="2" t="s">
        <v>20</v>
      </c>
      <c r="D174" s="2" t="s">
        <v>12</v>
      </c>
      <c r="E174" s="5" t="n">
        <v>484000</v>
      </c>
      <c r="F174" s="5" t="n">
        <v>266200</v>
      </c>
      <c r="G174" s="5" t="n">
        <v>159720</v>
      </c>
      <c r="H174" s="5" t="n">
        <f aca="false">TRUE()</f>
        <v>1</v>
      </c>
      <c r="I174" s="6" t="n">
        <f aca="false">VLOOKUP(D174,Assumptions!$H$4:$I$5,2,FALSE())</f>
        <v>1</v>
      </c>
      <c r="J174" s="6" t="n">
        <f aca="false">MATCH(C174,Assumptions!$K$4:$K$6,0)</f>
        <v>3</v>
      </c>
      <c r="K174" s="6" t="n">
        <f aca="false">INDEX(Assumptions!$L$4:$L$6,J174)</f>
        <v>0.55</v>
      </c>
      <c r="L174" s="6" t="n">
        <f aca="false">IF(H174,ROUND(E174*K174,2),Assumptions!$B$11)</f>
        <v>266200</v>
      </c>
      <c r="M174" s="7" t="n">
        <f aca="false">ABS(F174-L174)</f>
        <v>0</v>
      </c>
      <c r="N174" s="6" t="n">
        <f aca="false">INT(E174/Assumptions!$B$12)</f>
        <v>4</v>
      </c>
    </row>
    <row r="175" customFormat="false" ht="15" hidden="false" customHeight="false" outlineLevel="0" collapsed="false">
      <c r="A175" s="2" t="s">
        <v>218</v>
      </c>
      <c r="B175" s="2" t="s">
        <v>47</v>
      </c>
      <c r="C175" s="2" t="s">
        <v>13</v>
      </c>
      <c r="D175" s="2" t="s">
        <v>16</v>
      </c>
      <c r="E175" s="5" t="n">
        <v>236000</v>
      </c>
      <c r="F175" s="5" t="n">
        <v>146320</v>
      </c>
      <c r="G175" s="5" t="n">
        <v>87792</v>
      </c>
      <c r="H175" s="5" t="n">
        <f aca="false">TRUE()</f>
        <v>1</v>
      </c>
      <c r="I175" s="6" t="n">
        <f aca="false">VLOOKUP(D175,Assumptions!$H$4:$I$5,2,FALSE())</f>
        <v>1.15</v>
      </c>
      <c r="J175" s="6" t="n">
        <f aca="false">MATCH(C175,Assumptions!$K$4:$K$6,0)</f>
        <v>1</v>
      </c>
      <c r="K175" s="6" t="n">
        <f aca="false">INDEX(Assumptions!$L$4:$L$6,J175)</f>
        <v>0.62</v>
      </c>
      <c r="L175" s="6" t="n">
        <f aca="false">IF(H175,ROUND(E175*K175,2),Assumptions!$B$11)</f>
        <v>146320</v>
      </c>
      <c r="M175" s="7" t="n">
        <f aca="false">ABS(F175-L175)</f>
        <v>0</v>
      </c>
      <c r="N175" s="6" t="n">
        <f aca="false">INT(E175/Assumptions!$B$12)</f>
        <v>2</v>
      </c>
    </row>
    <row r="176" customFormat="false" ht="15" hidden="false" customHeight="false" outlineLevel="0" collapsed="false">
      <c r="A176" s="2" t="s">
        <v>219</v>
      </c>
      <c r="B176" s="2" t="s">
        <v>47</v>
      </c>
      <c r="C176" s="2" t="s">
        <v>17</v>
      </c>
      <c r="D176" s="2" t="s">
        <v>12</v>
      </c>
      <c r="E176" s="5" t="n">
        <v>493000</v>
      </c>
      <c r="F176" s="5" t="n">
        <v>345100</v>
      </c>
      <c r="G176" s="5" t="n">
        <v>207060</v>
      </c>
      <c r="H176" s="5" t="n">
        <f aca="false">TRUE()</f>
        <v>1</v>
      </c>
      <c r="I176" s="6" t="n">
        <f aca="false">VLOOKUP(D176,Assumptions!$H$4:$I$5,2,FALSE())</f>
        <v>1</v>
      </c>
      <c r="J176" s="6" t="n">
        <f aca="false">MATCH(C176,Assumptions!$K$4:$K$6,0)</f>
        <v>2</v>
      </c>
      <c r="K176" s="6" t="n">
        <f aca="false">INDEX(Assumptions!$L$4:$L$6,J176)</f>
        <v>0.7</v>
      </c>
      <c r="L176" s="6" t="n">
        <f aca="false">IF(H176,ROUND(E176*K176,2),Assumptions!$B$11)</f>
        <v>345100</v>
      </c>
      <c r="M176" s="7" t="n">
        <f aca="false">ABS(F176-L176)</f>
        <v>0</v>
      </c>
      <c r="N176" s="6" t="n">
        <f aca="false">INT(E176/Assumptions!$B$12)</f>
        <v>4</v>
      </c>
    </row>
    <row r="177" customFormat="false" ht="15" hidden="false" customHeight="false" outlineLevel="0" collapsed="false">
      <c r="A177" s="2" t="s">
        <v>220</v>
      </c>
      <c r="B177" s="2" t="s">
        <v>47</v>
      </c>
      <c r="C177" s="2" t="s">
        <v>20</v>
      </c>
      <c r="D177" s="2" t="s">
        <v>12</v>
      </c>
      <c r="E177" s="5" t="n">
        <v>428000</v>
      </c>
      <c r="F177" s="5" t="n">
        <v>235400</v>
      </c>
      <c r="G177" s="5" t="n">
        <v>141240</v>
      </c>
      <c r="H177" s="5" t="n">
        <f aca="false">TRUE()</f>
        <v>1</v>
      </c>
      <c r="I177" s="6" t="n">
        <f aca="false">VLOOKUP(D177,Assumptions!$H$4:$I$5,2,FALSE())</f>
        <v>1</v>
      </c>
      <c r="J177" s="6" t="n">
        <f aca="false">MATCH(C177,Assumptions!$K$4:$K$6,0)</f>
        <v>3</v>
      </c>
      <c r="K177" s="6" t="n">
        <f aca="false">INDEX(Assumptions!$L$4:$L$6,J177)</f>
        <v>0.55</v>
      </c>
      <c r="L177" s="6" t="n">
        <f aca="false">IF(H177,ROUND(E177*K177,2),Assumptions!$B$11)</f>
        <v>235400</v>
      </c>
      <c r="M177" s="7" t="n">
        <f aca="false">ABS(F177-L177)</f>
        <v>0</v>
      </c>
      <c r="N177" s="6" t="n">
        <f aca="false">INT(E177/Assumptions!$B$12)</f>
        <v>4</v>
      </c>
    </row>
    <row r="178" customFormat="false" ht="15" hidden="false" customHeight="false" outlineLevel="0" collapsed="false">
      <c r="A178" s="2" t="s">
        <v>221</v>
      </c>
      <c r="B178" s="2" t="s">
        <v>47</v>
      </c>
      <c r="C178" s="2" t="s">
        <v>13</v>
      </c>
      <c r="D178" s="2" t="s">
        <v>12</v>
      </c>
      <c r="E178" s="5" t="n">
        <v>274000</v>
      </c>
      <c r="F178" s="5" t="n">
        <v>169880</v>
      </c>
      <c r="G178" s="5" t="n">
        <v>101928</v>
      </c>
      <c r="H178" s="5" t="n">
        <f aca="false">TRUE()</f>
        <v>1</v>
      </c>
      <c r="I178" s="6" t="n">
        <f aca="false">VLOOKUP(D178,Assumptions!$H$4:$I$5,2,FALSE())</f>
        <v>1</v>
      </c>
      <c r="J178" s="6" t="n">
        <f aca="false">MATCH(C178,Assumptions!$K$4:$K$6,0)</f>
        <v>1</v>
      </c>
      <c r="K178" s="6" t="n">
        <f aca="false">INDEX(Assumptions!$L$4:$L$6,J178)</f>
        <v>0.62</v>
      </c>
      <c r="L178" s="6" t="n">
        <f aca="false">IF(H178,ROUND(E178*K178,2),Assumptions!$B$11)</f>
        <v>169880</v>
      </c>
      <c r="M178" s="7" t="n">
        <f aca="false">ABS(F178-L178)</f>
        <v>0</v>
      </c>
      <c r="N178" s="6" t="n">
        <f aca="false">INT(E178/Assumptions!$B$12)</f>
        <v>2</v>
      </c>
    </row>
    <row r="179" customFormat="false" ht="15" hidden="false" customHeight="false" outlineLevel="0" collapsed="false">
      <c r="A179" s="2" t="s">
        <v>222</v>
      </c>
      <c r="B179" s="2" t="s">
        <v>47</v>
      </c>
      <c r="C179" s="2" t="s">
        <v>17</v>
      </c>
      <c r="D179" s="2" t="s">
        <v>16</v>
      </c>
      <c r="E179" s="5" t="n">
        <v>157000</v>
      </c>
      <c r="F179" s="5" t="n">
        <v>109900</v>
      </c>
      <c r="G179" s="5" t="n">
        <v>65940</v>
      </c>
      <c r="H179" s="5" t="n">
        <f aca="false">TRUE()</f>
        <v>1</v>
      </c>
      <c r="I179" s="6" t="n">
        <f aca="false">VLOOKUP(D179,Assumptions!$H$4:$I$5,2,FALSE())</f>
        <v>1.15</v>
      </c>
      <c r="J179" s="6" t="n">
        <f aca="false">MATCH(C179,Assumptions!$K$4:$K$6,0)</f>
        <v>2</v>
      </c>
      <c r="K179" s="6" t="n">
        <f aca="false">INDEX(Assumptions!$L$4:$L$6,J179)</f>
        <v>0.7</v>
      </c>
      <c r="L179" s="6" t="n">
        <f aca="false">IF(H179,ROUND(E179*K179,2),Assumptions!$B$11)</f>
        <v>109900</v>
      </c>
      <c r="M179" s="7" t="n">
        <f aca="false">ABS(F179-L179)</f>
        <v>0</v>
      </c>
      <c r="N179" s="6" t="n">
        <f aca="false">INT(E179/Assumptions!$B$12)</f>
        <v>1</v>
      </c>
    </row>
    <row r="180" customFormat="false" ht="15" hidden="false" customHeight="false" outlineLevel="0" collapsed="false">
      <c r="A180" s="2" t="s">
        <v>223</v>
      </c>
      <c r="B180" s="2" t="s">
        <v>47</v>
      </c>
      <c r="C180" s="2" t="s">
        <v>20</v>
      </c>
      <c r="D180" s="2" t="s">
        <v>12</v>
      </c>
      <c r="E180" s="5" t="n">
        <v>250000</v>
      </c>
      <c r="F180" s="5" t="n">
        <v>137500</v>
      </c>
      <c r="G180" s="5" t="n">
        <v>82500</v>
      </c>
      <c r="H180" s="5" t="n">
        <f aca="false">TRUE()</f>
        <v>1</v>
      </c>
      <c r="I180" s="6" t="n">
        <f aca="false">VLOOKUP(D180,Assumptions!$H$4:$I$5,2,FALSE())</f>
        <v>1</v>
      </c>
      <c r="J180" s="6" t="n">
        <f aca="false">MATCH(C180,Assumptions!$K$4:$K$6,0)</f>
        <v>3</v>
      </c>
      <c r="K180" s="6" t="n">
        <f aca="false">INDEX(Assumptions!$L$4:$L$6,J180)</f>
        <v>0.55</v>
      </c>
      <c r="L180" s="6" t="n">
        <f aca="false">IF(H180,ROUND(E180*K180,2),Assumptions!$B$11)</f>
        <v>137500</v>
      </c>
      <c r="M180" s="7" t="n">
        <f aca="false">ABS(F180-L180)</f>
        <v>0</v>
      </c>
      <c r="N180" s="6" t="n">
        <f aca="false">INT(E180/Assumptions!$B$12)</f>
        <v>2</v>
      </c>
    </row>
    <row r="181" customFormat="false" ht="15" hidden="false" customHeight="false" outlineLevel="0" collapsed="false">
      <c r="A181" s="2" t="s">
        <v>224</v>
      </c>
      <c r="B181" s="2" t="s">
        <v>47</v>
      </c>
      <c r="C181" s="2" t="s">
        <v>13</v>
      </c>
      <c r="D181" s="2" t="s">
        <v>12</v>
      </c>
      <c r="E181" s="5" t="n">
        <v>322000</v>
      </c>
      <c r="F181" s="5" t="n">
        <v>199640</v>
      </c>
      <c r="G181" s="5" t="n">
        <v>119784</v>
      </c>
      <c r="H181" s="5" t="n">
        <f aca="false">TRUE()</f>
        <v>1</v>
      </c>
      <c r="I181" s="6" t="n">
        <f aca="false">VLOOKUP(D181,Assumptions!$H$4:$I$5,2,FALSE())</f>
        <v>1</v>
      </c>
      <c r="J181" s="6" t="n">
        <f aca="false">MATCH(C181,Assumptions!$K$4:$K$6,0)</f>
        <v>1</v>
      </c>
      <c r="K181" s="6" t="n">
        <f aca="false">INDEX(Assumptions!$L$4:$L$6,J181)</f>
        <v>0.62</v>
      </c>
      <c r="L181" s="6" t="n">
        <f aca="false">IF(H181,ROUND(E181*K181,2),Assumptions!$B$11)</f>
        <v>199640</v>
      </c>
      <c r="M181" s="7" t="n">
        <f aca="false">ABS(F181-L181)</f>
        <v>0</v>
      </c>
      <c r="N181" s="6" t="n">
        <f aca="false">INT(E181/Assumptions!$B$12)</f>
        <v>3</v>
      </c>
    </row>
    <row r="182" customFormat="false" ht="15" hidden="false" customHeight="false" outlineLevel="0" collapsed="false">
      <c r="A182" s="2" t="s">
        <v>225</v>
      </c>
      <c r="B182" s="2" t="s">
        <v>47</v>
      </c>
      <c r="C182" s="2" t="s">
        <v>17</v>
      </c>
      <c r="D182" s="2" t="s">
        <v>12</v>
      </c>
      <c r="E182" s="5" t="n">
        <v>180000</v>
      </c>
      <c r="F182" s="5" t="n">
        <v>126000</v>
      </c>
      <c r="G182" s="5" t="n">
        <v>75600</v>
      </c>
      <c r="H182" s="5" t="n">
        <f aca="false">TRUE()</f>
        <v>1</v>
      </c>
      <c r="I182" s="6" t="n">
        <f aca="false">VLOOKUP(D182,Assumptions!$H$4:$I$5,2,FALSE())</f>
        <v>1</v>
      </c>
      <c r="J182" s="6" t="n">
        <f aca="false">MATCH(C182,Assumptions!$K$4:$K$6,0)</f>
        <v>2</v>
      </c>
      <c r="K182" s="6" t="n">
        <f aca="false">INDEX(Assumptions!$L$4:$L$6,J182)</f>
        <v>0.7</v>
      </c>
      <c r="L182" s="6" t="n">
        <f aca="false">IF(H182,ROUND(E182*K182,2),Assumptions!$B$11)</f>
        <v>126000</v>
      </c>
      <c r="M182" s="7" t="n">
        <f aca="false">ABS(F182-L182)</f>
        <v>0</v>
      </c>
      <c r="N182" s="6" t="n">
        <f aca="false">INT(E182/Assumptions!$B$12)</f>
        <v>1</v>
      </c>
    </row>
    <row r="183" customFormat="false" ht="15" hidden="false" customHeight="false" outlineLevel="0" collapsed="false">
      <c r="A183" s="2" t="s">
        <v>226</v>
      </c>
      <c r="B183" s="2" t="s">
        <v>47</v>
      </c>
      <c r="C183" s="2" t="s">
        <v>20</v>
      </c>
      <c r="D183" s="2" t="s">
        <v>16</v>
      </c>
      <c r="E183" s="5" t="n">
        <v>332000</v>
      </c>
      <c r="F183" s="5" t="n">
        <v>182600</v>
      </c>
      <c r="G183" s="5" t="n">
        <v>109560</v>
      </c>
      <c r="H183" s="5" t="n">
        <f aca="false">TRUE()</f>
        <v>1</v>
      </c>
      <c r="I183" s="6" t="n">
        <f aca="false">VLOOKUP(D183,Assumptions!$H$4:$I$5,2,FALSE())</f>
        <v>1.15</v>
      </c>
      <c r="J183" s="6" t="n">
        <f aca="false">MATCH(C183,Assumptions!$K$4:$K$6,0)</f>
        <v>3</v>
      </c>
      <c r="K183" s="6" t="n">
        <f aca="false">INDEX(Assumptions!$L$4:$L$6,J183)</f>
        <v>0.55</v>
      </c>
      <c r="L183" s="6" t="n">
        <f aca="false">IF(H183,ROUND(E183*K183,2),Assumptions!$B$11)</f>
        <v>182600</v>
      </c>
      <c r="M183" s="7" t="n">
        <f aca="false">ABS(F183-L183)</f>
        <v>0</v>
      </c>
      <c r="N183" s="6" t="n">
        <f aca="false">INT(E183/Assumptions!$B$12)</f>
        <v>3</v>
      </c>
    </row>
    <row r="184" customFormat="false" ht="15" hidden="false" customHeight="false" outlineLevel="0" collapsed="false">
      <c r="A184" s="2" t="s">
        <v>227</v>
      </c>
      <c r="B184" s="2" t="s">
        <v>47</v>
      </c>
      <c r="C184" s="2" t="s">
        <v>13</v>
      </c>
      <c r="D184" s="2" t="s">
        <v>12</v>
      </c>
      <c r="E184" s="5" t="n">
        <v>101000</v>
      </c>
      <c r="F184" s="5" t="n">
        <v>62620</v>
      </c>
      <c r="G184" s="5" t="n">
        <v>37572</v>
      </c>
      <c r="H184" s="5" t="n">
        <f aca="false">TRUE()</f>
        <v>1</v>
      </c>
      <c r="I184" s="6" t="n">
        <f aca="false">VLOOKUP(D184,Assumptions!$H$4:$I$5,2,FALSE())</f>
        <v>1</v>
      </c>
      <c r="J184" s="6" t="n">
        <f aca="false">MATCH(C184,Assumptions!$K$4:$K$6,0)</f>
        <v>1</v>
      </c>
      <c r="K184" s="6" t="n">
        <f aca="false">INDEX(Assumptions!$L$4:$L$6,J184)</f>
        <v>0.62</v>
      </c>
      <c r="L184" s="6" t="n">
        <f aca="false">IF(H184,ROUND(E184*K184,2),Assumptions!$B$11)</f>
        <v>62620</v>
      </c>
      <c r="M184" s="7" t="n">
        <f aca="false">ABS(F184-L184)</f>
        <v>0</v>
      </c>
      <c r="N184" s="6" t="n">
        <f aca="false">INT(E184/Assumptions!$B$12)</f>
        <v>1</v>
      </c>
    </row>
    <row r="185" customFormat="false" ht="15" hidden="false" customHeight="false" outlineLevel="0" collapsed="false">
      <c r="A185" s="2" t="s">
        <v>228</v>
      </c>
      <c r="B185" s="2" t="s">
        <v>47</v>
      </c>
      <c r="C185" s="2" t="s">
        <v>17</v>
      </c>
      <c r="D185" s="2" t="s">
        <v>12</v>
      </c>
      <c r="E185" s="5" t="n">
        <v>469000</v>
      </c>
      <c r="F185" s="5" t="n">
        <v>328300</v>
      </c>
      <c r="G185" s="5" t="n">
        <v>196980</v>
      </c>
      <c r="H185" s="5" t="n">
        <f aca="false">TRUE()</f>
        <v>1</v>
      </c>
      <c r="I185" s="6" t="n">
        <f aca="false">VLOOKUP(D185,Assumptions!$H$4:$I$5,2,FALSE())</f>
        <v>1</v>
      </c>
      <c r="J185" s="6" t="n">
        <f aca="false">MATCH(C185,Assumptions!$K$4:$K$6,0)</f>
        <v>2</v>
      </c>
      <c r="K185" s="6" t="n">
        <f aca="false">INDEX(Assumptions!$L$4:$L$6,J185)</f>
        <v>0.7</v>
      </c>
      <c r="L185" s="6" t="n">
        <f aca="false">IF(H185,ROUND(E185*K185,2),Assumptions!$B$11)</f>
        <v>328300</v>
      </c>
      <c r="M185" s="7" t="n">
        <f aca="false">ABS(F185-L185)</f>
        <v>0</v>
      </c>
      <c r="N185" s="6" t="n">
        <f aca="false">INT(E185/Assumptions!$B$12)</f>
        <v>4</v>
      </c>
    </row>
    <row r="186" customFormat="false" ht="15" hidden="false" customHeight="false" outlineLevel="0" collapsed="false">
      <c r="A186" s="2" t="s">
        <v>229</v>
      </c>
      <c r="B186" s="2" t="s">
        <v>47</v>
      </c>
      <c r="C186" s="2" t="s">
        <v>20</v>
      </c>
      <c r="D186" s="2" t="s">
        <v>12</v>
      </c>
      <c r="E186" s="5" t="n">
        <v>468000</v>
      </c>
      <c r="F186" s="5" t="n">
        <v>257400</v>
      </c>
      <c r="G186" s="5" t="n">
        <v>154440</v>
      </c>
      <c r="H186" s="5" t="n">
        <f aca="false">TRUE()</f>
        <v>1</v>
      </c>
      <c r="I186" s="6" t="n">
        <f aca="false">VLOOKUP(D186,Assumptions!$H$4:$I$5,2,FALSE())</f>
        <v>1</v>
      </c>
      <c r="J186" s="6" t="n">
        <f aca="false">MATCH(C186,Assumptions!$K$4:$K$6,0)</f>
        <v>3</v>
      </c>
      <c r="K186" s="6" t="n">
        <f aca="false">INDEX(Assumptions!$L$4:$L$6,J186)</f>
        <v>0.55</v>
      </c>
      <c r="L186" s="6" t="n">
        <f aca="false">IF(H186,ROUND(E186*K186,2),Assumptions!$B$11)</f>
        <v>257400</v>
      </c>
      <c r="M186" s="7" t="n">
        <f aca="false">ABS(F186-L186)</f>
        <v>0</v>
      </c>
      <c r="N186" s="6" t="n">
        <f aca="false">INT(E186/Assumptions!$B$12)</f>
        <v>4</v>
      </c>
    </row>
    <row r="187" customFormat="false" ht="15" hidden="false" customHeight="false" outlineLevel="0" collapsed="false">
      <c r="A187" s="2" t="s">
        <v>230</v>
      </c>
      <c r="B187" s="2" t="s">
        <v>47</v>
      </c>
      <c r="C187" s="2" t="s">
        <v>13</v>
      </c>
      <c r="D187" s="2" t="s">
        <v>16</v>
      </c>
      <c r="E187" s="5" t="n">
        <v>234000</v>
      </c>
      <c r="F187" s="5" t="n">
        <v>145080</v>
      </c>
      <c r="G187" s="5" t="n">
        <v>87048</v>
      </c>
      <c r="H187" s="5" t="n">
        <f aca="false">TRUE()</f>
        <v>1</v>
      </c>
      <c r="I187" s="6" t="n">
        <f aca="false">VLOOKUP(D187,Assumptions!$H$4:$I$5,2,FALSE())</f>
        <v>1.15</v>
      </c>
      <c r="J187" s="6" t="n">
        <f aca="false">MATCH(C187,Assumptions!$K$4:$K$6,0)</f>
        <v>1</v>
      </c>
      <c r="K187" s="6" t="n">
        <f aca="false">INDEX(Assumptions!$L$4:$L$6,J187)</f>
        <v>0.62</v>
      </c>
      <c r="L187" s="6" t="n">
        <f aca="false">IF(H187,ROUND(E187*K187,2),Assumptions!$B$11)</f>
        <v>145080</v>
      </c>
      <c r="M187" s="7" t="n">
        <f aca="false">ABS(F187-L187)</f>
        <v>0</v>
      </c>
      <c r="N187" s="6" t="n">
        <f aca="false">INT(E187/Assumptions!$B$12)</f>
        <v>2</v>
      </c>
    </row>
    <row r="188" customFormat="false" ht="15" hidden="false" customHeight="false" outlineLevel="0" collapsed="false">
      <c r="A188" s="2" t="s">
        <v>231</v>
      </c>
      <c r="B188" s="2" t="s">
        <v>47</v>
      </c>
      <c r="C188" s="2" t="s">
        <v>17</v>
      </c>
      <c r="D188" s="2" t="s">
        <v>12</v>
      </c>
      <c r="E188" s="5" t="n">
        <v>356000</v>
      </c>
      <c r="F188" s="5" t="n">
        <v>249200</v>
      </c>
      <c r="G188" s="5" t="n">
        <v>149520</v>
      </c>
      <c r="H188" s="5" t="n">
        <f aca="false">TRUE()</f>
        <v>1</v>
      </c>
      <c r="I188" s="6" t="n">
        <f aca="false">VLOOKUP(D188,Assumptions!$H$4:$I$5,2,FALSE())</f>
        <v>1</v>
      </c>
      <c r="J188" s="6" t="n">
        <f aca="false">MATCH(C188,Assumptions!$K$4:$K$6,0)</f>
        <v>2</v>
      </c>
      <c r="K188" s="6" t="n">
        <f aca="false">INDEX(Assumptions!$L$4:$L$6,J188)</f>
        <v>0.7</v>
      </c>
      <c r="L188" s="6" t="n">
        <f aca="false">IF(H188,ROUND(E188*K188,2),Assumptions!$B$11)</f>
        <v>249200</v>
      </c>
      <c r="M188" s="7" t="n">
        <f aca="false">ABS(F188-L188)</f>
        <v>0</v>
      </c>
      <c r="N188" s="6" t="n">
        <f aca="false">INT(E188/Assumptions!$B$12)</f>
        <v>3</v>
      </c>
    </row>
    <row r="189" customFormat="false" ht="15" hidden="false" customHeight="false" outlineLevel="0" collapsed="false">
      <c r="A189" s="2" t="s">
        <v>232</v>
      </c>
      <c r="B189" s="2" t="s">
        <v>47</v>
      </c>
      <c r="C189" s="2" t="s">
        <v>20</v>
      </c>
      <c r="D189" s="2" t="s">
        <v>12</v>
      </c>
      <c r="E189" s="5" t="n">
        <v>490000</v>
      </c>
      <c r="F189" s="5" t="n">
        <v>269500</v>
      </c>
      <c r="G189" s="5" t="n">
        <v>161700</v>
      </c>
      <c r="H189" s="5" t="n">
        <f aca="false">TRUE()</f>
        <v>1</v>
      </c>
      <c r="I189" s="6" t="n">
        <f aca="false">VLOOKUP(D189,Assumptions!$H$4:$I$5,2,FALSE())</f>
        <v>1</v>
      </c>
      <c r="J189" s="6" t="n">
        <f aca="false">MATCH(C189,Assumptions!$K$4:$K$6,0)</f>
        <v>3</v>
      </c>
      <c r="K189" s="6" t="n">
        <f aca="false">INDEX(Assumptions!$L$4:$L$6,J189)</f>
        <v>0.55</v>
      </c>
      <c r="L189" s="6" t="n">
        <f aca="false">IF(H189,ROUND(E189*K189,2),Assumptions!$B$11)</f>
        <v>269500</v>
      </c>
      <c r="M189" s="7" t="n">
        <f aca="false">ABS(F189-L189)</f>
        <v>0</v>
      </c>
      <c r="N189" s="6" t="n">
        <f aca="false">INT(E189/Assumptions!$B$12)</f>
        <v>4</v>
      </c>
    </row>
    <row r="190" customFormat="false" ht="15" hidden="false" customHeight="false" outlineLevel="0" collapsed="false">
      <c r="A190" s="2" t="s">
        <v>233</v>
      </c>
      <c r="B190" s="2" t="s">
        <v>47</v>
      </c>
      <c r="C190" s="2" t="s">
        <v>13</v>
      </c>
      <c r="D190" s="2" t="s">
        <v>12</v>
      </c>
      <c r="E190" s="5" t="n">
        <v>191000</v>
      </c>
      <c r="F190" s="5" t="n">
        <v>118420</v>
      </c>
      <c r="G190" s="5" t="n">
        <v>71052</v>
      </c>
      <c r="H190" s="5" t="n">
        <f aca="false">FALSE()</f>
        <v>0</v>
      </c>
      <c r="I190" s="6" t="n">
        <f aca="false">VLOOKUP(D190,Assumptions!$H$4:$I$5,2,FALSE())</f>
        <v>1</v>
      </c>
      <c r="J190" s="6" t="n">
        <f aca="false">MATCH(C190,Assumptions!$K$4:$K$6,0)</f>
        <v>1</v>
      </c>
      <c r="K190" s="6" t="n">
        <f aca="false">INDEX(Assumptions!$L$4:$L$6,J190)</f>
        <v>0.62</v>
      </c>
      <c r="L190" s="6" t="n">
        <f aca="false">IF(H190,ROUND(E190*K190,2),Assumptions!$B$11)</f>
        <v>0</v>
      </c>
      <c r="M190" s="7" t="n">
        <f aca="false">ABS(F190-L190)</f>
        <v>118420</v>
      </c>
      <c r="N190" s="6" t="n">
        <f aca="false">INT(E190/Assumptions!$B$12)</f>
        <v>1</v>
      </c>
    </row>
    <row r="191" customFormat="false" ht="15" hidden="false" customHeight="false" outlineLevel="0" collapsed="false">
      <c r="A191" s="2" t="s">
        <v>234</v>
      </c>
      <c r="B191" s="2" t="s">
        <v>47</v>
      </c>
      <c r="C191" s="2" t="s">
        <v>17</v>
      </c>
      <c r="D191" s="2" t="s">
        <v>16</v>
      </c>
      <c r="E191" s="5" t="n">
        <v>359000</v>
      </c>
      <c r="F191" s="5" t="n">
        <v>251300</v>
      </c>
      <c r="G191" s="5" t="n">
        <v>150780</v>
      </c>
      <c r="H191" s="5" t="n">
        <f aca="false">TRUE()</f>
        <v>1</v>
      </c>
      <c r="I191" s="6" t="n">
        <f aca="false">VLOOKUP(D191,Assumptions!$H$4:$I$5,2,FALSE())</f>
        <v>1.15</v>
      </c>
      <c r="J191" s="6" t="n">
        <f aca="false">MATCH(C191,Assumptions!$K$4:$K$6,0)</f>
        <v>2</v>
      </c>
      <c r="K191" s="6" t="n">
        <f aca="false">INDEX(Assumptions!$L$4:$L$6,J191)</f>
        <v>0.7</v>
      </c>
      <c r="L191" s="6" t="n">
        <f aca="false">IF(H191,ROUND(E191*K191,2),Assumptions!$B$11)</f>
        <v>251300</v>
      </c>
      <c r="M191" s="7" t="n">
        <f aca="false">ABS(F191-L191)</f>
        <v>0</v>
      </c>
      <c r="N191" s="6" t="n">
        <f aca="false">INT(E191/Assumptions!$B$12)</f>
        <v>3</v>
      </c>
    </row>
    <row r="192" customFormat="false" ht="15" hidden="false" customHeight="false" outlineLevel="0" collapsed="false">
      <c r="A192" s="2" t="s">
        <v>235</v>
      </c>
      <c r="B192" s="2" t="s">
        <v>47</v>
      </c>
      <c r="C192" s="2" t="s">
        <v>20</v>
      </c>
      <c r="D192" s="2" t="s">
        <v>12</v>
      </c>
      <c r="E192" s="5" t="n">
        <v>154000</v>
      </c>
      <c r="F192" s="5" t="n">
        <v>84700</v>
      </c>
      <c r="G192" s="5" t="n">
        <v>50820</v>
      </c>
      <c r="H192" s="5" t="n">
        <f aca="false">TRUE()</f>
        <v>1</v>
      </c>
      <c r="I192" s="6" t="n">
        <f aca="false">VLOOKUP(D192,Assumptions!$H$4:$I$5,2,FALSE())</f>
        <v>1</v>
      </c>
      <c r="J192" s="6" t="n">
        <f aca="false">MATCH(C192,Assumptions!$K$4:$K$6,0)</f>
        <v>3</v>
      </c>
      <c r="K192" s="6" t="n">
        <f aca="false">INDEX(Assumptions!$L$4:$L$6,J192)</f>
        <v>0.55</v>
      </c>
      <c r="L192" s="6" t="n">
        <f aca="false">IF(H192,ROUND(E192*K192,2),Assumptions!$B$11)</f>
        <v>84700</v>
      </c>
      <c r="M192" s="7" t="n">
        <f aca="false">ABS(F192-L192)</f>
        <v>0</v>
      </c>
      <c r="N192" s="6" t="n">
        <f aca="false">INT(E192/Assumptions!$B$12)</f>
        <v>1</v>
      </c>
    </row>
    <row r="193" customFormat="false" ht="15" hidden="false" customHeight="false" outlineLevel="0" collapsed="false">
      <c r="A193" s="2" t="s">
        <v>236</v>
      </c>
      <c r="B193" s="2" t="s">
        <v>47</v>
      </c>
      <c r="C193" s="2" t="s">
        <v>13</v>
      </c>
      <c r="D193" s="2" t="s">
        <v>12</v>
      </c>
      <c r="E193" s="5" t="n">
        <v>420000</v>
      </c>
      <c r="F193" s="5" t="n">
        <v>260400</v>
      </c>
      <c r="G193" s="5" t="n">
        <v>156240</v>
      </c>
      <c r="H193" s="5" t="n">
        <f aca="false">TRUE()</f>
        <v>1</v>
      </c>
      <c r="I193" s="6" t="n">
        <f aca="false">VLOOKUP(D193,Assumptions!$H$4:$I$5,2,FALSE())</f>
        <v>1</v>
      </c>
      <c r="J193" s="6" t="n">
        <f aca="false">MATCH(C193,Assumptions!$K$4:$K$6,0)</f>
        <v>1</v>
      </c>
      <c r="K193" s="6" t="n">
        <f aca="false">INDEX(Assumptions!$L$4:$L$6,J193)</f>
        <v>0.62</v>
      </c>
      <c r="L193" s="6" t="n">
        <f aca="false">IF(H193,ROUND(E193*K193,2),Assumptions!$B$11)</f>
        <v>260400</v>
      </c>
      <c r="M193" s="7" t="n">
        <f aca="false">ABS(F193-L193)</f>
        <v>0</v>
      </c>
      <c r="N193" s="6" t="n">
        <f aca="false">INT(E193/Assumptions!$B$12)</f>
        <v>4</v>
      </c>
    </row>
    <row r="194" customFormat="false" ht="15" hidden="false" customHeight="false" outlineLevel="0" collapsed="false">
      <c r="A194" s="2" t="s">
        <v>237</v>
      </c>
      <c r="B194" s="2" t="s">
        <v>47</v>
      </c>
      <c r="C194" s="2" t="s">
        <v>17</v>
      </c>
      <c r="D194" s="2" t="s">
        <v>12</v>
      </c>
      <c r="E194" s="5" t="n">
        <v>252000</v>
      </c>
      <c r="F194" s="5" t="n">
        <v>176400</v>
      </c>
      <c r="G194" s="5" t="n">
        <v>105840</v>
      </c>
      <c r="H194" s="5" t="n">
        <f aca="false">TRUE()</f>
        <v>1</v>
      </c>
      <c r="I194" s="6" t="n">
        <f aca="false">VLOOKUP(D194,Assumptions!$H$4:$I$5,2,FALSE())</f>
        <v>1</v>
      </c>
      <c r="J194" s="6" t="n">
        <f aca="false">MATCH(C194,Assumptions!$K$4:$K$6,0)</f>
        <v>2</v>
      </c>
      <c r="K194" s="6" t="n">
        <f aca="false">INDEX(Assumptions!$L$4:$L$6,J194)</f>
        <v>0.7</v>
      </c>
      <c r="L194" s="6" t="n">
        <f aca="false">IF(H194,ROUND(E194*K194,2),Assumptions!$B$11)</f>
        <v>176400</v>
      </c>
      <c r="M194" s="7" t="n">
        <f aca="false">ABS(F194-L194)</f>
        <v>0</v>
      </c>
      <c r="N194" s="6" t="n">
        <f aca="false">INT(E194/Assumptions!$B$12)</f>
        <v>2</v>
      </c>
    </row>
    <row r="195" customFormat="false" ht="15" hidden="false" customHeight="false" outlineLevel="0" collapsed="false">
      <c r="A195" s="2" t="s">
        <v>238</v>
      </c>
      <c r="B195" s="2" t="s">
        <v>47</v>
      </c>
      <c r="C195" s="2" t="s">
        <v>20</v>
      </c>
      <c r="D195" s="2" t="s">
        <v>16</v>
      </c>
      <c r="E195" s="5" t="n">
        <v>427000</v>
      </c>
      <c r="F195" s="5" t="n">
        <v>234850</v>
      </c>
      <c r="G195" s="5" t="n">
        <v>140910</v>
      </c>
      <c r="H195" s="5" t="n">
        <f aca="false">TRUE()</f>
        <v>1</v>
      </c>
      <c r="I195" s="6" t="n">
        <f aca="false">VLOOKUP(D195,Assumptions!$H$4:$I$5,2,FALSE())</f>
        <v>1.15</v>
      </c>
      <c r="J195" s="6" t="n">
        <f aca="false">MATCH(C195,Assumptions!$K$4:$K$6,0)</f>
        <v>3</v>
      </c>
      <c r="K195" s="6" t="n">
        <f aca="false">INDEX(Assumptions!$L$4:$L$6,J195)</f>
        <v>0.55</v>
      </c>
      <c r="L195" s="6" t="n">
        <f aca="false">IF(H195,ROUND(E195*K195,2),Assumptions!$B$11)</f>
        <v>234850</v>
      </c>
      <c r="M195" s="7" t="n">
        <f aca="false">ABS(F195-L195)</f>
        <v>0</v>
      </c>
      <c r="N195" s="6" t="n">
        <f aca="false">INT(E195/Assumptions!$B$12)</f>
        <v>4</v>
      </c>
    </row>
    <row r="196" customFormat="false" ht="15" hidden="false" customHeight="false" outlineLevel="0" collapsed="false">
      <c r="A196" s="2" t="s">
        <v>239</v>
      </c>
      <c r="B196" s="2" t="s">
        <v>47</v>
      </c>
      <c r="C196" s="2" t="s">
        <v>13</v>
      </c>
      <c r="D196" s="2" t="s">
        <v>12</v>
      </c>
      <c r="E196" s="5" t="n">
        <v>359000</v>
      </c>
      <c r="F196" s="5" t="n">
        <v>222580</v>
      </c>
      <c r="G196" s="5" t="n">
        <v>133548</v>
      </c>
      <c r="H196" s="5" t="n">
        <f aca="false">TRUE()</f>
        <v>1</v>
      </c>
      <c r="I196" s="6" t="n">
        <f aca="false">VLOOKUP(D196,Assumptions!$H$4:$I$5,2,FALSE())</f>
        <v>1</v>
      </c>
      <c r="J196" s="6" t="n">
        <f aca="false">MATCH(C196,Assumptions!$K$4:$K$6,0)</f>
        <v>1</v>
      </c>
      <c r="K196" s="6" t="n">
        <f aca="false">INDEX(Assumptions!$L$4:$L$6,J196)</f>
        <v>0.62</v>
      </c>
      <c r="L196" s="6" t="n">
        <f aca="false">IF(H196,ROUND(E196*K196,2),Assumptions!$B$11)</f>
        <v>222580</v>
      </c>
      <c r="M196" s="7" t="n">
        <f aca="false">ABS(F196-L196)</f>
        <v>0</v>
      </c>
      <c r="N196" s="6" t="n">
        <f aca="false">INT(E196/Assumptions!$B$12)</f>
        <v>3</v>
      </c>
    </row>
    <row r="197" customFormat="false" ht="15" hidden="false" customHeight="false" outlineLevel="0" collapsed="false">
      <c r="A197" s="2" t="s">
        <v>240</v>
      </c>
      <c r="B197" s="2" t="s">
        <v>47</v>
      </c>
      <c r="C197" s="2" t="s">
        <v>17</v>
      </c>
      <c r="D197" s="2" t="s">
        <v>12</v>
      </c>
      <c r="E197" s="5" t="n">
        <v>411000</v>
      </c>
      <c r="F197" s="5" t="n">
        <v>287700</v>
      </c>
      <c r="G197" s="5" t="n">
        <v>172620</v>
      </c>
      <c r="H197" s="5" t="n">
        <f aca="false">TRUE()</f>
        <v>1</v>
      </c>
      <c r="I197" s="6" t="n">
        <f aca="false">VLOOKUP(D197,Assumptions!$H$4:$I$5,2,FALSE())</f>
        <v>1</v>
      </c>
      <c r="J197" s="6" t="n">
        <f aca="false">MATCH(C197,Assumptions!$K$4:$K$6,0)</f>
        <v>2</v>
      </c>
      <c r="K197" s="6" t="n">
        <f aca="false">INDEX(Assumptions!$L$4:$L$6,J197)</f>
        <v>0.7</v>
      </c>
      <c r="L197" s="6" t="n">
        <f aca="false">IF(H197,ROUND(E197*K197,2),Assumptions!$B$11)</f>
        <v>287700</v>
      </c>
      <c r="M197" s="7" t="n">
        <f aca="false">ABS(F197-L197)</f>
        <v>0</v>
      </c>
      <c r="N197" s="6" t="n">
        <f aca="false">INT(E197/Assumptions!$B$12)</f>
        <v>4</v>
      </c>
    </row>
    <row r="198" customFormat="false" ht="15" hidden="false" customHeight="false" outlineLevel="0" collapsed="false">
      <c r="A198" s="2" t="s">
        <v>241</v>
      </c>
      <c r="B198" s="2" t="s">
        <v>47</v>
      </c>
      <c r="C198" s="2" t="s">
        <v>20</v>
      </c>
      <c r="D198" s="2" t="s">
        <v>12</v>
      </c>
      <c r="E198" s="5" t="n">
        <v>201000</v>
      </c>
      <c r="F198" s="5" t="n">
        <v>110550</v>
      </c>
      <c r="G198" s="5" t="n">
        <v>66330</v>
      </c>
      <c r="H198" s="5" t="n">
        <f aca="false">TRUE()</f>
        <v>1</v>
      </c>
      <c r="I198" s="6" t="n">
        <f aca="false">VLOOKUP(D198,Assumptions!$H$4:$I$5,2,FALSE())</f>
        <v>1</v>
      </c>
      <c r="J198" s="6" t="n">
        <f aca="false">MATCH(C198,Assumptions!$K$4:$K$6,0)</f>
        <v>3</v>
      </c>
      <c r="K198" s="6" t="n">
        <f aca="false">INDEX(Assumptions!$L$4:$L$6,J198)</f>
        <v>0.55</v>
      </c>
      <c r="L198" s="6" t="n">
        <f aca="false">IF(H198,ROUND(E198*K198,2),Assumptions!$B$11)</f>
        <v>110550</v>
      </c>
      <c r="M198" s="7" t="n">
        <f aca="false">ABS(F198-L198)</f>
        <v>0</v>
      </c>
      <c r="N198" s="6" t="n">
        <f aca="false">INT(E198/Assumptions!$B$12)</f>
        <v>2</v>
      </c>
    </row>
    <row r="199" customFormat="false" ht="15" hidden="false" customHeight="false" outlineLevel="0" collapsed="false">
      <c r="A199" s="2" t="s">
        <v>242</v>
      </c>
      <c r="B199" s="2" t="s">
        <v>47</v>
      </c>
      <c r="C199" s="2" t="s">
        <v>13</v>
      </c>
      <c r="D199" s="2" t="s">
        <v>16</v>
      </c>
      <c r="E199" s="5" t="n">
        <v>178000</v>
      </c>
      <c r="F199" s="5" t="n">
        <v>110360</v>
      </c>
      <c r="G199" s="5" t="n">
        <v>66216</v>
      </c>
      <c r="H199" s="5" t="n">
        <f aca="false">TRUE()</f>
        <v>1</v>
      </c>
      <c r="I199" s="6" t="n">
        <f aca="false">VLOOKUP(D199,Assumptions!$H$4:$I$5,2,FALSE())</f>
        <v>1.15</v>
      </c>
      <c r="J199" s="6" t="n">
        <f aca="false">MATCH(C199,Assumptions!$K$4:$K$6,0)</f>
        <v>1</v>
      </c>
      <c r="K199" s="6" t="n">
        <f aca="false">INDEX(Assumptions!$L$4:$L$6,J199)</f>
        <v>0.62</v>
      </c>
      <c r="L199" s="6" t="n">
        <f aca="false">IF(H199,ROUND(E199*K199,2),Assumptions!$B$11)</f>
        <v>110360</v>
      </c>
      <c r="M199" s="7" t="n">
        <f aca="false">ABS(F199-L199)</f>
        <v>0</v>
      </c>
      <c r="N199" s="6" t="n">
        <f aca="false">INT(E199/Assumptions!$B$12)</f>
        <v>1</v>
      </c>
    </row>
    <row r="200" customFormat="false" ht="15" hidden="false" customHeight="false" outlineLevel="0" collapsed="false">
      <c r="A200" s="2" t="s">
        <v>243</v>
      </c>
      <c r="B200" s="2" t="s">
        <v>47</v>
      </c>
      <c r="C200" s="2" t="s">
        <v>17</v>
      </c>
      <c r="D200" s="2" t="s">
        <v>12</v>
      </c>
      <c r="E200" s="5" t="n">
        <v>291000</v>
      </c>
      <c r="F200" s="5" t="n">
        <v>203700</v>
      </c>
      <c r="G200" s="5" t="n">
        <v>122220</v>
      </c>
      <c r="H200" s="5" t="n">
        <f aca="false">TRUE()</f>
        <v>1</v>
      </c>
      <c r="I200" s="6" t="n">
        <f aca="false">VLOOKUP(D200,Assumptions!$H$4:$I$5,2,FALSE())</f>
        <v>1</v>
      </c>
      <c r="J200" s="6" t="n">
        <f aca="false">MATCH(C200,Assumptions!$K$4:$K$6,0)</f>
        <v>2</v>
      </c>
      <c r="K200" s="6" t="n">
        <f aca="false">INDEX(Assumptions!$L$4:$L$6,J200)</f>
        <v>0.7</v>
      </c>
      <c r="L200" s="6" t="n">
        <f aca="false">IF(H200,ROUND(E200*K200,2),Assumptions!$B$11)</f>
        <v>203700</v>
      </c>
      <c r="M200" s="7" t="n">
        <f aca="false">ABS(F200-L200)</f>
        <v>0</v>
      </c>
      <c r="N200" s="6" t="n">
        <f aca="false">INT(E200/Assumptions!$B$12)</f>
        <v>2</v>
      </c>
    </row>
    <row r="201" customFormat="false" ht="15" hidden="false" customHeight="false" outlineLevel="0" collapsed="false">
      <c r="A201" s="2" t="s">
        <v>244</v>
      </c>
      <c r="B201" s="2" t="s">
        <v>47</v>
      </c>
      <c r="C201" s="2" t="s">
        <v>20</v>
      </c>
      <c r="D201" s="2" t="s">
        <v>12</v>
      </c>
      <c r="E201" s="5" t="n">
        <v>490000</v>
      </c>
      <c r="F201" s="5" t="n">
        <v>269500</v>
      </c>
      <c r="G201" s="5" t="n">
        <v>161700</v>
      </c>
      <c r="H201" s="5" t="n">
        <f aca="false">TRUE()</f>
        <v>1</v>
      </c>
      <c r="I201" s="6" t="n">
        <f aca="false">VLOOKUP(D201,Assumptions!$H$4:$I$5,2,FALSE())</f>
        <v>1</v>
      </c>
      <c r="J201" s="6" t="n">
        <f aca="false">MATCH(C201,Assumptions!$K$4:$K$6,0)</f>
        <v>3</v>
      </c>
      <c r="K201" s="6" t="n">
        <f aca="false">INDEX(Assumptions!$L$4:$L$6,J201)</f>
        <v>0.55</v>
      </c>
      <c r="L201" s="6" t="n">
        <f aca="false">IF(H201,ROUND(E201*K201,2),Assumptions!$B$11)</f>
        <v>269500</v>
      </c>
      <c r="M201" s="7" t="n">
        <f aca="false">ABS(F201-L201)</f>
        <v>0</v>
      </c>
      <c r="N201" s="6" t="n">
        <f aca="false">INT(E201/Assumptions!$B$12)</f>
        <v>4</v>
      </c>
    </row>
    <row r="202" customFormat="false" ht="15" hidden="false" customHeight="false" outlineLevel="0" collapsed="false">
      <c r="A202" s="2" t="s">
        <v>245</v>
      </c>
      <c r="B202" s="2" t="s">
        <v>47</v>
      </c>
      <c r="C202" s="2" t="s">
        <v>13</v>
      </c>
      <c r="D202" s="2" t="s">
        <v>12</v>
      </c>
      <c r="E202" s="5" t="n">
        <v>182000</v>
      </c>
      <c r="F202" s="5" t="n">
        <v>112840</v>
      </c>
      <c r="G202" s="5" t="n">
        <v>67704</v>
      </c>
      <c r="H202" s="5" t="n">
        <f aca="false">TRUE()</f>
        <v>1</v>
      </c>
      <c r="I202" s="6" t="n">
        <f aca="false">VLOOKUP(D202,Assumptions!$H$4:$I$5,2,FALSE())</f>
        <v>1</v>
      </c>
      <c r="J202" s="6" t="n">
        <f aca="false">MATCH(C202,Assumptions!$K$4:$K$6,0)</f>
        <v>1</v>
      </c>
      <c r="K202" s="6" t="n">
        <f aca="false">INDEX(Assumptions!$L$4:$L$6,J202)</f>
        <v>0.62</v>
      </c>
      <c r="L202" s="6" t="n">
        <f aca="false">IF(H202,ROUND(E202*K202,2),Assumptions!$B$11)</f>
        <v>112840</v>
      </c>
      <c r="M202" s="7" t="n">
        <f aca="false">ABS(F202-L202)</f>
        <v>0</v>
      </c>
      <c r="N202" s="6" t="n">
        <f aca="false">INT(E202/Assumptions!$B$12)</f>
        <v>1</v>
      </c>
    </row>
    <row r="203" customFormat="false" ht="15" hidden="false" customHeight="false" outlineLevel="0" collapsed="false">
      <c r="A203" s="2" t="s">
        <v>246</v>
      </c>
      <c r="B203" s="2" t="s">
        <v>47</v>
      </c>
      <c r="C203" s="2" t="s">
        <v>17</v>
      </c>
      <c r="D203" s="2" t="s">
        <v>16</v>
      </c>
      <c r="E203" s="5" t="n">
        <v>376000</v>
      </c>
      <c r="F203" s="5" t="n">
        <v>263200</v>
      </c>
      <c r="G203" s="5" t="n">
        <v>157920</v>
      </c>
      <c r="H203" s="5" t="n">
        <f aca="false">TRUE()</f>
        <v>1</v>
      </c>
      <c r="I203" s="6" t="n">
        <f aca="false">VLOOKUP(D203,Assumptions!$H$4:$I$5,2,FALSE())</f>
        <v>1.15</v>
      </c>
      <c r="J203" s="6" t="n">
        <f aca="false">MATCH(C203,Assumptions!$K$4:$K$6,0)</f>
        <v>2</v>
      </c>
      <c r="K203" s="6" t="n">
        <f aca="false">INDEX(Assumptions!$L$4:$L$6,J203)</f>
        <v>0.7</v>
      </c>
      <c r="L203" s="6" t="n">
        <f aca="false">IF(H203,ROUND(E203*K203,2),Assumptions!$B$11)</f>
        <v>263200</v>
      </c>
      <c r="M203" s="7" t="n">
        <f aca="false">ABS(F203-L203)</f>
        <v>0</v>
      </c>
      <c r="N203" s="6" t="n">
        <f aca="false">INT(E203/Assumptions!$B$12)</f>
        <v>3</v>
      </c>
    </row>
    <row r="204" customFormat="false" ht="15" hidden="false" customHeight="false" outlineLevel="0" collapsed="false">
      <c r="A204" s="2" t="s">
        <v>247</v>
      </c>
      <c r="B204" s="2" t="s">
        <v>47</v>
      </c>
      <c r="C204" s="2" t="s">
        <v>20</v>
      </c>
      <c r="D204" s="2" t="s">
        <v>12</v>
      </c>
      <c r="E204" s="5" t="n">
        <v>498000</v>
      </c>
      <c r="F204" s="5" t="n">
        <v>273900</v>
      </c>
      <c r="G204" s="5" t="n">
        <v>164340</v>
      </c>
      <c r="H204" s="5" t="n">
        <f aca="false">TRUE()</f>
        <v>1</v>
      </c>
      <c r="I204" s="6" t="n">
        <f aca="false">VLOOKUP(D204,Assumptions!$H$4:$I$5,2,FALSE())</f>
        <v>1</v>
      </c>
      <c r="J204" s="6" t="n">
        <f aca="false">MATCH(C204,Assumptions!$K$4:$K$6,0)</f>
        <v>3</v>
      </c>
      <c r="K204" s="6" t="n">
        <f aca="false">INDEX(Assumptions!$L$4:$L$6,J204)</f>
        <v>0.55</v>
      </c>
      <c r="L204" s="6" t="n">
        <f aca="false">IF(H204,ROUND(E204*K204,2),Assumptions!$B$11)</f>
        <v>273900</v>
      </c>
      <c r="M204" s="7" t="n">
        <f aca="false">ABS(F204-L204)</f>
        <v>0</v>
      </c>
      <c r="N204" s="6" t="n">
        <f aca="false">INT(E204/Assumptions!$B$12)</f>
        <v>4</v>
      </c>
    </row>
    <row r="205" customFormat="false" ht="15" hidden="false" customHeight="false" outlineLevel="0" collapsed="false">
      <c r="A205" s="2" t="s">
        <v>248</v>
      </c>
      <c r="B205" s="2" t="s">
        <v>47</v>
      </c>
      <c r="C205" s="2" t="s">
        <v>13</v>
      </c>
      <c r="D205" s="2" t="s">
        <v>12</v>
      </c>
      <c r="E205" s="5" t="n">
        <v>371000</v>
      </c>
      <c r="F205" s="5" t="n">
        <v>230020</v>
      </c>
      <c r="G205" s="5" t="n">
        <v>138012</v>
      </c>
      <c r="H205" s="5" t="n">
        <f aca="false">TRUE()</f>
        <v>1</v>
      </c>
      <c r="I205" s="6" t="n">
        <f aca="false">VLOOKUP(D205,Assumptions!$H$4:$I$5,2,FALSE())</f>
        <v>1</v>
      </c>
      <c r="J205" s="6" t="n">
        <f aca="false">MATCH(C205,Assumptions!$K$4:$K$6,0)</f>
        <v>1</v>
      </c>
      <c r="K205" s="6" t="n">
        <f aca="false">INDEX(Assumptions!$L$4:$L$6,J205)</f>
        <v>0.62</v>
      </c>
      <c r="L205" s="6" t="n">
        <f aca="false">IF(H205,ROUND(E205*K205,2),Assumptions!$B$11)</f>
        <v>230020</v>
      </c>
      <c r="M205" s="7" t="n">
        <f aca="false">ABS(F205-L205)</f>
        <v>0</v>
      </c>
      <c r="N205" s="6" t="n">
        <f aca="false">INT(E205/Assumptions!$B$12)</f>
        <v>3</v>
      </c>
    </row>
    <row r="206" customFormat="false" ht="15" hidden="false" customHeight="false" outlineLevel="0" collapsed="false">
      <c r="A206" s="2" t="s">
        <v>249</v>
      </c>
      <c r="B206" s="2" t="s">
        <v>47</v>
      </c>
      <c r="C206" s="2" t="s">
        <v>17</v>
      </c>
      <c r="D206" s="2" t="s">
        <v>12</v>
      </c>
      <c r="E206" s="5" t="n">
        <v>100000</v>
      </c>
      <c r="F206" s="5" t="n">
        <v>70000</v>
      </c>
      <c r="G206" s="5" t="n">
        <v>42000</v>
      </c>
      <c r="H206" s="5" t="n">
        <f aca="false">TRUE()</f>
        <v>1</v>
      </c>
      <c r="I206" s="6" t="n">
        <f aca="false">VLOOKUP(D206,Assumptions!$H$4:$I$5,2,FALSE())</f>
        <v>1</v>
      </c>
      <c r="J206" s="6" t="n">
        <f aca="false">MATCH(C206,Assumptions!$K$4:$K$6,0)</f>
        <v>2</v>
      </c>
      <c r="K206" s="6" t="n">
        <f aca="false">INDEX(Assumptions!$L$4:$L$6,J206)</f>
        <v>0.7</v>
      </c>
      <c r="L206" s="6" t="n">
        <f aca="false">IF(H206,ROUND(E206*K206,2),Assumptions!$B$11)</f>
        <v>70000</v>
      </c>
      <c r="M206" s="7" t="n">
        <f aca="false">ABS(F206-L206)</f>
        <v>0</v>
      </c>
      <c r="N206" s="6" t="n">
        <f aca="false">INT(E206/Assumptions!$B$12)</f>
        <v>1</v>
      </c>
    </row>
    <row r="207" customFormat="false" ht="15" hidden="false" customHeight="false" outlineLevel="0" collapsed="false">
      <c r="A207" s="2" t="s">
        <v>250</v>
      </c>
      <c r="B207" s="2" t="s">
        <v>47</v>
      </c>
      <c r="C207" s="2" t="s">
        <v>20</v>
      </c>
      <c r="D207" s="2" t="s">
        <v>16</v>
      </c>
      <c r="E207" s="5" t="n">
        <v>406000</v>
      </c>
      <c r="F207" s="5" t="n">
        <v>223300</v>
      </c>
      <c r="G207" s="5" t="n">
        <v>133980</v>
      </c>
      <c r="H207" s="5" t="n">
        <f aca="false">FALSE()</f>
        <v>0</v>
      </c>
      <c r="I207" s="6" t="n">
        <f aca="false">VLOOKUP(D207,Assumptions!$H$4:$I$5,2,FALSE())</f>
        <v>1.15</v>
      </c>
      <c r="J207" s="6" t="n">
        <f aca="false">MATCH(C207,Assumptions!$K$4:$K$6,0)</f>
        <v>3</v>
      </c>
      <c r="K207" s="6" t="n">
        <f aca="false">INDEX(Assumptions!$L$4:$L$6,J207)</f>
        <v>0.55</v>
      </c>
      <c r="L207" s="6" t="n">
        <f aca="false">IF(H207,ROUND(E207*K207,2),Assumptions!$B$11)</f>
        <v>0</v>
      </c>
      <c r="M207" s="7" t="n">
        <f aca="false">ABS(F207-L207)</f>
        <v>223300</v>
      </c>
      <c r="N207" s="6" t="n">
        <f aca="false">INT(E207/Assumptions!$B$12)</f>
        <v>4</v>
      </c>
    </row>
    <row r="208" customFormat="false" ht="15" hidden="false" customHeight="false" outlineLevel="0" collapsed="false">
      <c r="A208" s="2" t="s">
        <v>251</v>
      </c>
      <c r="B208" s="2" t="s">
        <v>47</v>
      </c>
      <c r="C208" s="2" t="s">
        <v>13</v>
      </c>
      <c r="D208" s="2" t="s">
        <v>12</v>
      </c>
      <c r="E208" s="5" t="n">
        <v>265000</v>
      </c>
      <c r="F208" s="5" t="n">
        <v>164300</v>
      </c>
      <c r="G208" s="5" t="n">
        <v>98580</v>
      </c>
      <c r="H208" s="5" t="n">
        <f aca="false">TRUE()</f>
        <v>1</v>
      </c>
      <c r="I208" s="6" t="n">
        <f aca="false">VLOOKUP(D208,Assumptions!$H$4:$I$5,2,FALSE())</f>
        <v>1</v>
      </c>
      <c r="J208" s="6" t="n">
        <f aca="false">MATCH(C208,Assumptions!$K$4:$K$6,0)</f>
        <v>1</v>
      </c>
      <c r="K208" s="6" t="n">
        <f aca="false">INDEX(Assumptions!$L$4:$L$6,J208)</f>
        <v>0.62</v>
      </c>
      <c r="L208" s="6" t="n">
        <f aca="false">IF(H208,ROUND(E208*K208,2),Assumptions!$B$11)</f>
        <v>164300</v>
      </c>
      <c r="M208" s="7" t="n">
        <f aca="false">ABS(F208-L208)</f>
        <v>0</v>
      </c>
      <c r="N208" s="6" t="n">
        <f aca="false">INT(E208/Assumptions!$B$12)</f>
        <v>2</v>
      </c>
    </row>
    <row r="209" customFormat="false" ht="15" hidden="false" customHeight="false" outlineLevel="0" collapsed="false">
      <c r="A209" s="2" t="s">
        <v>252</v>
      </c>
      <c r="B209" s="2" t="s">
        <v>47</v>
      </c>
      <c r="C209" s="2" t="s">
        <v>17</v>
      </c>
      <c r="D209" s="2" t="s">
        <v>12</v>
      </c>
      <c r="E209" s="5" t="n">
        <v>350000</v>
      </c>
      <c r="F209" s="5" t="n">
        <v>245000</v>
      </c>
      <c r="G209" s="5" t="n">
        <v>147000</v>
      </c>
      <c r="H209" s="5" t="n">
        <f aca="false">TRUE()</f>
        <v>1</v>
      </c>
      <c r="I209" s="6" t="n">
        <f aca="false">VLOOKUP(D209,Assumptions!$H$4:$I$5,2,FALSE())</f>
        <v>1</v>
      </c>
      <c r="J209" s="6" t="n">
        <f aca="false">MATCH(C209,Assumptions!$K$4:$K$6,0)</f>
        <v>2</v>
      </c>
      <c r="K209" s="6" t="n">
        <f aca="false">INDEX(Assumptions!$L$4:$L$6,J209)</f>
        <v>0.7</v>
      </c>
      <c r="L209" s="6" t="n">
        <f aca="false">IF(H209,ROUND(E209*K209,2),Assumptions!$B$11)</f>
        <v>245000</v>
      </c>
      <c r="M209" s="7" t="n">
        <f aca="false">ABS(F209-L209)</f>
        <v>0</v>
      </c>
      <c r="N209" s="6" t="n">
        <f aca="false">INT(E209/Assumptions!$B$12)</f>
        <v>3</v>
      </c>
    </row>
    <row r="210" customFormat="false" ht="15" hidden="false" customHeight="false" outlineLevel="0" collapsed="false">
      <c r="A210" s="2" t="s">
        <v>253</v>
      </c>
      <c r="B210" s="2" t="s">
        <v>47</v>
      </c>
      <c r="C210" s="2" t="s">
        <v>20</v>
      </c>
      <c r="D210" s="2" t="s">
        <v>12</v>
      </c>
      <c r="E210" s="5" t="n">
        <v>109000</v>
      </c>
      <c r="F210" s="5" t="n">
        <v>59950</v>
      </c>
      <c r="G210" s="5" t="n">
        <v>35970</v>
      </c>
      <c r="H210" s="5" t="n">
        <f aca="false">TRUE()</f>
        <v>1</v>
      </c>
      <c r="I210" s="6" t="n">
        <f aca="false">VLOOKUP(D210,Assumptions!$H$4:$I$5,2,FALSE())</f>
        <v>1</v>
      </c>
      <c r="J210" s="6" t="n">
        <f aca="false">MATCH(C210,Assumptions!$K$4:$K$6,0)</f>
        <v>3</v>
      </c>
      <c r="K210" s="6" t="n">
        <f aca="false">INDEX(Assumptions!$L$4:$L$6,J210)</f>
        <v>0.55</v>
      </c>
      <c r="L210" s="6" t="n">
        <f aca="false">IF(H210,ROUND(E210*K210,2),Assumptions!$B$11)</f>
        <v>59950</v>
      </c>
      <c r="M210" s="7" t="n">
        <f aca="false">ABS(F210-L210)</f>
        <v>0</v>
      </c>
      <c r="N210" s="6" t="n">
        <f aca="false">INT(E210/Assumptions!$B$12)</f>
        <v>1</v>
      </c>
    </row>
    <row r="211" customFormat="false" ht="15" hidden="false" customHeight="false" outlineLevel="0" collapsed="false">
      <c r="A211" s="2" t="s">
        <v>254</v>
      </c>
      <c r="B211" s="2" t="s">
        <v>47</v>
      </c>
      <c r="C211" s="2" t="s">
        <v>13</v>
      </c>
      <c r="D211" s="2" t="s">
        <v>16</v>
      </c>
      <c r="E211" s="5" t="n">
        <v>157000</v>
      </c>
      <c r="F211" s="5" t="n">
        <v>97340</v>
      </c>
      <c r="G211" s="5" t="n">
        <v>58404</v>
      </c>
      <c r="H211" s="5" t="n">
        <f aca="false">TRUE()</f>
        <v>1</v>
      </c>
      <c r="I211" s="6" t="n">
        <f aca="false">VLOOKUP(D211,Assumptions!$H$4:$I$5,2,FALSE())</f>
        <v>1.15</v>
      </c>
      <c r="J211" s="6" t="n">
        <f aca="false">MATCH(C211,Assumptions!$K$4:$K$6,0)</f>
        <v>1</v>
      </c>
      <c r="K211" s="6" t="n">
        <f aca="false">INDEX(Assumptions!$L$4:$L$6,J211)</f>
        <v>0.62</v>
      </c>
      <c r="L211" s="6" t="n">
        <f aca="false">IF(H211,ROUND(E211*K211,2),Assumptions!$B$11)</f>
        <v>97340</v>
      </c>
      <c r="M211" s="7" t="n">
        <f aca="false">ABS(F211-L211)</f>
        <v>0</v>
      </c>
      <c r="N211" s="6" t="n">
        <f aca="false">INT(E211/Assumptions!$B$12)</f>
        <v>1</v>
      </c>
    </row>
    <row r="212" customFormat="false" ht="15" hidden="false" customHeight="false" outlineLevel="0" collapsed="false">
      <c r="A212" s="2" t="s">
        <v>255</v>
      </c>
      <c r="B212" s="2" t="s">
        <v>47</v>
      </c>
      <c r="C212" s="2" t="s">
        <v>17</v>
      </c>
      <c r="D212" s="2" t="s">
        <v>12</v>
      </c>
      <c r="E212" s="5" t="n">
        <v>285000</v>
      </c>
      <c r="F212" s="5" t="n">
        <v>199500</v>
      </c>
      <c r="G212" s="5" t="n">
        <v>119700</v>
      </c>
      <c r="H212" s="5" t="n">
        <f aca="false">TRUE()</f>
        <v>1</v>
      </c>
      <c r="I212" s="6" t="n">
        <f aca="false">VLOOKUP(D212,Assumptions!$H$4:$I$5,2,FALSE())</f>
        <v>1</v>
      </c>
      <c r="J212" s="6" t="n">
        <f aca="false">MATCH(C212,Assumptions!$K$4:$K$6,0)</f>
        <v>2</v>
      </c>
      <c r="K212" s="6" t="n">
        <f aca="false">INDEX(Assumptions!$L$4:$L$6,J212)</f>
        <v>0.7</v>
      </c>
      <c r="L212" s="6" t="n">
        <f aca="false">IF(H212,ROUND(E212*K212,2),Assumptions!$B$11)</f>
        <v>199500</v>
      </c>
      <c r="M212" s="7" t="n">
        <f aca="false">ABS(F212-L212)</f>
        <v>0</v>
      </c>
      <c r="N212" s="6" t="n">
        <f aca="false">INT(E212/Assumptions!$B$12)</f>
        <v>2</v>
      </c>
    </row>
    <row r="213" customFormat="false" ht="15" hidden="false" customHeight="false" outlineLevel="0" collapsed="false">
      <c r="A213" s="2" t="s">
        <v>256</v>
      </c>
      <c r="B213" s="2" t="s">
        <v>47</v>
      </c>
      <c r="C213" s="2" t="s">
        <v>20</v>
      </c>
      <c r="D213" s="2" t="s">
        <v>12</v>
      </c>
      <c r="E213" s="5" t="n">
        <v>257000</v>
      </c>
      <c r="F213" s="5" t="n">
        <v>141350</v>
      </c>
      <c r="G213" s="5" t="n">
        <v>84810</v>
      </c>
      <c r="H213" s="5" t="n">
        <f aca="false">TRUE()</f>
        <v>1</v>
      </c>
      <c r="I213" s="6" t="n">
        <f aca="false">VLOOKUP(D213,Assumptions!$H$4:$I$5,2,FALSE())</f>
        <v>1</v>
      </c>
      <c r="J213" s="6" t="n">
        <f aca="false">MATCH(C213,Assumptions!$K$4:$K$6,0)</f>
        <v>3</v>
      </c>
      <c r="K213" s="6" t="n">
        <f aca="false">INDEX(Assumptions!$L$4:$L$6,J213)</f>
        <v>0.55</v>
      </c>
      <c r="L213" s="6" t="n">
        <f aca="false">IF(H213,ROUND(E213*K213,2),Assumptions!$B$11)</f>
        <v>141350</v>
      </c>
      <c r="M213" s="7" t="n">
        <f aca="false">ABS(F213-L213)</f>
        <v>0</v>
      </c>
      <c r="N213" s="6" t="n">
        <f aca="false">INT(E213/Assumptions!$B$12)</f>
        <v>2</v>
      </c>
    </row>
    <row r="214" customFormat="false" ht="15" hidden="false" customHeight="false" outlineLevel="0" collapsed="false">
      <c r="A214" s="2" t="s">
        <v>257</v>
      </c>
      <c r="B214" s="2" t="s">
        <v>47</v>
      </c>
      <c r="C214" s="2" t="s">
        <v>13</v>
      </c>
      <c r="D214" s="2" t="s">
        <v>12</v>
      </c>
      <c r="E214" s="5" t="n">
        <v>222000</v>
      </c>
      <c r="F214" s="5" t="n">
        <v>137640</v>
      </c>
      <c r="G214" s="5" t="n">
        <v>82584</v>
      </c>
      <c r="H214" s="5" t="n">
        <f aca="false">TRUE()</f>
        <v>1</v>
      </c>
      <c r="I214" s="6" t="n">
        <f aca="false">VLOOKUP(D214,Assumptions!$H$4:$I$5,2,FALSE())</f>
        <v>1</v>
      </c>
      <c r="J214" s="6" t="n">
        <f aca="false">MATCH(C214,Assumptions!$K$4:$K$6,0)</f>
        <v>1</v>
      </c>
      <c r="K214" s="6" t="n">
        <f aca="false">INDEX(Assumptions!$L$4:$L$6,J214)</f>
        <v>0.62</v>
      </c>
      <c r="L214" s="6" t="n">
        <f aca="false">IF(H214,ROUND(E214*K214,2),Assumptions!$B$11)</f>
        <v>137640</v>
      </c>
      <c r="M214" s="7" t="n">
        <f aca="false">ABS(F214-L214)</f>
        <v>0</v>
      </c>
      <c r="N214" s="6" t="n">
        <f aca="false">INT(E214/Assumptions!$B$12)</f>
        <v>2</v>
      </c>
    </row>
    <row r="215" customFormat="false" ht="15" hidden="false" customHeight="false" outlineLevel="0" collapsed="false">
      <c r="A215" s="2" t="s">
        <v>258</v>
      </c>
      <c r="B215" s="2" t="s">
        <v>47</v>
      </c>
      <c r="C215" s="2" t="s">
        <v>17</v>
      </c>
      <c r="D215" s="2" t="s">
        <v>16</v>
      </c>
      <c r="E215" s="5" t="n">
        <v>129000</v>
      </c>
      <c r="F215" s="5" t="n">
        <v>90300</v>
      </c>
      <c r="G215" s="5" t="n">
        <v>54180</v>
      </c>
      <c r="H215" s="5" t="n">
        <f aca="false">TRUE()</f>
        <v>1</v>
      </c>
      <c r="I215" s="6" t="n">
        <f aca="false">VLOOKUP(D215,Assumptions!$H$4:$I$5,2,FALSE())</f>
        <v>1.15</v>
      </c>
      <c r="J215" s="6" t="n">
        <f aca="false">MATCH(C215,Assumptions!$K$4:$K$6,0)</f>
        <v>2</v>
      </c>
      <c r="K215" s="6" t="n">
        <f aca="false">INDEX(Assumptions!$L$4:$L$6,J215)</f>
        <v>0.7</v>
      </c>
      <c r="L215" s="6" t="n">
        <f aca="false">IF(H215,ROUND(E215*K215,2),Assumptions!$B$11)</f>
        <v>90300</v>
      </c>
      <c r="M215" s="7" t="n">
        <f aca="false">ABS(F215-L215)</f>
        <v>0</v>
      </c>
      <c r="N215" s="6" t="n">
        <f aca="false">INT(E215/Assumptions!$B$12)</f>
        <v>1</v>
      </c>
    </row>
    <row r="216" customFormat="false" ht="15" hidden="false" customHeight="false" outlineLevel="0" collapsed="false">
      <c r="A216" s="2" t="s">
        <v>259</v>
      </c>
      <c r="B216" s="2" t="s">
        <v>47</v>
      </c>
      <c r="C216" s="2" t="s">
        <v>20</v>
      </c>
      <c r="D216" s="2" t="s">
        <v>12</v>
      </c>
      <c r="E216" s="5" t="n">
        <v>223000</v>
      </c>
      <c r="F216" s="5" t="n">
        <v>122650</v>
      </c>
      <c r="G216" s="5" t="n">
        <v>73590</v>
      </c>
      <c r="H216" s="5" t="n">
        <f aca="false">TRUE()</f>
        <v>1</v>
      </c>
      <c r="I216" s="6" t="n">
        <f aca="false">VLOOKUP(D216,Assumptions!$H$4:$I$5,2,FALSE())</f>
        <v>1</v>
      </c>
      <c r="J216" s="6" t="n">
        <f aca="false">MATCH(C216,Assumptions!$K$4:$K$6,0)</f>
        <v>3</v>
      </c>
      <c r="K216" s="6" t="n">
        <f aca="false">INDEX(Assumptions!$L$4:$L$6,J216)</f>
        <v>0.55</v>
      </c>
      <c r="L216" s="6" t="n">
        <f aca="false">IF(H216,ROUND(E216*K216,2),Assumptions!$B$11)</f>
        <v>122650</v>
      </c>
      <c r="M216" s="7" t="n">
        <f aca="false">ABS(F216-L216)</f>
        <v>0</v>
      </c>
      <c r="N216" s="6" t="n">
        <f aca="false">INT(E216/Assumptions!$B$12)</f>
        <v>2</v>
      </c>
    </row>
    <row r="217" customFormat="false" ht="15" hidden="false" customHeight="false" outlineLevel="0" collapsed="false">
      <c r="A217" s="2" t="s">
        <v>260</v>
      </c>
      <c r="B217" s="2" t="s">
        <v>47</v>
      </c>
      <c r="C217" s="2" t="s">
        <v>13</v>
      </c>
      <c r="D217" s="2" t="s">
        <v>12</v>
      </c>
      <c r="E217" s="5" t="n">
        <v>390000</v>
      </c>
      <c r="F217" s="5" t="n">
        <v>241800</v>
      </c>
      <c r="G217" s="5" t="n">
        <v>145080</v>
      </c>
      <c r="H217" s="5" t="n">
        <f aca="false">TRUE()</f>
        <v>1</v>
      </c>
      <c r="I217" s="6" t="n">
        <f aca="false">VLOOKUP(D217,Assumptions!$H$4:$I$5,2,FALSE())</f>
        <v>1</v>
      </c>
      <c r="J217" s="6" t="n">
        <f aca="false">MATCH(C217,Assumptions!$K$4:$K$6,0)</f>
        <v>1</v>
      </c>
      <c r="K217" s="6" t="n">
        <f aca="false">INDEX(Assumptions!$L$4:$L$6,J217)</f>
        <v>0.62</v>
      </c>
      <c r="L217" s="6" t="n">
        <f aca="false">IF(H217,ROUND(E217*K217,2),Assumptions!$B$11)</f>
        <v>241800</v>
      </c>
      <c r="M217" s="7" t="n">
        <f aca="false">ABS(F217-L217)</f>
        <v>0</v>
      </c>
      <c r="N217" s="6" t="n">
        <f aca="false">INT(E217/Assumptions!$B$12)</f>
        <v>3</v>
      </c>
    </row>
    <row r="218" customFormat="false" ht="15" hidden="false" customHeight="false" outlineLevel="0" collapsed="false">
      <c r="A218" s="2" t="s">
        <v>261</v>
      </c>
      <c r="B218" s="2" t="s">
        <v>47</v>
      </c>
      <c r="C218" s="2" t="s">
        <v>17</v>
      </c>
      <c r="D218" s="2" t="s">
        <v>12</v>
      </c>
      <c r="E218" s="5" t="n">
        <v>140000</v>
      </c>
      <c r="F218" s="5" t="n">
        <v>98000</v>
      </c>
      <c r="G218" s="5" t="n">
        <v>58800</v>
      </c>
      <c r="H218" s="5" t="n">
        <f aca="false">TRUE()</f>
        <v>1</v>
      </c>
      <c r="I218" s="6" t="n">
        <f aca="false">VLOOKUP(D218,Assumptions!$H$4:$I$5,2,FALSE())</f>
        <v>1</v>
      </c>
      <c r="J218" s="6" t="n">
        <f aca="false">MATCH(C218,Assumptions!$K$4:$K$6,0)</f>
        <v>2</v>
      </c>
      <c r="K218" s="6" t="n">
        <f aca="false">INDEX(Assumptions!$L$4:$L$6,J218)</f>
        <v>0.7</v>
      </c>
      <c r="L218" s="6" t="n">
        <f aca="false">IF(H218,ROUND(E218*K218,2),Assumptions!$B$11)</f>
        <v>98000</v>
      </c>
      <c r="M218" s="7" t="n">
        <f aca="false">ABS(F218-L218)</f>
        <v>0</v>
      </c>
      <c r="N218" s="6" t="n">
        <f aca="false">INT(E218/Assumptions!$B$12)</f>
        <v>1</v>
      </c>
    </row>
    <row r="219" customFormat="false" ht="15" hidden="false" customHeight="false" outlineLevel="0" collapsed="false">
      <c r="A219" s="2" t="s">
        <v>262</v>
      </c>
      <c r="B219" s="2" t="s">
        <v>47</v>
      </c>
      <c r="C219" s="2" t="s">
        <v>20</v>
      </c>
      <c r="D219" s="2" t="s">
        <v>16</v>
      </c>
      <c r="E219" s="5" t="n">
        <v>143000</v>
      </c>
      <c r="F219" s="5" t="n">
        <v>78650</v>
      </c>
      <c r="G219" s="5" t="n">
        <v>47190</v>
      </c>
      <c r="H219" s="5" t="n">
        <f aca="false">TRUE()</f>
        <v>1</v>
      </c>
      <c r="I219" s="6" t="n">
        <f aca="false">VLOOKUP(D219,Assumptions!$H$4:$I$5,2,FALSE())</f>
        <v>1.15</v>
      </c>
      <c r="J219" s="6" t="n">
        <f aca="false">MATCH(C219,Assumptions!$K$4:$K$6,0)</f>
        <v>3</v>
      </c>
      <c r="K219" s="6" t="n">
        <f aca="false">INDEX(Assumptions!$L$4:$L$6,J219)</f>
        <v>0.55</v>
      </c>
      <c r="L219" s="6" t="n">
        <f aca="false">IF(H219,ROUND(E219*K219,2),Assumptions!$B$11)</f>
        <v>78650</v>
      </c>
      <c r="M219" s="7" t="n">
        <f aca="false">ABS(F219-L219)</f>
        <v>0</v>
      </c>
      <c r="N219" s="6" t="n">
        <f aca="false">INT(E219/Assumptions!$B$12)</f>
        <v>1</v>
      </c>
    </row>
    <row r="220" customFormat="false" ht="15" hidden="false" customHeight="false" outlineLevel="0" collapsed="false">
      <c r="A220" s="2" t="s">
        <v>263</v>
      </c>
      <c r="B220" s="2" t="s">
        <v>47</v>
      </c>
      <c r="C220" s="2" t="s">
        <v>13</v>
      </c>
      <c r="D220" s="2" t="s">
        <v>12</v>
      </c>
      <c r="E220" s="5" t="n">
        <v>474000</v>
      </c>
      <c r="F220" s="5" t="n">
        <v>293880</v>
      </c>
      <c r="G220" s="5" t="n">
        <v>176328</v>
      </c>
      <c r="H220" s="5" t="n">
        <f aca="false">TRUE()</f>
        <v>1</v>
      </c>
      <c r="I220" s="6" t="n">
        <f aca="false">VLOOKUP(D220,Assumptions!$H$4:$I$5,2,FALSE())</f>
        <v>1</v>
      </c>
      <c r="J220" s="6" t="n">
        <f aca="false">MATCH(C220,Assumptions!$K$4:$K$6,0)</f>
        <v>1</v>
      </c>
      <c r="K220" s="6" t="n">
        <f aca="false">INDEX(Assumptions!$L$4:$L$6,J220)</f>
        <v>0.62</v>
      </c>
      <c r="L220" s="6" t="n">
        <f aca="false">IF(H220,ROUND(E220*K220,2),Assumptions!$B$11)</f>
        <v>293880</v>
      </c>
      <c r="M220" s="7" t="n">
        <f aca="false">ABS(F220-L220)</f>
        <v>0</v>
      </c>
      <c r="N220" s="6" t="n">
        <f aca="false">INT(E220/Assumptions!$B$12)</f>
        <v>4</v>
      </c>
    </row>
    <row r="221" customFormat="false" ht="15" hidden="false" customHeight="false" outlineLevel="0" collapsed="false">
      <c r="A221" s="2" t="s">
        <v>264</v>
      </c>
      <c r="B221" s="2" t="s">
        <v>47</v>
      </c>
      <c r="C221" s="2" t="s">
        <v>17</v>
      </c>
      <c r="D221" s="2" t="s">
        <v>12</v>
      </c>
      <c r="E221" s="5" t="n">
        <v>348000</v>
      </c>
      <c r="F221" s="5" t="n">
        <v>243600</v>
      </c>
      <c r="G221" s="5" t="n">
        <v>146160</v>
      </c>
      <c r="H221" s="5" t="n">
        <f aca="false">TRUE()</f>
        <v>1</v>
      </c>
      <c r="I221" s="6" t="n">
        <f aca="false">VLOOKUP(D221,Assumptions!$H$4:$I$5,2,FALSE())</f>
        <v>1</v>
      </c>
      <c r="J221" s="6" t="n">
        <f aca="false">MATCH(C221,Assumptions!$K$4:$K$6,0)</f>
        <v>2</v>
      </c>
      <c r="K221" s="6" t="n">
        <f aca="false">INDEX(Assumptions!$L$4:$L$6,J221)</f>
        <v>0.7</v>
      </c>
      <c r="L221" s="6" t="n">
        <f aca="false">IF(H221,ROUND(E221*K221,2),Assumptions!$B$11)</f>
        <v>243600</v>
      </c>
      <c r="M221" s="7" t="n">
        <f aca="false">ABS(F221-L221)</f>
        <v>0</v>
      </c>
      <c r="N221" s="6" t="n">
        <f aca="false">INT(E221/Assumptions!$B$12)</f>
        <v>3</v>
      </c>
    </row>
    <row r="222" customFormat="false" ht="15" hidden="false" customHeight="false" outlineLevel="0" collapsed="false">
      <c r="A222" s="2" t="s">
        <v>265</v>
      </c>
      <c r="B222" s="2" t="s">
        <v>47</v>
      </c>
      <c r="C222" s="2" t="s">
        <v>20</v>
      </c>
      <c r="D222" s="2" t="s">
        <v>12</v>
      </c>
      <c r="E222" s="5" t="n">
        <v>135000</v>
      </c>
      <c r="F222" s="5" t="n">
        <v>74250</v>
      </c>
      <c r="G222" s="5" t="n">
        <v>44550</v>
      </c>
      <c r="H222" s="5" t="n">
        <f aca="false">TRUE()</f>
        <v>1</v>
      </c>
      <c r="I222" s="6" t="n">
        <f aca="false">VLOOKUP(D222,Assumptions!$H$4:$I$5,2,FALSE())</f>
        <v>1</v>
      </c>
      <c r="J222" s="6" t="n">
        <f aca="false">MATCH(C222,Assumptions!$K$4:$K$6,0)</f>
        <v>3</v>
      </c>
      <c r="K222" s="6" t="n">
        <f aca="false">INDEX(Assumptions!$L$4:$L$6,J222)</f>
        <v>0.55</v>
      </c>
      <c r="L222" s="6" t="n">
        <f aca="false">IF(H222,ROUND(E222*K222,2),Assumptions!$B$11)</f>
        <v>74250</v>
      </c>
      <c r="M222" s="7" t="n">
        <f aca="false">ABS(F222-L222)</f>
        <v>0</v>
      </c>
      <c r="N222" s="6" t="n">
        <f aca="false">INT(E222/Assumptions!$B$12)</f>
        <v>1</v>
      </c>
    </row>
    <row r="223" customFormat="false" ht="15" hidden="false" customHeight="false" outlineLevel="0" collapsed="false">
      <c r="A223" s="2" t="s">
        <v>266</v>
      </c>
      <c r="B223" s="2" t="s">
        <v>47</v>
      </c>
      <c r="C223" s="2" t="s">
        <v>13</v>
      </c>
      <c r="D223" s="2" t="s">
        <v>16</v>
      </c>
      <c r="E223" s="5" t="n">
        <v>489000</v>
      </c>
      <c r="F223" s="5" t="n">
        <v>303180</v>
      </c>
      <c r="G223" s="5" t="n">
        <v>181908</v>
      </c>
      <c r="H223" s="5" t="n">
        <f aca="false">TRUE()</f>
        <v>1</v>
      </c>
      <c r="I223" s="6" t="n">
        <f aca="false">VLOOKUP(D223,Assumptions!$H$4:$I$5,2,FALSE())</f>
        <v>1.15</v>
      </c>
      <c r="J223" s="6" t="n">
        <f aca="false">MATCH(C223,Assumptions!$K$4:$K$6,0)</f>
        <v>1</v>
      </c>
      <c r="K223" s="6" t="n">
        <f aca="false">INDEX(Assumptions!$L$4:$L$6,J223)</f>
        <v>0.62</v>
      </c>
      <c r="L223" s="6" t="n">
        <f aca="false">IF(H223,ROUND(E223*K223,2),Assumptions!$B$11)</f>
        <v>303180</v>
      </c>
      <c r="M223" s="7" t="n">
        <f aca="false">ABS(F223-L223)</f>
        <v>0</v>
      </c>
      <c r="N223" s="6" t="n">
        <f aca="false">INT(E223/Assumptions!$B$12)</f>
        <v>4</v>
      </c>
    </row>
    <row r="224" customFormat="false" ht="15" hidden="false" customHeight="false" outlineLevel="0" collapsed="false">
      <c r="A224" s="2" t="s">
        <v>267</v>
      </c>
      <c r="B224" s="2" t="s">
        <v>47</v>
      </c>
      <c r="C224" s="2" t="s">
        <v>17</v>
      </c>
      <c r="D224" s="2" t="s">
        <v>12</v>
      </c>
      <c r="E224" s="5" t="n">
        <v>372000</v>
      </c>
      <c r="F224" s="5" t="n">
        <v>260400</v>
      </c>
      <c r="G224" s="5" t="n">
        <v>156240</v>
      </c>
      <c r="H224" s="5" t="n">
        <f aca="false">FALSE()</f>
        <v>0</v>
      </c>
      <c r="I224" s="6" t="n">
        <f aca="false">VLOOKUP(D224,Assumptions!$H$4:$I$5,2,FALSE())</f>
        <v>1</v>
      </c>
      <c r="J224" s="6" t="n">
        <f aca="false">MATCH(C224,Assumptions!$K$4:$K$6,0)</f>
        <v>2</v>
      </c>
      <c r="K224" s="6" t="n">
        <f aca="false">INDEX(Assumptions!$L$4:$L$6,J224)</f>
        <v>0.7</v>
      </c>
      <c r="L224" s="6" t="n">
        <f aca="false">IF(H224,ROUND(E224*K224,2),Assumptions!$B$11)</f>
        <v>0</v>
      </c>
      <c r="M224" s="7" t="n">
        <f aca="false">ABS(F224-L224)</f>
        <v>260400</v>
      </c>
      <c r="N224" s="6" t="n">
        <f aca="false">INT(E224/Assumptions!$B$12)</f>
        <v>3</v>
      </c>
    </row>
    <row r="225" customFormat="false" ht="15" hidden="false" customHeight="false" outlineLevel="0" collapsed="false">
      <c r="A225" s="2" t="s">
        <v>268</v>
      </c>
      <c r="B225" s="2" t="s">
        <v>47</v>
      </c>
      <c r="C225" s="2" t="s">
        <v>20</v>
      </c>
      <c r="D225" s="2" t="s">
        <v>12</v>
      </c>
      <c r="E225" s="5" t="n">
        <v>492000</v>
      </c>
      <c r="F225" s="5" t="n">
        <v>270600</v>
      </c>
      <c r="G225" s="5" t="n">
        <v>162360</v>
      </c>
      <c r="H225" s="5" t="n">
        <f aca="false">TRUE()</f>
        <v>1</v>
      </c>
      <c r="I225" s="6" t="n">
        <f aca="false">VLOOKUP(D225,Assumptions!$H$4:$I$5,2,FALSE())</f>
        <v>1</v>
      </c>
      <c r="J225" s="6" t="n">
        <f aca="false">MATCH(C225,Assumptions!$K$4:$K$6,0)</f>
        <v>3</v>
      </c>
      <c r="K225" s="6" t="n">
        <f aca="false">INDEX(Assumptions!$L$4:$L$6,J225)</f>
        <v>0.55</v>
      </c>
      <c r="L225" s="6" t="n">
        <f aca="false">IF(H225,ROUND(E225*K225,2),Assumptions!$B$11)</f>
        <v>270600</v>
      </c>
      <c r="M225" s="7" t="n">
        <f aca="false">ABS(F225-L225)</f>
        <v>0</v>
      </c>
      <c r="N225" s="6" t="n">
        <f aca="false">INT(E225/Assumptions!$B$12)</f>
        <v>4</v>
      </c>
    </row>
    <row r="226" customFormat="false" ht="15" hidden="false" customHeight="false" outlineLevel="0" collapsed="false">
      <c r="A226" s="2" t="s">
        <v>269</v>
      </c>
      <c r="B226" s="2" t="s">
        <v>47</v>
      </c>
      <c r="C226" s="2" t="s">
        <v>13</v>
      </c>
      <c r="D226" s="2" t="s">
        <v>12</v>
      </c>
      <c r="E226" s="5" t="n">
        <v>164000</v>
      </c>
      <c r="F226" s="5" t="n">
        <v>101680</v>
      </c>
      <c r="G226" s="5" t="n">
        <v>61008</v>
      </c>
      <c r="H226" s="5" t="n">
        <f aca="false">TRUE()</f>
        <v>1</v>
      </c>
      <c r="I226" s="6" t="n">
        <f aca="false">VLOOKUP(D226,Assumptions!$H$4:$I$5,2,FALSE())</f>
        <v>1</v>
      </c>
      <c r="J226" s="6" t="n">
        <f aca="false">MATCH(C226,Assumptions!$K$4:$K$6,0)</f>
        <v>1</v>
      </c>
      <c r="K226" s="6" t="n">
        <f aca="false">INDEX(Assumptions!$L$4:$L$6,J226)</f>
        <v>0.62</v>
      </c>
      <c r="L226" s="6" t="n">
        <f aca="false">IF(H226,ROUND(E226*K226,2),Assumptions!$B$11)</f>
        <v>101680</v>
      </c>
      <c r="M226" s="7" t="n">
        <f aca="false">ABS(F226-L226)</f>
        <v>0</v>
      </c>
      <c r="N226" s="6" t="n">
        <f aca="false">INT(E226/Assumptions!$B$12)</f>
        <v>1</v>
      </c>
    </row>
    <row r="227" customFormat="false" ht="15" hidden="false" customHeight="false" outlineLevel="0" collapsed="false">
      <c r="A227" s="2" t="s">
        <v>270</v>
      </c>
      <c r="B227" s="2" t="s">
        <v>47</v>
      </c>
      <c r="C227" s="2" t="s">
        <v>17</v>
      </c>
      <c r="D227" s="2" t="s">
        <v>16</v>
      </c>
      <c r="E227" s="5" t="n">
        <v>165000</v>
      </c>
      <c r="F227" s="5" t="n">
        <v>115500</v>
      </c>
      <c r="G227" s="5" t="n">
        <v>69300</v>
      </c>
      <c r="H227" s="5" t="n">
        <f aca="false">TRUE()</f>
        <v>1</v>
      </c>
      <c r="I227" s="6" t="n">
        <f aca="false">VLOOKUP(D227,Assumptions!$H$4:$I$5,2,FALSE())</f>
        <v>1.15</v>
      </c>
      <c r="J227" s="6" t="n">
        <f aca="false">MATCH(C227,Assumptions!$K$4:$K$6,0)</f>
        <v>2</v>
      </c>
      <c r="K227" s="6" t="n">
        <f aca="false">INDEX(Assumptions!$L$4:$L$6,J227)</f>
        <v>0.7</v>
      </c>
      <c r="L227" s="6" t="n">
        <f aca="false">IF(H227,ROUND(E227*K227,2),Assumptions!$B$11)</f>
        <v>115500</v>
      </c>
      <c r="M227" s="7" t="n">
        <f aca="false">ABS(F227-L227)</f>
        <v>0</v>
      </c>
      <c r="N227" s="6" t="n">
        <f aca="false">INT(E227/Assumptions!$B$12)</f>
        <v>1</v>
      </c>
    </row>
    <row r="228" customFormat="false" ht="15" hidden="false" customHeight="false" outlineLevel="0" collapsed="false">
      <c r="A228" s="2" t="s">
        <v>271</v>
      </c>
      <c r="B228" s="2" t="s">
        <v>47</v>
      </c>
      <c r="C228" s="2" t="s">
        <v>20</v>
      </c>
      <c r="D228" s="2" t="s">
        <v>12</v>
      </c>
      <c r="E228" s="5" t="n">
        <v>437000</v>
      </c>
      <c r="F228" s="5" t="n">
        <v>240350</v>
      </c>
      <c r="G228" s="5" t="n">
        <v>144210</v>
      </c>
      <c r="H228" s="5" t="n">
        <f aca="false">TRUE()</f>
        <v>1</v>
      </c>
      <c r="I228" s="6" t="n">
        <f aca="false">VLOOKUP(D228,Assumptions!$H$4:$I$5,2,FALSE())</f>
        <v>1</v>
      </c>
      <c r="J228" s="6" t="n">
        <f aca="false">MATCH(C228,Assumptions!$K$4:$K$6,0)</f>
        <v>3</v>
      </c>
      <c r="K228" s="6" t="n">
        <f aca="false">INDEX(Assumptions!$L$4:$L$6,J228)</f>
        <v>0.55</v>
      </c>
      <c r="L228" s="6" t="n">
        <f aca="false">IF(H228,ROUND(E228*K228,2),Assumptions!$B$11)</f>
        <v>240350</v>
      </c>
      <c r="M228" s="7" t="n">
        <f aca="false">ABS(F228-L228)</f>
        <v>0</v>
      </c>
      <c r="N228" s="6" t="n">
        <f aca="false">INT(E228/Assumptions!$B$12)</f>
        <v>4</v>
      </c>
    </row>
    <row r="229" customFormat="false" ht="15" hidden="false" customHeight="false" outlineLevel="0" collapsed="false">
      <c r="A229" s="2" t="s">
        <v>272</v>
      </c>
      <c r="B229" s="2" t="s">
        <v>47</v>
      </c>
      <c r="C229" s="2" t="s">
        <v>13</v>
      </c>
      <c r="D229" s="2" t="s">
        <v>12</v>
      </c>
      <c r="E229" s="5" t="n">
        <v>343000</v>
      </c>
      <c r="F229" s="5" t="n">
        <v>212660</v>
      </c>
      <c r="G229" s="5" t="n">
        <v>127596</v>
      </c>
      <c r="H229" s="5" t="n">
        <f aca="false">TRUE()</f>
        <v>1</v>
      </c>
      <c r="I229" s="6" t="n">
        <f aca="false">VLOOKUP(D229,Assumptions!$H$4:$I$5,2,FALSE())</f>
        <v>1</v>
      </c>
      <c r="J229" s="6" t="n">
        <f aca="false">MATCH(C229,Assumptions!$K$4:$K$6,0)</f>
        <v>1</v>
      </c>
      <c r="K229" s="6" t="n">
        <f aca="false">INDEX(Assumptions!$L$4:$L$6,J229)</f>
        <v>0.62</v>
      </c>
      <c r="L229" s="6" t="n">
        <f aca="false">IF(H229,ROUND(E229*K229,2),Assumptions!$B$11)</f>
        <v>212660</v>
      </c>
      <c r="M229" s="7" t="n">
        <f aca="false">ABS(F229-L229)</f>
        <v>0</v>
      </c>
      <c r="N229" s="6" t="n">
        <f aca="false">INT(E229/Assumptions!$B$12)</f>
        <v>3</v>
      </c>
    </row>
    <row r="230" customFormat="false" ht="15" hidden="false" customHeight="false" outlineLevel="0" collapsed="false">
      <c r="A230" s="2" t="s">
        <v>273</v>
      </c>
      <c r="B230" s="2" t="s">
        <v>47</v>
      </c>
      <c r="C230" s="2" t="s">
        <v>17</v>
      </c>
      <c r="D230" s="2" t="s">
        <v>12</v>
      </c>
      <c r="E230" s="5" t="n">
        <v>381000</v>
      </c>
      <c r="F230" s="5" t="n">
        <v>266700</v>
      </c>
      <c r="G230" s="5" t="n">
        <v>160020</v>
      </c>
      <c r="H230" s="5" t="n">
        <f aca="false">TRUE()</f>
        <v>1</v>
      </c>
      <c r="I230" s="6" t="n">
        <f aca="false">VLOOKUP(D230,Assumptions!$H$4:$I$5,2,FALSE())</f>
        <v>1</v>
      </c>
      <c r="J230" s="6" t="n">
        <f aca="false">MATCH(C230,Assumptions!$K$4:$K$6,0)</f>
        <v>2</v>
      </c>
      <c r="K230" s="6" t="n">
        <f aca="false">INDEX(Assumptions!$L$4:$L$6,J230)</f>
        <v>0.7</v>
      </c>
      <c r="L230" s="6" t="n">
        <f aca="false">IF(H230,ROUND(E230*K230,2),Assumptions!$B$11)</f>
        <v>266700</v>
      </c>
      <c r="M230" s="7" t="n">
        <f aca="false">ABS(F230-L230)</f>
        <v>0</v>
      </c>
      <c r="N230" s="6" t="n">
        <f aca="false">INT(E230/Assumptions!$B$12)</f>
        <v>3</v>
      </c>
    </row>
    <row r="231" customFormat="false" ht="15" hidden="false" customHeight="false" outlineLevel="0" collapsed="false">
      <c r="A231" s="2" t="s">
        <v>274</v>
      </c>
      <c r="B231" s="2" t="s">
        <v>47</v>
      </c>
      <c r="C231" s="2" t="s">
        <v>20</v>
      </c>
      <c r="D231" s="2" t="s">
        <v>16</v>
      </c>
      <c r="E231" s="5" t="n">
        <v>184000</v>
      </c>
      <c r="F231" s="5" t="n">
        <v>101200</v>
      </c>
      <c r="G231" s="5" t="n">
        <v>60720</v>
      </c>
      <c r="H231" s="5" t="n">
        <f aca="false">TRUE()</f>
        <v>1</v>
      </c>
      <c r="I231" s="6" t="n">
        <f aca="false">VLOOKUP(D231,Assumptions!$H$4:$I$5,2,FALSE())</f>
        <v>1.15</v>
      </c>
      <c r="J231" s="6" t="n">
        <f aca="false">MATCH(C231,Assumptions!$K$4:$K$6,0)</f>
        <v>3</v>
      </c>
      <c r="K231" s="6" t="n">
        <f aca="false">INDEX(Assumptions!$L$4:$L$6,J231)</f>
        <v>0.55</v>
      </c>
      <c r="L231" s="6" t="n">
        <f aca="false">IF(H231,ROUND(E231*K231,2),Assumptions!$B$11)</f>
        <v>101200</v>
      </c>
      <c r="M231" s="7" t="n">
        <f aca="false">ABS(F231-L231)</f>
        <v>0</v>
      </c>
      <c r="N231" s="6" t="n">
        <f aca="false">INT(E231/Assumptions!$B$12)</f>
        <v>1</v>
      </c>
    </row>
    <row r="232" customFormat="false" ht="15" hidden="false" customHeight="false" outlineLevel="0" collapsed="false">
      <c r="A232" s="2" t="s">
        <v>275</v>
      </c>
      <c r="B232" s="2" t="s">
        <v>47</v>
      </c>
      <c r="C232" s="2" t="s">
        <v>13</v>
      </c>
      <c r="D232" s="2" t="s">
        <v>12</v>
      </c>
      <c r="E232" s="5" t="n">
        <v>235000</v>
      </c>
      <c r="F232" s="5" t="n">
        <v>145700</v>
      </c>
      <c r="G232" s="5" t="n">
        <v>87420</v>
      </c>
      <c r="H232" s="5" t="n">
        <f aca="false">TRUE()</f>
        <v>1</v>
      </c>
      <c r="I232" s="6" t="n">
        <f aca="false">VLOOKUP(D232,Assumptions!$H$4:$I$5,2,FALSE())</f>
        <v>1</v>
      </c>
      <c r="J232" s="6" t="n">
        <f aca="false">MATCH(C232,Assumptions!$K$4:$K$6,0)</f>
        <v>1</v>
      </c>
      <c r="K232" s="6" t="n">
        <f aca="false">INDEX(Assumptions!$L$4:$L$6,J232)</f>
        <v>0.62</v>
      </c>
      <c r="L232" s="6" t="n">
        <f aca="false">IF(H232,ROUND(E232*K232,2),Assumptions!$B$11)</f>
        <v>145700</v>
      </c>
      <c r="M232" s="7" t="n">
        <f aca="false">ABS(F232-L232)</f>
        <v>0</v>
      </c>
      <c r="N232" s="6" t="n">
        <f aca="false">INT(E232/Assumptions!$B$12)</f>
        <v>2</v>
      </c>
    </row>
    <row r="233" customFormat="false" ht="15" hidden="false" customHeight="false" outlineLevel="0" collapsed="false">
      <c r="A233" s="2" t="s">
        <v>276</v>
      </c>
      <c r="B233" s="2" t="s">
        <v>47</v>
      </c>
      <c r="C233" s="2" t="s">
        <v>17</v>
      </c>
      <c r="D233" s="2" t="s">
        <v>12</v>
      </c>
      <c r="E233" s="5" t="n">
        <v>370000</v>
      </c>
      <c r="F233" s="5" t="n">
        <v>259000</v>
      </c>
      <c r="G233" s="5" t="n">
        <v>155400</v>
      </c>
      <c r="H233" s="5" t="n">
        <f aca="false">TRUE()</f>
        <v>1</v>
      </c>
      <c r="I233" s="6" t="n">
        <f aca="false">VLOOKUP(D233,Assumptions!$H$4:$I$5,2,FALSE())</f>
        <v>1</v>
      </c>
      <c r="J233" s="6" t="n">
        <f aca="false">MATCH(C233,Assumptions!$K$4:$K$6,0)</f>
        <v>2</v>
      </c>
      <c r="K233" s="6" t="n">
        <f aca="false">INDEX(Assumptions!$L$4:$L$6,J233)</f>
        <v>0.7</v>
      </c>
      <c r="L233" s="6" t="n">
        <f aca="false">IF(H233,ROUND(E233*K233,2),Assumptions!$B$11)</f>
        <v>259000</v>
      </c>
      <c r="M233" s="7" t="n">
        <f aca="false">ABS(F233-L233)</f>
        <v>0</v>
      </c>
      <c r="N233" s="6" t="n">
        <f aca="false">INT(E233/Assumptions!$B$12)</f>
        <v>3</v>
      </c>
    </row>
    <row r="234" customFormat="false" ht="15" hidden="false" customHeight="false" outlineLevel="0" collapsed="false">
      <c r="A234" s="2" t="s">
        <v>277</v>
      </c>
      <c r="B234" s="2" t="s">
        <v>47</v>
      </c>
      <c r="C234" s="2" t="s">
        <v>20</v>
      </c>
      <c r="D234" s="2" t="s">
        <v>12</v>
      </c>
      <c r="E234" s="5" t="n">
        <v>410000</v>
      </c>
      <c r="F234" s="5" t="n">
        <v>225500</v>
      </c>
      <c r="G234" s="5" t="n">
        <v>135300</v>
      </c>
      <c r="H234" s="5" t="n">
        <f aca="false">TRUE()</f>
        <v>1</v>
      </c>
      <c r="I234" s="6" t="n">
        <f aca="false">VLOOKUP(D234,Assumptions!$H$4:$I$5,2,FALSE())</f>
        <v>1</v>
      </c>
      <c r="J234" s="6" t="n">
        <f aca="false">MATCH(C234,Assumptions!$K$4:$K$6,0)</f>
        <v>3</v>
      </c>
      <c r="K234" s="6" t="n">
        <f aca="false">INDEX(Assumptions!$L$4:$L$6,J234)</f>
        <v>0.55</v>
      </c>
      <c r="L234" s="6" t="n">
        <f aca="false">IF(H234,ROUND(E234*K234,2),Assumptions!$B$11)</f>
        <v>225500</v>
      </c>
      <c r="M234" s="7" t="n">
        <f aca="false">ABS(F234-L234)</f>
        <v>0</v>
      </c>
      <c r="N234" s="6" t="n">
        <f aca="false">INT(E234/Assumptions!$B$12)</f>
        <v>4</v>
      </c>
    </row>
    <row r="235" customFormat="false" ht="15" hidden="false" customHeight="false" outlineLevel="0" collapsed="false">
      <c r="A235" s="2" t="s">
        <v>278</v>
      </c>
      <c r="B235" s="2" t="s">
        <v>47</v>
      </c>
      <c r="C235" s="2" t="s">
        <v>13</v>
      </c>
      <c r="D235" s="2" t="s">
        <v>16</v>
      </c>
      <c r="E235" s="5" t="n">
        <v>316000</v>
      </c>
      <c r="F235" s="5" t="n">
        <v>195920</v>
      </c>
      <c r="G235" s="5" t="n">
        <v>117552</v>
      </c>
      <c r="H235" s="5" t="n">
        <f aca="false">TRUE()</f>
        <v>1</v>
      </c>
      <c r="I235" s="6" t="n">
        <f aca="false">VLOOKUP(D235,Assumptions!$H$4:$I$5,2,FALSE())</f>
        <v>1.15</v>
      </c>
      <c r="J235" s="6" t="n">
        <f aca="false">MATCH(C235,Assumptions!$K$4:$K$6,0)</f>
        <v>1</v>
      </c>
      <c r="K235" s="6" t="n">
        <f aca="false">INDEX(Assumptions!$L$4:$L$6,J235)</f>
        <v>0.62</v>
      </c>
      <c r="L235" s="6" t="n">
        <f aca="false">IF(H235,ROUND(E235*K235,2),Assumptions!$B$11)</f>
        <v>195920</v>
      </c>
      <c r="M235" s="7" t="n">
        <f aca="false">ABS(F235-L235)</f>
        <v>0</v>
      </c>
      <c r="N235" s="6" t="n">
        <f aca="false">INT(E235/Assumptions!$B$12)</f>
        <v>3</v>
      </c>
    </row>
    <row r="236" customFormat="false" ht="15" hidden="false" customHeight="false" outlineLevel="0" collapsed="false">
      <c r="A236" s="2" t="s">
        <v>279</v>
      </c>
      <c r="B236" s="2" t="s">
        <v>47</v>
      </c>
      <c r="C236" s="2" t="s">
        <v>17</v>
      </c>
      <c r="D236" s="2" t="s">
        <v>12</v>
      </c>
      <c r="E236" s="5" t="n">
        <v>208000</v>
      </c>
      <c r="F236" s="5" t="n">
        <v>145600</v>
      </c>
      <c r="G236" s="5" t="n">
        <v>87360</v>
      </c>
      <c r="H236" s="5" t="n">
        <f aca="false">TRUE()</f>
        <v>1</v>
      </c>
      <c r="I236" s="6" t="n">
        <f aca="false">VLOOKUP(D236,Assumptions!$H$4:$I$5,2,FALSE())</f>
        <v>1</v>
      </c>
      <c r="J236" s="6" t="n">
        <f aca="false">MATCH(C236,Assumptions!$K$4:$K$6,0)</f>
        <v>2</v>
      </c>
      <c r="K236" s="6" t="n">
        <f aca="false">INDEX(Assumptions!$L$4:$L$6,J236)</f>
        <v>0.7</v>
      </c>
      <c r="L236" s="6" t="n">
        <f aca="false">IF(H236,ROUND(E236*K236,2),Assumptions!$B$11)</f>
        <v>145600</v>
      </c>
      <c r="M236" s="7" t="n">
        <f aca="false">ABS(F236-L236)</f>
        <v>0</v>
      </c>
      <c r="N236" s="6" t="n">
        <f aca="false">INT(E236/Assumptions!$B$12)</f>
        <v>2</v>
      </c>
    </row>
    <row r="237" customFormat="false" ht="15" hidden="false" customHeight="false" outlineLevel="0" collapsed="false">
      <c r="A237" s="2" t="s">
        <v>280</v>
      </c>
      <c r="B237" s="2" t="s">
        <v>47</v>
      </c>
      <c r="C237" s="2" t="s">
        <v>20</v>
      </c>
      <c r="D237" s="2" t="s">
        <v>12</v>
      </c>
      <c r="E237" s="5" t="n">
        <v>376000</v>
      </c>
      <c r="F237" s="5" t="n">
        <v>206800</v>
      </c>
      <c r="G237" s="5" t="n">
        <v>124080</v>
      </c>
      <c r="H237" s="5" t="n">
        <f aca="false">TRUE()</f>
        <v>1</v>
      </c>
      <c r="I237" s="6" t="n">
        <f aca="false">VLOOKUP(D237,Assumptions!$H$4:$I$5,2,FALSE())</f>
        <v>1</v>
      </c>
      <c r="J237" s="6" t="n">
        <f aca="false">MATCH(C237,Assumptions!$K$4:$K$6,0)</f>
        <v>3</v>
      </c>
      <c r="K237" s="6" t="n">
        <f aca="false">INDEX(Assumptions!$L$4:$L$6,J237)</f>
        <v>0.55</v>
      </c>
      <c r="L237" s="6" t="n">
        <f aca="false">IF(H237,ROUND(E237*K237,2),Assumptions!$B$11)</f>
        <v>206800</v>
      </c>
      <c r="M237" s="7" t="n">
        <f aca="false">ABS(F237-L237)</f>
        <v>0</v>
      </c>
      <c r="N237" s="6" t="n">
        <f aca="false">INT(E237/Assumptions!$B$12)</f>
        <v>3</v>
      </c>
    </row>
    <row r="238" customFormat="false" ht="15" hidden="false" customHeight="false" outlineLevel="0" collapsed="false">
      <c r="A238" s="2" t="s">
        <v>281</v>
      </c>
      <c r="B238" s="2" t="s">
        <v>47</v>
      </c>
      <c r="C238" s="2" t="s">
        <v>13</v>
      </c>
      <c r="D238" s="2" t="s">
        <v>12</v>
      </c>
      <c r="E238" s="5" t="n">
        <v>486000</v>
      </c>
      <c r="F238" s="5" t="n">
        <v>301320</v>
      </c>
      <c r="G238" s="5" t="n">
        <v>180792</v>
      </c>
      <c r="H238" s="5" t="n">
        <f aca="false">TRUE()</f>
        <v>1</v>
      </c>
      <c r="I238" s="6" t="n">
        <f aca="false">VLOOKUP(D238,Assumptions!$H$4:$I$5,2,FALSE())</f>
        <v>1</v>
      </c>
      <c r="J238" s="6" t="n">
        <f aca="false">MATCH(C238,Assumptions!$K$4:$K$6,0)</f>
        <v>1</v>
      </c>
      <c r="K238" s="6" t="n">
        <f aca="false">INDEX(Assumptions!$L$4:$L$6,J238)</f>
        <v>0.62</v>
      </c>
      <c r="L238" s="6" t="n">
        <f aca="false">IF(H238,ROUND(E238*K238,2),Assumptions!$B$11)</f>
        <v>301320</v>
      </c>
      <c r="M238" s="7" t="n">
        <f aca="false">ABS(F238-L238)</f>
        <v>0</v>
      </c>
      <c r="N238" s="6" t="n">
        <f aca="false">INT(E238/Assumptions!$B$12)</f>
        <v>4</v>
      </c>
    </row>
    <row r="239" customFormat="false" ht="15" hidden="false" customHeight="false" outlineLevel="0" collapsed="false">
      <c r="A239" s="2" t="s">
        <v>282</v>
      </c>
      <c r="B239" s="2" t="s">
        <v>47</v>
      </c>
      <c r="C239" s="2" t="s">
        <v>17</v>
      </c>
      <c r="D239" s="2" t="s">
        <v>16</v>
      </c>
      <c r="E239" s="5" t="n">
        <v>473000</v>
      </c>
      <c r="F239" s="5" t="n">
        <v>331100</v>
      </c>
      <c r="G239" s="5" t="n">
        <v>198660</v>
      </c>
      <c r="H239" s="5" t="n">
        <f aca="false">TRUE()</f>
        <v>1</v>
      </c>
      <c r="I239" s="6" t="n">
        <f aca="false">VLOOKUP(D239,Assumptions!$H$4:$I$5,2,FALSE())</f>
        <v>1.15</v>
      </c>
      <c r="J239" s="6" t="n">
        <f aca="false">MATCH(C239,Assumptions!$K$4:$K$6,0)</f>
        <v>2</v>
      </c>
      <c r="K239" s="6" t="n">
        <f aca="false">INDEX(Assumptions!$L$4:$L$6,J239)</f>
        <v>0.7</v>
      </c>
      <c r="L239" s="6" t="n">
        <f aca="false">IF(H239,ROUND(E239*K239,2),Assumptions!$B$11)</f>
        <v>331100</v>
      </c>
      <c r="M239" s="7" t="n">
        <f aca="false">ABS(F239-L239)</f>
        <v>0</v>
      </c>
      <c r="N239" s="6" t="n">
        <f aca="false">INT(E239/Assumptions!$B$12)</f>
        <v>4</v>
      </c>
    </row>
    <row r="240" customFormat="false" ht="15" hidden="false" customHeight="false" outlineLevel="0" collapsed="false">
      <c r="A240" s="2" t="s">
        <v>283</v>
      </c>
      <c r="B240" s="2" t="s">
        <v>47</v>
      </c>
      <c r="C240" s="2" t="s">
        <v>20</v>
      </c>
      <c r="D240" s="2" t="s">
        <v>12</v>
      </c>
      <c r="E240" s="5" t="n">
        <v>453000</v>
      </c>
      <c r="F240" s="5" t="n">
        <v>249150</v>
      </c>
      <c r="G240" s="5" t="n">
        <v>149490</v>
      </c>
      <c r="H240" s="5" t="n">
        <f aca="false">TRUE()</f>
        <v>1</v>
      </c>
      <c r="I240" s="6" t="n">
        <f aca="false">VLOOKUP(D240,Assumptions!$H$4:$I$5,2,FALSE())</f>
        <v>1</v>
      </c>
      <c r="J240" s="6" t="n">
        <f aca="false">MATCH(C240,Assumptions!$K$4:$K$6,0)</f>
        <v>3</v>
      </c>
      <c r="K240" s="6" t="n">
        <f aca="false">INDEX(Assumptions!$L$4:$L$6,J240)</f>
        <v>0.55</v>
      </c>
      <c r="L240" s="6" t="n">
        <f aca="false">IF(H240,ROUND(E240*K240,2),Assumptions!$B$11)</f>
        <v>249150</v>
      </c>
      <c r="M240" s="7" t="n">
        <f aca="false">ABS(F240-L240)</f>
        <v>0</v>
      </c>
      <c r="N240" s="6" t="n">
        <f aca="false">INT(E240/Assumptions!$B$12)</f>
        <v>4</v>
      </c>
    </row>
    <row r="241" customFormat="false" ht="15" hidden="false" customHeight="false" outlineLevel="0" collapsed="false">
      <c r="A241" s="2" t="s">
        <v>284</v>
      </c>
      <c r="B241" s="2" t="s">
        <v>47</v>
      </c>
      <c r="C241" s="2" t="s">
        <v>13</v>
      </c>
      <c r="D241" s="2" t="s">
        <v>12</v>
      </c>
      <c r="E241" s="5" t="n">
        <v>202000</v>
      </c>
      <c r="F241" s="5" t="n">
        <v>125240</v>
      </c>
      <c r="G241" s="5" t="n">
        <v>75144</v>
      </c>
      <c r="H241" s="5" t="n">
        <f aca="false">FALSE()</f>
        <v>0</v>
      </c>
      <c r="I241" s="6" t="n">
        <f aca="false">VLOOKUP(D241,Assumptions!$H$4:$I$5,2,FALSE())</f>
        <v>1</v>
      </c>
      <c r="J241" s="6" t="n">
        <f aca="false">MATCH(C241,Assumptions!$K$4:$K$6,0)</f>
        <v>1</v>
      </c>
      <c r="K241" s="6" t="n">
        <f aca="false">INDEX(Assumptions!$L$4:$L$6,J241)</f>
        <v>0.62</v>
      </c>
      <c r="L241" s="6" t="n">
        <f aca="false">IF(H241,ROUND(E241*K241,2),Assumptions!$B$11)</f>
        <v>0</v>
      </c>
      <c r="M241" s="7" t="n">
        <f aca="false">ABS(F241-L241)</f>
        <v>125240</v>
      </c>
      <c r="N241" s="6" t="n">
        <f aca="false">INT(E241/Assumptions!$B$12)</f>
        <v>2</v>
      </c>
    </row>
    <row r="242" customFormat="false" ht="15" hidden="false" customHeight="false" outlineLevel="0" collapsed="false">
      <c r="A242" s="2" t="s">
        <v>285</v>
      </c>
      <c r="B242" s="2" t="s">
        <v>47</v>
      </c>
      <c r="C242" s="2" t="s">
        <v>17</v>
      </c>
      <c r="D242" s="2" t="s">
        <v>12</v>
      </c>
      <c r="E242" s="5" t="n">
        <v>465000</v>
      </c>
      <c r="F242" s="5" t="n">
        <v>325500</v>
      </c>
      <c r="G242" s="5" t="n">
        <v>195300</v>
      </c>
      <c r="H242" s="5" t="n">
        <f aca="false">TRUE()</f>
        <v>1</v>
      </c>
      <c r="I242" s="6" t="n">
        <f aca="false">VLOOKUP(D242,Assumptions!$H$4:$I$5,2,FALSE())</f>
        <v>1</v>
      </c>
      <c r="J242" s="6" t="n">
        <f aca="false">MATCH(C242,Assumptions!$K$4:$K$6,0)</f>
        <v>2</v>
      </c>
      <c r="K242" s="6" t="n">
        <f aca="false">INDEX(Assumptions!$L$4:$L$6,J242)</f>
        <v>0.7</v>
      </c>
      <c r="L242" s="6" t="n">
        <f aca="false">IF(H242,ROUND(E242*K242,2),Assumptions!$B$11)</f>
        <v>325500</v>
      </c>
      <c r="M242" s="7" t="n">
        <f aca="false">ABS(F242-L242)</f>
        <v>0</v>
      </c>
      <c r="N242" s="6" t="n">
        <f aca="false">INT(E242/Assumptions!$B$12)</f>
        <v>4</v>
      </c>
    </row>
    <row r="243" customFormat="false" ht="15" hidden="false" customHeight="false" outlineLevel="0" collapsed="false">
      <c r="A243" s="2" t="s">
        <v>286</v>
      </c>
      <c r="B243" s="2" t="s">
        <v>47</v>
      </c>
      <c r="C243" s="2" t="s">
        <v>20</v>
      </c>
      <c r="D243" s="2" t="s">
        <v>16</v>
      </c>
      <c r="E243" s="5" t="n">
        <v>259000</v>
      </c>
      <c r="F243" s="5" t="n">
        <v>142450</v>
      </c>
      <c r="G243" s="5" t="n">
        <v>85470</v>
      </c>
      <c r="H243" s="5" t="n">
        <f aca="false">TRUE()</f>
        <v>1</v>
      </c>
      <c r="I243" s="6" t="n">
        <f aca="false">VLOOKUP(D243,Assumptions!$H$4:$I$5,2,FALSE())</f>
        <v>1.15</v>
      </c>
      <c r="J243" s="6" t="n">
        <f aca="false">MATCH(C243,Assumptions!$K$4:$K$6,0)</f>
        <v>3</v>
      </c>
      <c r="K243" s="6" t="n">
        <f aca="false">INDEX(Assumptions!$L$4:$L$6,J243)</f>
        <v>0.55</v>
      </c>
      <c r="L243" s="6" t="n">
        <f aca="false">IF(H243,ROUND(E243*K243,2),Assumptions!$B$11)</f>
        <v>142450</v>
      </c>
      <c r="M243" s="7" t="n">
        <f aca="false">ABS(F243-L243)</f>
        <v>0</v>
      </c>
      <c r="N243" s="6" t="n">
        <f aca="false">INT(E243/Assumptions!$B$12)</f>
        <v>2</v>
      </c>
    </row>
    <row r="244" customFormat="false" ht="15" hidden="false" customHeight="false" outlineLevel="0" collapsed="false">
      <c r="A244" s="2" t="s">
        <v>287</v>
      </c>
      <c r="B244" s="2" t="s">
        <v>47</v>
      </c>
      <c r="C244" s="2" t="s">
        <v>13</v>
      </c>
      <c r="D244" s="2" t="s">
        <v>12</v>
      </c>
      <c r="E244" s="5" t="n">
        <v>304000</v>
      </c>
      <c r="F244" s="5" t="n">
        <v>188480</v>
      </c>
      <c r="G244" s="5" t="n">
        <v>113088</v>
      </c>
      <c r="H244" s="5" t="n">
        <f aca="false">TRUE()</f>
        <v>1</v>
      </c>
      <c r="I244" s="6" t="n">
        <f aca="false">VLOOKUP(D244,Assumptions!$H$4:$I$5,2,FALSE())</f>
        <v>1</v>
      </c>
      <c r="J244" s="6" t="n">
        <f aca="false">MATCH(C244,Assumptions!$K$4:$K$6,0)</f>
        <v>1</v>
      </c>
      <c r="K244" s="6" t="n">
        <f aca="false">INDEX(Assumptions!$L$4:$L$6,J244)</f>
        <v>0.62</v>
      </c>
      <c r="L244" s="6" t="n">
        <f aca="false">IF(H244,ROUND(E244*K244,2),Assumptions!$B$11)</f>
        <v>188480</v>
      </c>
      <c r="M244" s="7" t="n">
        <f aca="false">ABS(F244-L244)</f>
        <v>0</v>
      </c>
      <c r="N244" s="6" t="n">
        <f aca="false">INT(E244/Assumptions!$B$12)</f>
        <v>3</v>
      </c>
    </row>
    <row r="245" customFormat="false" ht="15" hidden="false" customHeight="false" outlineLevel="0" collapsed="false">
      <c r="A245" s="2" t="s">
        <v>288</v>
      </c>
      <c r="B245" s="2" t="s">
        <v>47</v>
      </c>
      <c r="C245" s="2" t="s">
        <v>17</v>
      </c>
      <c r="D245" s="2" t="s">
        <v>12</v>
      </c>
      <c r="E245" s="5" t="n">
        <v>443000</v>
      </c>
      <c r="F245" s="5" t="n">
        <v>310100</v>
      </c>
      <c r="G245" s="5" t="n">
        <v>186060</v>
      </c>
      <c r="H245" s="5" t="n">
        <f aca="false">TRUE()</f>
        <v>1</v>
      </c>
      <c r="I245" s="6" t="n">
        <f aca="false">VLOOKUP(D245,Assumptions!$H$4:$I$5,2,FALSE())</f>
        <v>1</v>
      </c>
      <c r="J245" s="6" t="n">
        <f aca="false">MATCH(C245,Assumptions!$K$4:$K$6,0)</f>
        <v>2</v>
      </c>
      <c r="K245" s="6" t="n">
        <f aca="false">INDEX(Assumptions!$L$4:$L$6,J245)</f>
        <v>0.7</v>
      </c>
      <c r="L245" s="6" t="n">
        <f aca="false">IF(H245,ROUND(E245*K245,2),Assumptions!$B$11)</f>
        <v>310100</v>
      </c>
      <c r="M245" s="7" t="n">
        <f aca="false">ABS(F245-L245)</f>
        <v>0</v>
      </c>
      <c r="N245" s="6" t="n">
        <f aca="false">INT(E245/Assumptions!$B$12)</f>
        <v>4</v>
      </c>
    </row>
    <row r="246" customFormat="false" ht="15" hidden="false" customHeight="false" outlineLevel="0" collapsed="false">
      <c r="A246" s="2" t="s">
        <v>289</v>
      </c>
      <c r="B246" s="2" t="s">
        <v>47</v>
      </c>
      <c r="C246" s="2" t="s">
        <v>20</v>
      </c>
      <c r="D246" s="2" t="s">
        <v>12</v>
      </c>
      <c r="E246" s="5" t="n">
        <v>432000</v>
      </c>
      <c r="F246" s="5" t="n">
        <v>237600</v>
      </c>
      <c r="G246" s="5" t="n">
        <v>142560</v>
      </c>
      <c r="H246" s="5" t="n">
        <f aca="false">TRUE()</f>
        <v>1</v>
      </c>
      <c r="I246" s="6" t="n">
        <f aca="false">VLOOKUP(D246,Assumptions!$H$4:$I$5,2,FALSE())</f>
        <v>1</v>
      </c>
      <c r="J246" s="6" t="n">
        <f aca="false">MATCH(C246,Assumptions!$K$4:$K$6,0)</f>
        <v>3</v>
      </c>
      <c r="K246" s="6" t="n">
        <f aca="false">INDEX(Assumptions!$L$4:$L$6,J246)</f>
        <v>0.55</v>
      </c>
      <c r="L246" s="6" t="n">
        <f aca="false">IF(H246,ROUND(E246*K246,2),Assumptions!$B$11)</f>
        <v>237600</v>
      </c>
      <c r="M246" s="7" t="n">
        <f aca="false">ABS(F246-L246)</f>
        <v>0</v>
      </c>
      <c r="N246" s="6" t="n">
        <f aca="false">INT(E246/Assumptions!$B$12)</f>
        <v>4</v>
      </c>
    </row>
    <row r="247" customFormat="false" ht="15" hidden="false" customHeight="false" outlineLevel="0" collapsed="false">
      <c r="A247" s="2" t="s">
        <v>290</v>
      </c>
      <c r="B247" s="2" t="s">
        <v>47</v>
      </c>
      <c r="C247" s="2" t="s">
        <v>13</v>
      </c>
      <c r="D247" s="2" t="s">
        <v>16</v>
      </c>
      <c r="E247" s="5" t="n">
        <v>291000</v>
      </c>
      <c r="F247" s="5" t="n">
        <v>180420</v>
      </c>
      <c r="G247" s="5" t="n">
        <v>108252</v>
      </c>
      <c r="H247" s="5" t="n">
        <f aca="false">TRUE()</f>
        <v>1</v>
      </c>
      <c r="I247" s="6" t="n">
        <f aca="false">VLOOKUP(D247,Assumptions!$H$4:$I$5,2,FALSE())</f>
        <v>1.15</v>
      </c>
      <c r="J247" s="6" t="n">
        <f aca="false">MATCH(C247,Assumptions!$K$4:$K$6,0)</f>
        <v>1</v>
      </c>
      <c r="K247" s="6" t="n">
        <f aca="false">INDEX(Assumptions!$L$4:$L$6,J247)</f>
        <v>0.62</v>
      </c>
      <c r="L247" s="6" t="n">
        <f aca="false">IF(H247,ROUND(E247*K247,2),Assumptions!$B$11)</f>
        <v>180420</v>
      </c>
      <c r="M247" s="7" t="n">
        <f aca="false">ABS(F247-L247)</f>
        <v>0</v>
      </c>
      <c r="N247" s="6" t="n">
        <f aca="false">INT(E247/Assumptions!$B$12)</f>
        <v>2</v>
      </c>
    </row>
    <row r="248" customFormat="false" ht="15" hidden="false" customHeight="false" outlineLevel="0" collapsed="false">
      <c r="A248" s="2" t="s">
        <v>291</v>
      </c>
      <c r="B248" s="2" t="s">
        <v>47</v>
      </c>
      <c r="C248" s="2" t="s">
        <v>17</v>
      </c>
      <c r="D248" s="2" t="s">
        <v>12</v>
      </c>
      <c r="E248" s="5" t="n">
        <v>324000</v>
      </c>
      <c r="F248" s="5" t="n">
        <v>226800</v>
      </c>
      <c r="G248" s="5" t="n">
        <v>136080</v>
      </c>
      <c r="H248" s="5" t="n">
        <f aca="false">TRUE()</f>
        <v>1</v>
      </c>
      <c r="I248" s="6" t="n">
        <f aca="false">VLOOKUP(D248,Assumptions!$H$4:$I$5,2,FALSE())</f>
        <v>1</v>
      </c>
      <c r="J248" s="6" t="n">
        <f aca="false">MATCH(C248,Assumptions!$K$4:$K$6,0)</f>
        <v>2</v>
      </c>
      <c r="K248" s="6" t="n">
        <f aca="false">INDEX(Assumptions!$L$4:$L$6,J248)</f>
        <v>0.7</v>
      </c>
      <c r="L248" s="6" t="n">
        <f aca="false">IF(H248,ROUND(E248*K248,2),Assumptions!$B$11)</f>
        <v>226800</v>
      </c>
      <c r="M248" s="7" t="n">
        <f aca="false">ABS(F248-L248)</f>
        <v>0</v>
      </c>
      <c r="N248" s="6" t="n">
        <f aca="false">INT(E248/Assumptions!$B$12)</f>
        <v>3</v>
      </c>
    </row>
    <row r="249" customFormat="false" ht="15" hidden="false" customHeight="false" outlineLevel="0" collapsed="false">
      <c r="A249" s="2" t="s">
        <v>292</v>
      </c>
      <c r="B249" s="2" t="s">
        <v>47</v>
      </c>
      <c r="C249" s="2" t="s">
        <v>20</v>
      </c>
      <c r="D249" s="2" t="s">
        <v>12</v>
      </c>
      <c r="E249" s="5" t="n">
        <v>364000</v>
      </c>
      <c r="F249" s="5" t="n">
        <v>200200</v>
      </c>
      <c r="G249" s="5" t="n">
        <v>120120</v>
      </c>
      <c r="H249" s="5" t="n">
        <f aca="false">TRUE()</f>
        <v>1</v>
      </c>
      <c r="I249" s="6" t="n">
        <f aca="false">VLOOKUP(D249,Assumptions!$H$4:$I$5,2,FALSE())</f>
        <v>1</v>
      </c>
      <c r="J249" s="6" t="n">
        <f aca="false">MATCH(C249,Assumptions!$K$4:$K$6,0)</f>
        <v>3</v>
      </c>
      <c r="K249" s="6" t="n">
        <f aca="false">INDEX(Assumptions!$L$4:$L$6,J249)</f>
        <v>0.55</v>
      </c>
      <c r="L249" s="6" t="n">
        <f aca="false">IF(H249,ROUND(E249*K249,2),Assumptions!$B$11)</f>
        <v>200200</v>
      </c>
      <c r="M249" s="7" t="n">
        <f aca="false">ABS(F249-L249)</f>
        <v>0</v>
      </c>
      <c r="N249" s="6" t="n">
        <f aca="false">INT(E249/Assumptions!$B$12)</f>
        <v>3</v>
      </c>
    </row>
    <row r="250" customFormat="false" ht="15" hidden="false" customHeight="false" outlineLevel="0" collapsed="false">
      <c r="A250" s="2" t="s">
        <v>293</v>
      </c>
      <c r="B250" s="2" t="s">
        <v>47</v>
      </c>
      <c r="C250" s="2" t="s">
        <v>13</v>
      </c>
      <c r="D250" s="2" t="s">
        <v>12</v>
      </c>
      <c r="E250" s="5" t="n">
        <v>331000</v>
      </c>
      <c r="F250" s="5" t="n">
        <v>205220</v>
      </c>
      <c r="G250" s="5" t="n">
        <v>123132</v>
      </c>
      <c r="H250" s="5" t="n">
        <f aca="false">TRUE()</f>
        <v>1</v>
      </c>
      <c r="I250" s="6" t="n">
        <f aca="false">VLOOKUP(D250,Assumptions!$H$4:$I$5,2,FALSE())</f>
        <v>1</v>
      </c>
      <c r="J250" s="6" t="n">
        <f aca="false">MATCH(C250,Assumptions!$K$4:$K$6,0)</f>
        <v>1</v>
      </c>
      <c r="K250" s="6" t="n">
        <f aca="false">INDEX(Assumptions!$L$4:$L$6,J250)</f>
        <v>0.62</v>
      </c>
      <c r="L250" s="6" t="n">
        <f aca="false">IF(H250,ROUND(E250*K250,2),Assumptions!$B$11)</f>
        <v>205220</v>
      </c>
      <c r="M250" s="7" t="n">
        <f aca="false">ABS(F250-L250)</f>
        <v>0</v>
      </c>
      <c r="N250" s="6" t="n">
        <f aca="false">INT(E250/Assumptions!$B$12)</f>
        <v>3</v>
      </c>
    </row>
    <row r="251" customFormat="false" ht="15" hidden="false" customHeight="false" outlineLevel="0" collapsed="false">
      <c r="A251" s="2" t="s">
        <v>294</v>
      </c>
      <c r="B251" s="2" t="s">
        <v>47</v>
      </c>
      <c r="C251" s="2" t="s">
        <v>17</v>
      </c>
      <c r="D251" s="2" t="s">
        <v>16</v>
      </c>
      <c r="E251" s="5" t="n">
        <v>161000</v>
      </c>
      <c r="F251" s="5" t="n">
        <v>112700</v>
      </c>
      <c r="G251" s="5" t="n">
        <v>67620</v>
      </c>
      <c r="H251" s="5" t="n">
        <f aca="false">TRUE()</f>
        <v>1</v>
      </c>
      <c r="I251" s="6" t="n">
        <f aca="false">VLOOKUP(D251,Assumptions!$H$4:$I$5,2,FALSE())</f>
        <v>1.15</v>
      </c>
      <c r="J251" s="6" t="n">
        <f aca="false">MATCH(C251,Assumptions!$K$4:$K$6,0)</f>
        <v>2</v>
      </c>
      <c r="K251" s="6" t="n">
        <f aca="false">INDEX(Assumptions!$L$4:$L$6,J251)</f>
        <v>0.7</v>
      </c>
      <c r="L251" s="6" t="n">
        <f aca="false">IF(H251,ROUND(E251*K251,2),Assumptions!$B$11)</f>
        <v>112700</v>
      </c>
      <c r="M251" s="7" t="n">
        <f aca="false">ABS(F251-L251)</f>
        <v>0</v>
      </c>
      <c r="N251" s="6" t="n">
        <f aca="false">INT(E251/Assumptions!$B$12)</f>
        <v>1</v>
      </c>
    </row>
    <row r="252" customFormat="false" ht="15" hidden="false" customHeight="false" outlineLevel="0" collapsed="false">
      <c r="A252" s="2" t="s">
        <v>295</v>
      </c>
      <c r="B252" s="2" t="s">
        <v>47</v>
      </c>
      <c r="C252" s="2" t="s">
        <v>20</v>
      </c>
      <c r="D252" s="2" t="s">
        <v>12</v>
      </c>
      <c r="E252" s="5" t="n">
        <v>226000</v>
      </c>
      <c r="F252" s="5" t="n">
        <v>124300</v>
      </c>
      <c r="G252" s="5" t="n">
        <v>74580</v>
      </c>
      <c r="H252" s="5" t="n">
        <f aca="false">TRUE()</f>
        <v>1</v>
      </c>
      <c r="I252" s="6" t="n">
        <f aca="false">VLOOKUP(D252,Assumptions!$H$4:$I$5,2,FALSE())</f>
        <v>1</v>
      </c>
      <c r="J252" s="6" t="n">
        <f aca="false">MATCH(C252,Assumptions!$K$4:$K$6,0)</f>
        <v>3</v>
      </c>
      <c r="K252" s="6" t="n">
        <f aca="false">INDEX(Assumptions!$L$4:$L$6,J252)</f>
        <v>0.55</v>
      </c>
      <c r="L252" s="6" t="n">
        <f aca="false">IF(H252,ROUND(E252*K252,2),Assumptions!$B$11)</f>
        <v>124300</v>
      </c>
      <c r="M252" s="7" t="n">
        <f aca="false">ABS(F252-L252)</f>
        <v>0</v>
      </c>
      <c r="N252" s="6" t="n">
        <f aca="false">INT(E252/Assumptions!$B$12)</f>
        <v>2</v>
      </c>
    </row>
    <row r="253" customFormat="false" ht="15" hidden="false" customHeight="false" outlineLevel="0" collapsed="false">
      <c r="A253" s="2" t="s">
        <v>296</v>
      </c>
      <c r="B253" s="2" t="s">
        <v>47</v>
      </c>
      <c r="C253" s="2" t="s">
        <v>13</v>
      </c>
      <c r="D253" s="2" t="s">
        <v>12</v>
      </c>
      <c r="E253" s="5" t="n">
        <v>215000</v>
      </c>
      <c r="F253" s="5" t="n">
        <v>133300</v>
      </c>
      <c r="G253" s="5" t="n">
        <v>79980</v>
      </c>
      <c r="H253" s="5" t="n">
        <f aca="false">TRUE()</f>
        <v>1</v>
      </c>
      <c r="I253" s="6" t="n">
        <f aca="false">VLOOKUP(D253,Assumptions!$H$4:$I$5,2,FALSE())</f>
        <v>1</v>
      </c>
      <c r="J253" s="6" t="n">
        <f aca="false">MATCH(C253,Assumptions!$K$4:$K$6,0)</f>
        <v>1</v>
      </c>
      <c r="K253" s="6" t="n">
        <f aca="false">INDEX(Assumptions!$L$4:$L$6,J253)</f>
        <v>0.62</v>
      </c>
      <c r="L253" s="6" t="n">
        <f aca="false">IF(H253,ROUND(E253*K253,2),Assumptions!$B$11)</f>
        <v>133300</v>
      </c>
      <c r="M253" s="7" t="n">
        <f aca="false">ABS(F253-L253)</f>
        <v>0</v>
      </c>
      <c r="N253" s="6" t="n">
        <f aca="false">INT(E253/Assumptions!$B$12)</f>
        <v>2</v>
      </c>
    </row>
    <row r="254" customFormat="false" ht="15" hidden="false" customHeight="false" outlineLevel="0" collapsed="false">
      <c r="A254" s="2" t="s">
        <v>297</v>
      </c>
      <c r="B254" s="2" t="s">
        <v>47</v>
      </c>
      <c r="C254" s="2" t="s">
        <v>17</v>
      </c>
      <c r="D254" s="2" t="s">
        <v>12</v>
      </c>
      <c r="E254" s="5" t="n">
        <v>132000</v>
      </c>
      <c r="F254" s="5" t="n">
        <v>92400</v>
      </c>
      <c r="G254" s="5" t="n">
        <v>55440</v>
      </c>
      <c r="H254" s="5" t="n">
        <f aca="false">TRUE()</f>
        <v>1</v>
      </c>
      <c r="I254" s="6" t="n">
        <f aca="false">VLOOKUP(D254,Assumptions!$H$4:$I$5,2,FALSE())</f>
        <v>1</v>
      </c>
      <c r="J254" s="6" t="n">
        <f aca="false">MATCH(C254,Assumptions!$K$4:$K$6,0)</f>
        <v>2</v>
      </c>
      <c r="K254" s="6" t="n">
        <f aca="false">INDEX(Assumptions!$L$4:$L$6,J254)</f>
        <v>0.7</v>
      </c>
      <c r="L254" s="6" t="n">
        <f aca="false">IF(H254,ROUND(E254*K254,2),Assumptions!$B$11)</f>
        <v>92400</v>
      </c>
      <c r="M254" s="7" t="n">
        <f aca="false">ABS(F254-L254)</f>
        <v>0</v>
      </c>
      <c r="N254" s="6" t="n">
        <f aca="false">INT(E254/Assumptions!$B$12)</f>
        <v>1</v>
      </c>
    </row>
    <row r="255" customFormat="false" ht="15" hidden="false" customHeight="false" outlineLevel="0" collapsed="false">
      <c r="A255" s="2" t="s">
        <v>298</v>
      </c>
      <c r="B255" s="2" t="s">
        <v>47</v>
      </c>
      <c r="C255" s="2" t="s">
        <v>20</v>
      </c>
      <c r="D255" s="2" t="s">
        <v>16</v>
      </c>
      <c r="E255" s="5" t="n">
        <v>273000</v>
      </c>
      <c r="F255" s="5" t="n">
        <v>150150</v>
      </c>
      <c r="G255" s="5" t="n">
        <v>90090</v>
      </c>
      <c r="H255" s="5" t="n">
        <f aca="false">TRUE()</f>
        <v>1</v>
      </c>
      <c r="I255" s="6" t="n">
        <f aca="false">VLOOKUP(D255,Assumptions!$H$4:$I$5,2,FALSE())</f>
        <v>1.15</v>
      </c>
      <c r="J255" s="6" t="n">
        <f aca="false">MATCH(C255,Assumptions!$K$4:$K$6,0)</f>
        <v>3</v>
      </c>
      <c r="K255" s="6" t="n">
        <f aca="false">INDEX(Assumptions!$L$4:$L$6,J255)</f>
        <v>0.55</v>
      </c>
      <c r="L255" s="6" t="n">
        <f aca="false">IF(H255,ROUND(E255*K255,2),Assumptions!$B$11)</f>
        <v>150150</v>
      </c>
      <c r="M255" s="7" t="n">
        <f aca="false">ABS(F255-L255)</f>
        <v>0</v>
      </c>
      <c r="N255" s="6" t="n">
        <f aca="false">INT(E255/Assumptions!$B$12)</f>
        <v>2</v>
      </c>
    </row>
    <row r="256" customFormat="false" ht="15" hidden="false" customHeight="false" outlineLevel="0" collapsed="false">
      <c r="A256" s="2" t="s">
        <v>299</v>
      </c>
      <c r="B256" s="2" t="s">
        <v>47</v>
      </c>
      <c r="C256" s="2" t="s">
        <v>13</v>
      </c>
      <c r="D256" s="2" t="s">
        <v>12</v>
      </c>
      <c r="E256" s="5" t="n">
        <v>110000</v>
      </c>
      <c r="F256" s="5" t="n">
        <v>68200</v>
      </c>
      <c r="G256" s="5" t="n">
        <v>40920</v>
      </c>
      <c r="H256" s="5" t="n">
        <f aca="false">TRUE()</f>
        <v>1</v>
      </c>
      <c r="I256" s="6" t="n">
        <f aca="false">VLOOKUP(D256,Assumptions!$H$4:$I$5,2,FALSE())</f>
        <v>1</v>
      </c>
      <c r="J256" s="6" t="n">
        <f aca="false">MATCH(C256,Assumptions!$K$4:$K$6,0)</f>
        <v>1</v>
      </c>
      <c r="K256" s="6" t="n">
        <f aca="false">INDEX(Assumptions!$L$4:$L$6,J256)</f>
        <v>0.62</v>
      </c>
      <c r="L256" s="6" t="n">
        <f aca="false">IF(H256,ROUND(E256*K256,2),Assumptions!$B$11)</f>
        <v>68200</v>
      </c>
      <c r="M256" s="7" t="n">
        <f aca="false">ABS(F256-L256)</f>
        <v>0</v>
      </c>
      <c r="N256" s="6" t="n">
        <f aca="false">INT(E256/Assumptions!$B$12)</f>
        <v>1</v>
      </c>
    </row>
    <row r="257" customFormat="false" ht="15" hidden="false" customHeight="false" outlineLevel="0" collapsed="false">
      <c r="A257" s="2" t="s">
        <v>300</v>
      </c>
      <c r="B257" s="2" t="s">
        <v>47</v>
      </c>
      <c r="C257" s="2" t="s">
        <v>17</v>
      </c>
      <c r="D257" s="2" t="s">
        <v>12</v>
      </c>
      <c r="E257" s="5" t="n">
        <v>401000</v>
      </c>
      <c r="F257" s="5" t="n">
        <v>280700</v>
      </c>
      <c r="G257" s="5" t="n">
        <v>168420</v>
      </c>
      <c r="H257" s="5" t="n">
        <f aca="false">TRUE()</f>
        <v>1</v>
      </c>
      <c r="I257" s="6" t="n">
        <f aca="false">VLOOKUP(D257,Assumptions!$H$4:$I$5,2,FALSE())</f>
        <v>1</v>
      </c>
      <c r="J257" s="6" t="n">
        <f aca="false">MATCH(C257,Assumptions!$K$4:$K$6,0)</f>
        <v>2</v>
      </c>
      <c r="K257" s="6" t="n">
        <f aca="false">INDEX(Assumptions!$L$4:$L$6,J257)</f>
        <v>0.7</v>
      </c>
      <c r="L257" s="6" t="n">
        <f aca="false">IF(H257,ROUND(E257*K257,2),Assumptions!$B$11)</f>
        <v>280700</v>
      </c>
      <c r="M257" s="7" t="n">
        <f aca="false">ABS(F257-L257)</f>
        <v>0</v>
      </c>
      <c r="N257" s="6" t="n">
        <f aca="false">INT(E257/Assumptions!$B$12)</f>
        <v>4</v>
      </c>
    </row>
    <row r="258" customFormat="false" ht="15" hidden="false" customHeight="false" outlineLevel="0" collapsed="false">
      <c r="A258" s="2" t="s">
        <v>301</v>
      </c>
      <c r="B258" s="2" t="s">
        <v>47</v>
      </c>
      <c r="C258" s="2" t="s">
        <v>20</v>
      </c>
      <c r="D258" s="2" t="s">
        <v>12</v>
      </c>
      <c r="E258" s="5" t="n">
        <v>383000</v>
      </c>
      <c r="F258" s="5" t="n">
        <v>210650</v>
      </c>
      <c r="G258" s="5" t="n">
        <v>126390</v>
      </c>
      <c r="H258" s="5" t="n">
        <f aca="false">FALSE()</f>
        <v>0</v>
      </c>
      <c r="I258" s="6" t="n">
        <f aca="false">VLOOKUP(D258,Assumptions!$H$4:$I$5,2,FALSE())</f>
        <v>1</v>
      </c>
      <c r="J258" s="6" t="n">
        <f aca="false">MATCH(C258,Assumptions!$K$4:$K$6,0)</f>
        <v>3</v>
      </c>
      <c r="K258" s="6" t="n">
        <f aca="false">INDEX(Assumptions!$L$4:$L$6,J258)</f>
        <v>0.55</v>
      </c>
      <c r="L258" s="6" t="n">
        <f aca="false">IF(H258,ROUND(E258*K258,2),Assumptions!$B$11)</f>
        <v>0</v>
      </c>
      <c r="M258" s="7" t="n">
        <f aca="false">ABS(F258-L258)</f>
        <v>210650</v>
      </c>
      <c r="N258" s="6" t="n">
        <f aca="false">INT(E258/Assumptions!$B$12)</f>
        <v>3</v>
      </c>
    </row>
    <row r="259" customFormat="false" ht="15" hidden="false" customHeight="false" outlineLevel="0" collapsed="false">
      <c r="A259" s="2" t="s">
        <v>302</v>
      </c>
      <c r="B259" s="2" t="s">
        <v>47</v>
      </c>
      <c r="C259" s="2" t="s">
        <v>13</v>
      </c>
      <c r="D259" s="2" t="s">
        <v>16</v>
      </c>
      <c r="E259" s="5" t="n">
        <v>217000</v>
      </c>
      <c r="F259" s="5" t="n">
        <v>134540</v>
      </c>
      <c r="G259" s="5" t="n">
        <v>80724</v>
      </c>
      <c r="H259" s="5" t="n">
        <f aca="false">TRUE()</f>
        <v>1</v>
      </c>
      <c r="I259" s="6" t="n">
        <f aca="false">VLOOKUP(D259,Assumptions!$H$4:$I$5,2,FALSE())</f>
        <v>1.15</v>
      </c>
      <c r="J259" s="6" t="n">
        <f aca="false">MATCH(C259,Assumptions!$K$4:$K$6,0)</f>
        <v>1</v>
      </c>
      <c r="K259" s="6" t="n">
        <f aca="false">INDEX(Assumptions!$L$4:$L$6,J259)</f>
        <v>0.62</v>
      </c>
      <c r="L259" s="6" t="n">
        <f aca="false">IF(H259,ROUND(E259*K259,2),Assumptions!$B$11)</f>
        <v>134540</v>
      </c>
      <c r="M259" s="7" t="n">
        <f aca="false">ABS(F259-L259)</f>
        <v>0</v>
      </c>
      <c r="N259" s="6" t="n">
        <f aca="false">INT(E259/Assumptions!$B$12)</f>
        <v>2</v>
      </c>
    </row>
    <row r="260" customFormat="false" ht="15" hidden="false" customHeight="false" outlineLevel="0" collapsed="false">
      <c r="A260" s="2" t="s">
        <v>303</v>
      </c>
      <c r="B260" s="2" t="s">
        <v>47</v>
      </c>
      <c r="C260" s="2" t="s">
        <v>17</v>
      </c>
      <c r="D260" s="2" t="s">
        <v>12</v>
      </c>
      <c r="E260" s="5" t="n">
        <v>401000</v>
      </c>
      <c r="F260" s="5" t="n">
        <v>280700</v>
      </c>
      <c r="G260" s="5" t="n">
        <v>168420</v>
      </c>
      <c r="H260" s="5" t="n">
        <f aca="false">TRUE()</f>
        <v>1</v>
      </c>
      <c r="I260" s="6" t="n">
        <f aca="false">VLOOKUP(D260,Assumptions!$H$4:$I$5,2,FALSE())</f>
        <v>1</v>
      </c>
      <c r="J260" s="6" t="n">
        <f aca="false">MATCH(C260,Assumptions!$K$4:$K$6,0)</f>
        <v>2</v>
      </c>
      <c r="K260" s="6" t="n">
        <f aca="false">INDEX(Assumptions!$L$4:$L$6,J260)</f>
        <v>0.7</v>
      </c>
      <c r="L260" s="6" t="n">
        <f aca="false">IF(H260,ROUND(E260*K260,2),Assumptions!$B$11)</f>
        <v>280700</v>
      </c>
      <c r="M260" s="7" t="n">
        <f aca="false">ABS(F260-L260)</f>
        <v>0</v>
      </c>
      <c r="N260" s="6" t="n">
        <f aca="false">INT(E260/Assumptions!$B$12)</f>
        <v>4</v>
      </c>
    </row>
    <row r="261" customFormat="false" ht="15" hidden="false" customHeight="false" outlineLevel="0" collapsed="false">
      <c r="A261" s="2" t="s">
        <v>304</v>
      </c>
      <c r="B261" s="2" t="s">
        <v>47</v>
      </c>
      <c r="C261" s="2" t="s">
        <v>20</v>
      </c>
      <c r="D261" s="2" t="s">
        <v>12</v>
      </c>
      <c r="E261" s="5" t="n">
        <v>212000</v>
      </c>
      <c r="F261" s="5" t="n">
        <v>116600</v>
      </c>
      <c r="G261" s="5" t="n">
        <v>69960</v>
      </c>
      <c r="H261" s="5" t="n">
        <f aca="false">TRUE()</f>
        <v>1</v>
      </c>
      <c r="I261" s="6" t="n">
        <f aca="false">VLOOKUP(D261,Assumptions!$H$4:$I$5,2,FALSE())</f>
        <v>1</v>
      </c>
      <c r="J261" s="6" t="n">
        <f aca="false">MATCH(C261,Assumptions!$K$4:$K$6,0)</f>
        <v>3</v>
      </c>
      <c r="K261" s="6" t="n">
        <f aca="false">INDEX(Assumptions!$L$4:$L$6,J261)</f>
        <v>0.55</v>
      </c>
      <c r="L261" s="6" t="n">
        <f aca="false">IF(H261,ROUND(E261*K261,2),Assumptions!$B$11)</f>
        <v>116600</v>
      </c>
      <c r="M261" s="7" t="n">
        <f aca="false">ABS(F261-L261)</f>
        <v>0</v>
      </c>
      <c r="N261" s="6" t="n">
        <f aca="false">INT(E261/Assumptions!$B$12)</f>
        <v>2</v>
      </c>
    </row>
    <row r="262" customFormat="false" ht="15" hidden="false" customHeight="false" outlineLevel="0" collapsed="false">
      <c r="A262" s="2" t="s">
        <v>305</v>
      </c>
      <c r="B262" s="2" t="s">
        <v>47</v>
      </c>
      <c r="C262" s="2" t="s">
        <v>13</v>
      </c>
      <c r="D262" s="2" t="s">
        <v>12</v>
      </c>
      <c r="E262" s="5" t="n">
        <v>103000</v>
      </c>
      <c r="F262" s="5" t="n">
        <v>63860</v>
      </c>
      <c r="G262" s="5" t="n">
        <v>38316</v>
      </c>
      <c r="H262" s="5" t="n">
        <f aca="false">TRUE()</f>
        <v>1</v>
      </c>
      <c r="I262" s="6" t="n">
        <f aca="false">VLOOKUP(D262,Assumptions!$H$4:$I$5,2,FALSE())</f>
        <v>1</v>
      </c>
      <c r="J262" s="6" t="n">
        <f aca="false">MATCH(C262,Assumptions!$K$4:$K$6,0)</f>
        <v>1</v>
      </c>
      <c r="K262" s="6" t="n">
        <f aca="false">INDEX(Assumptions!$L$4:$L$6,J262)</f>
        <v>0.62</v>
      </c>
      <c r="L262" s="6" t="n">
        <f aca="false">IF(H262,ROUND(E262*K262,2),Assumptions!$B$11)</f>
        <v>63860</v>
      </c>
      <c r="M262" s="7" t="n">
        <f aca="false">ABS(F262-L262)</f>
        <v>0</v>
      </c>
      <c r="N262" s="6" t="n">
        <f aca="false">INT(E262/Assumptions!$B$12)</f>
        <v>1</v>
      </c>
    </row>
    <row r="263" customFormat="false" ht="15" hidden="false" customHeight="false" outlineLevel="0" collapsed="false">
      <c r="A263" s="2" t="s">
        <v>306</v>
      </c>
      <c r="B263" s="2" t="s">
        <v>47</v>
      </c>
      <c r="C263" s="2" t="s">
        <v>17</v>
      </c>
      <c r="D263" s="2" t="s">
        <v>16</v>
      </c>
      <c r="E263" s="5" t="n">
        <v>136000</v>
      </c>
      <c r="F263" s="5" t="n">
        <v>95200</v>
      </c>
      <c r="G263" s="5" t="n">
        <v>57120</v>
      </c>
      <c r="H263" s="5" t="n">
        <f aca="false">TRUE()</f>
        <v>1</v>
      </c>
      <c r="I263" s="6" t="n">
        <f aca="false">VLOOKUP(D263,Assumptions!$H$4:$I$5,2,FALSE())</f>
        <v>1.15</v>
      </c>
      <c r="J263" s="6" t="n">
        <f aca="false">MATCH(C263,Assumptions!$K$4:$K$6,0)</f>
        <v>2</v>
      </c>
      <c r="K263" s="6" t="n">
        <f aca="false">INDEX(Assumptions!$L$4:$L$6,J263)</f>
        <v>0.7</v>
      </c>
      <c r="L263" s="6" t="n">
        <f aca="false">IF(H263,ROUND(E263*K263,2),Assumptions!$B$11)</f>
        <v>95200</v>
      </c>
      <c r="M263" s="7" t="n">
        <f aca="false">ABS(F263-L263)</f>
        <v>0</v>
      </c>
      <c r="N263" s="6" t="n">
        <f aca="false">INT(E263/Assumptions!$B$12)</f>
        <v>1</v>
      </c>
    </row>
    <row r="264" customFormat="false" ht="15" hidden="false" customHeight="false" outlineLevel="0" collapsed="false">
      <c r="A264" s="2" t="s">
        <v>307</v>
      </c>
      <c r="B264" s="2" t="s">
        <v>47</v>
      </c>
      <c r="C264" s="2" t="s">
        <v>20</v>
      </c>
      <c r="D264" s="2" t="s">
        <v>12</v>
      </c>
      <c r="E264" s="5" t="n">
        <v>462000</v>
      </c>
      <c r="F264" s="5" t="n">
        <v>254100</v>
      </c>
      <c r="G264" s="5" t="n">
        <v>152460</v>
      </c>
      <c r="H264" s="5" t="n">
        <f aca="false">TRUE()</f>
        <v>1</v>
      </c>
      <c r="I264" s="6" t="n">
        <f aca="false">VLOOKUP(D264,Assumptions!$H$4:$I$5,2,FALSE())</f>
        <v>1</v>
      </c>
      <c r="J264" s="6" t="n">
        <f aca="false">MATCH(C264,Assumptions!$K$4:$K$6,0)</f>
        <v>3</v>
      </c>
      <c r="K264" s="6" t="n">
        <f aca="false">INDEX(Assumptions!$L$4:$L$6,J264)</f>
        <v>0.55</v>
      </c>
      <c r="L264" s="6" t="n">
        <f aca="false">IF(H264,ROUND(E264*K264,2),Assumptions!$B$11)</f>
        <v>254100</v>
      </c>
      <c r="M264" s="7" t="n">
        <f aca="false">ABS(F264-L264)</f>
        <v>0</v>
      </c>
      <c r="N264" s="6" t="n">
        <f aca="false">INT(E264/Assumptions!$B$12)</f>
        <v>4</v>
      </c>
    </row>
    <row r="265" customFormat="false" ht="15" hidden="false" customHeight="false" outlineLevel="0" collapsed="false">
      <c r="A265" s="2" t="s">
        <v>308</v>
      </c>
      <c r="B265" s="2" t="s">
        <v>47</v>
      </c>
      <c r="C265" s="2" t="s">
        <v>13</v>
      </c>
      <c r="D265" s="2" t="s">
        <v>12</v>
      </c>
      <c r="E265" s="5" t="n">
        <v>423000</v>
      </c>
      <c r="F265" s="5" t="n">
        <v>262260</v>
      </c>
      <c r="G265" s="5" t="n">
        <v>157356</v>
      </c>
      <c r="H265" s="5" t="n">
        <f aca="false">TRUE()</f>
        <v>1</v>
      </c>
      <c r="I265" s="6" t="n">
        <f aca="false">VLOOKUP(D265,Assumptions!$H$4:$I$5,2,FALSE())</f>
        <v>1</v>
      </c>
      <c r="J265" s="6" t="n">
        <f aca="false">MATCH(C265,Assumptions!$K$4:$K$6,0)</f>
        <v>1</v>
      </c>
      <c r="K265" s="6" t="n">
        <f aca="false">INDEX(Assumptions!$L$4:$L$6,J265)</f>
        <v>0.62</v>
      </c>
      <c r="L265" s="6" t="n">
        <f aca="false">IF(H265,ROUND(E265*K265,2),Assumptions!$B$11)</f>
        <v>262260</v>
      </c>
      <c r="M265" s="7" t="n">
        <f aca="false">ABS(F265-L265)</f>
        <v>0</v>
      </c>
      <c r="N265" s="6" t="n">
        <f aca="false">INT(E265/Assumptions!$B$12)</f>
        <v>4</v>
      </c>
    </row>
    <row r="266" customFormat="false" ht="15" hidden="false" customHeight="false" outlineLevel="0" collapsed="false">
      <c r="A266" s="2" t="s">
        <v>309</v>
      </c>
      <c r="B266" s="2" t="s">
        <v>47</v>
      </c>
      <c r="C266" s="2" t="s">
        <v>17</v>
      </c>
      <c r="D266" s="2" t="s">
        <v>12</v>
      </c>
      <c r="E266" s="5" t="n">
        <v>130000</v>
      </c>
      <c r="F266" s="5" t="n">
        <v>91000</v>
      </c>
      <c r="G266" s="5" t="n">
        <v>54600</v>
      </c>
      <c r="H266" s="5" t="n">
        <f aca="false">TRUE()</f>
        <v>1</v>
      </c>
      <c r="I266" s="6" t="n">
        <f aca="false">VLOOKUP(D266,Assumptions!$H$4:$I$5,2,FALSE())</f>
        <v>1</v>
      </c>
      <c r="J266" s="6" t="n">
        <f aca="false">MATCH(C266,Assumptions!$K$4:$K$6,0)</f>
        <v>2</v>
      </c>
      <c r="K266" s="6" t="n">
        <f aca="false">INDEX(Assumptions!$L$4:$L$6,J266)</f>
        <v>0.7</v>
      </c>
      <c r="L266" s="6" t="n">
        <f aca="false">IF(H266,ROUND(E266*K266,2),Assumptions!$B$11)</f>
        <v>91000</v>
      </c>
      <c r="M266" s="7" t="n">
        <f aca="false">ABS(F266-L266)</f>
        <v>0</v>
      </c>
      <c r="N266" s="6" t="n">
        <f aca="false">INT(E266/Assumptions!$B$12)</f>
        <v>1</v>
      </c>
    </row>
    <row r="267" customFormat="false" ht="15" hidden="false" customHeight="false" outlineLevel="0" collapsed="false">
      <c r="A267" s="2" t="s">
        <v>310</v>
      </c>
      <c r="B267" s="2" t="s">
        <v>47</v>
      </c>
      <c r="C267" s="2" t="s">
        <v>20</v>
      </c>
      <c r="D267" s="2" t="s">
        <v>16</v>
      </c>
      <c r="E267" s="5" t="n">
        <v>217000</v>
      </c>
      <c r="F267" s="5" t="n">
        <v>119350</v>
      </c>
      <c r="G267" s="5" t="n">
        <v>71610</v>
      </c>
      <c r="H267" s="5" t="n">
        <f aca="false">TRUE()</f>
        <v>1</v>
      </c>
      <c r="I267" s="6" t="n">
        <f aca="false">VLOOKUP(D267,Assumptions!$H$4:$I$5,2,FALSE())</f>
        <v>1.15</v>
      </c>
      <c r="J267" s="6" t="n">
        <f aca="false">MATCH(C267,Assumptions!$K$4:$K$6,0)</f>
        <v>3</v>
      </c>
      <c r="K267" s="6" t="n">
        <f aca="false">INDEX(Assumptions!$L$4:$L$6,J267)</f>
        <v>0.55</v>
      </c>
      <c r="L267" s="6" t="n">
        <f aca="false">IF(H267,ROUND(E267*K267,2),Assumptions!$B$11)</f>
        <v>119350</v>
      </c>
      <c r="M267" s="7" t="n">
        <f aca="false">ABS(F267-L267)</f>
        <v>0</v>
      </c>
      <c r="N267" s="6" t="n">
        <f aca="false">INT(E267/Assumptions!$B$12)</f>
        <v>2</v>
      </c>
    </row>
    <row r="268" customFormat="false" ht="15" hidden="false" customHeight="false" outlineLevel="0" collapsed="false">
      <c r="A268" s="2" t="s">
        <v>311</v>
      </c>
      <c r="B268" s="2" t="s">
        <v>47</v>
      </c>
      <c r="C268" s="2" t="s">
        <v>13</v>
      </c>
      <c r="D268" s="2" t="s">
        <v>12</v>
      </c>
      <c r="E268" s="5" t="n">
        <v>134000</v>
      </c>
      <c r="F268" s="5" t="n">
        <v>83080</v>
      </c>
      <c r="G268" s="5" t="n">
        <v>49848</v>
      </c>
      <c r="H268" s="5" t="n">
        <f aca="false">TRUE()</f>
        <v>1</v>
      </c>
      <c r="I268" s="6" t="n">
        <f aca="false">VLOOKUP(D268,Assumptions!$H$4:$I$5,2,FALSE())</f>
        <v>1</v>
      </c>
      <c r="J268" s="6" t="n">
        <f aca="false">MATCH(C268,Assumptions!$K$4:$K$6,0)</f>
        <v>1</v>
      </c>
      <c r="K268" s="6" t="n">
        <f aca="false">INDEX(Assumptions!$L$4:$L$6,J268)</f>
        <v>0.62</v>
      </c>
      <c r="L268" s="6" t="n">
        <f aca="false">IF(H268,ROUND(E268*K268,2),Assumptions!$B$11)</f>
        <v>83080</v>
      </c>
      <c r="M268" s="7" t="n">
        <f aca="false">ABS(F268-L268)</f>
        <v>0</v>
      </c>
      <c r="N268" s="6" t="n">
        <f aca="false">INT(E268/Assumptions!$B$12)</f>
        <v>1</v>
      </c>
    </row>
    <row r="269" customFormat="false" ht="15" hidden="false" customHeight="false" outlineLevel="0" collapsed="false">
      <c r="A269" s="2" t="s">
        <v>312</v>
      </c>
      <c r="B269" s="2" t="s">
        <v>47</v>
      </c>
      <c r="C269" s="2" t="s">
        <v>17</v>
      </c>
      <c r="D269" s="2" t="s">
        <v>12</v>
      </c>
      <c r="E269" s="5" t="n">
        <v>116000</v>
      </c>
      <c r="F269" s="5" t="n">
        <v>81200</v>
      </c>
      <c r="G269" s="5" t="n">
        <v>48720</v>
      </c>
      <c r="H269" s="5" t="n">
        <f aca="false">TRUE()</f>
        <v>1</v>
      </c>
      <c r="I269" s="6" t="n">
        <f aca="false">VLOOKUP(D269,Assumptions!$H$4:$I$5,2,FALSE())</f>
        <v>1</v>
      </c>
      <c r="J269" s="6" t="n">
        <f aca="false">MATCH(C269,Assumptions!$K$4:$K$6,0)</f>
        <v>2</v>
      </c>
      <c r="K269" s="6" t="n">
        <f aca="false">INDEX(Assumptions!$L$4:$L$6,J269)</f>
        <v>0.7</v>
      </c>
      <c r="L269" s="6" t="n">
        <f aca="false">IF(H269,ROUND(E269*K269,2),Assumptions!$B$11)</f>
        <v>81200</v>
      </c>
      <c r="M269" s="7" t="n">
        <f aca="false">ABS(F269-L269)</f>
        <v>0</v>
      </c>
      <c r="N269" s="6" t="n">
        <f aca="false">INT(E269/Assumptions!$B$12)</f>
        <v>1</v>
      </c>
    </row>
    <row r="270" customFormat="false" ht="15" hidden="false" customHeight="false" outlineLevel="0" collapsed="false">
      <c r="A270" s="2" t="s">
        <v>313</v>
      </c>
      <c r="B270" s="2" t="s">
        <v>47</v>
      </c>
      <c r="C270" s="2" t="s">
        <v>20</v>
      </c>
      <c r="D270" s="2" t="s">
        <v>12</v>
      </c>
      <c r="E270" s="5" t="n">
        <v>269000</v>
      </c>
      <c r="F270" s="5" t="n">
        <v>147950</v>
      </c>
      <c r="G270" s="5" t="n">
        <v>88770</v>
      </c>
      <c r="H270" s="5" t="n">
        <f aca="false">TRUE()</f>
        <v>1</v>
      </c>
      <c r="I270" s="6" t="n">
        <f aca="false">VLOOKUP(D270,Assumptions!$H$4:$I$5,2,FALSE())</f>
        <v>1</v>
      </c>
      <c r="J270" s="6" t="n">
        <f aca="false">MATCH(C270,Assumptions!$K$4:$K$6,0)</f>
        <v>3</v>
      </c>
      <c r="K270" s="6" t="n">
        <f aca="false">INDEX(Assumptions!$L$4:$L$6,J270)</f>
        <v>0.55</v>
      </c>
      <c r="L270" s="6" t="n">
        <f aca="false">IF(H270,ROUND(E270*K270,2),Assumptions!$B$11)</f>
        <v>147950</v>
      </c>
      <c r="M270" s="7" t="n">
        <f aca="false">ABS(F270-L270)</f>
        <v>0</v>
      </c>
      <c r="N270" s="6" t="n">
        <f aca="false">INT(E270/Assumptions!$B$12)</f>
        <v>2</v>
      </c>
    </row>
    <row r="271" customFormat="false" ht="15" hidden="false" customHeight="false" outlineLevel="0" collapsed="false">
      <c r="A271" s="2" t="s">
        <v>314</v>
      </c>
      <c r="B271" s="2" t="s">
        <v>47</v>
      </c>
      <c r="C271" s="2" t="s">
        <v>13</v>
      </c>
      <c r="D271" s="2" t="s">
        <v>16</v>
      </c>
      <c r="E271" s="5" t="n">
        <v>136000</v>
      </c>
      <c r="F271" s="5" t="n">
        <v>84320</v>
      </c>
      <c r="G271" s="5" t="n">
        <v>50592</v>
      </c>
      <c r="H271" s="5" t="n">
        <f aca="false">TRUE()</f>
        <v>1</v>
      </c>
      <c r="I271" s="6" t="n">
        <f aca="false">VLOOKUP(D271,Assumptions!$H$4:$I$5,2,FALSE())</f>
        <v>1.15</v>
      </c>
      <c r="J271" s="6" t="n">
        <f aca="false">MATCH(C271,Assumptions!$K$4:$K$6,0)</f>
        <v>1</v>
      </c>
      <c r="K271" s="6" t="n">
        <f aca="false">INDEX(Assumptions!$L$4:$L$6,J271)</f>
        <v>0.62</v>
      </c>
      <c r="L271" s="6" t="n">
        <f aca="false">IF(H271,ROUND(E271*K271,2),Assumptions!$B$11)</f>
        <v>84320</v>
      </c>
      <c r="M271" s="7" t="n">
        <f aca="false">ABS(F271-L271)</f>
        <v>0</v>
      </c>
      <c r="N271" s="6" t="n">
        <f aca="false">INT(E271/Assumptions!$B$12)</f>
        <v>1</v>
      </c>
    </row>
    <row r="272" customFormat="false" ht="15" hidden="false" customHeight="false" outlineLevel="0" collapsed="false">
      <c r="A272" s="2" t="s">
        <v>315</v>
      </c>
      <c r="B272" s="2" t="s">
        <v>47</v>
      </c>
      <c r="C272" s="2" t="s">
        <v>17</v>
      </c>
      <c r="D272" s="2" t="s">
        <v>12</v>
      </c>
      <c r="E272" s="5" t="n">
        <v>363000</v>
      </c>
      <c r="F272" s="5" t="n">
        <v>254100</v>
      </c>
      <c r="G272" s="5" t="n">
        <v>152460</v>
      </c>
      <c r="H272" s="5" t="n">
        <f aca="false">TRUE()</f>
        <v>1</v>
      </c>
      <c r="I272" s="6" t="n">
        <f aca="false">VLOOKUP(D272,Assumptions!$H$4:$I$5,2,FALSE())</f>
        <v>1</v>
      </c>
      <c r="J272" s="6" t="n">
        <f aca="false">MATCH(C272,Assumptions!$K$4:$K$6,0)</f>
        <v>2</v>
      </c>
      <c r="K272" s="6" t="n">
        <f aca="false">INDEX(Assumptions!$L$4:$L$6,J272)</f>
        <v>0.7</v>
      </c>
      <c r="L272" s="6" t="n">
        <f aca="false">IF(H272,ROUND(E272*K272,2),Assumptions!$B$11)</f>
        <v>254100</v>
      </c>
      <c r="M272" s="7" t="n">
        <f aca="false">ABS(F272-L272)</f>
        <v>0</v>
      </c>
      <c r="N272" s="6" t="n">
        <f aca="false">INT(E272/Assumptions!$B$12)</f>
        <v>3</v>
      </c>
    </row>
    <row r="273" customFormat="false" ht="15" hidden="false" customHeight="false" outlineLevel="0" collapsed="false">
      <c r="A273" s="2" t="s">
        <v>316</v>
      </c>
      <c r="B273" s="2" t="s">
        <v>47</v>
      </c>
      <c r="C273" s="2" t="s">
        <v>20</v>
      </c>
      <c r="D273" s="2" t="s">
        <v>12</v>
      </c>
      <c r="E273" s="5" t="n">
        <v>221000</v>
      </c>
      <c r="F273" s="5" t="n">
        <v>121550</v>
      </c>
      <c r="G273" s="5" t="n">
        <v>72930</v>
      </c>
      <c r="H273" s="5" t="n">
        <f aca="false">TRUE()</f>
        <v>1</v>
      </c>
      <c r="I273" s="6" t="n">
        <f aca="false">VLOOKUP(D273,Assumptions!$H$4:$I$5,2,FALSE())</f>
        <v>1</v>
      </c>
      <c r="J273" s="6" t="n">
        <f aca="false">MATCH(C273,Assumptions!$K$4:$K$6,0)</f>
        <v>3</v>
      </c>
      <c r="K273" s="6" t="n">
        <f aca="false">INDEX(Assumptions!$L$4:$L$6,J273)</f>
        <v>0.55</v>
      </c>
      <c r="L273" s="6" t="n">
        <f aca="false">IF(H273,ROUND(E273*K273,2),Assumptions!$B$11)</f>
        <v>121550</v>
      </c>
      <c r="M273" s="7" t="n">
        <f aca="false">ABS(F273-L273)</f>
        <v>0</v>
      </c>
      <c r="N273" s="6" t="n">
        <f aca="false">INT(E273/Assumptions!$B$12)</f>
        <v>2</v>
      </c>
    </row>
    <row r="274" customFormat="false" ht="15" hidden="false" customHeight="false" outlineLevel="0" collapsed="false">
      <c r="A274" s="2" t="s">
        <v>317</v>
      </c>
      <c r="B274" s="2" t="s">
        <v>47</v>
      </c>
      <c r="C274" s="2" t="s">
        <v>13</v>
      </c>
      <c r="D274" s="2" t="s">
        <v>12</v>
      </c>
      <c r="E274" s="5" t="n">
        <v>242000</v>
      </c>
      <c r="F274" s="5" t="n">
        <v>150040</v>
      </c>
      <c r="G274" s="5" t="n">
        <v>90024</v>
      </c>
      <c r="H274" s="5" t="n">
        <f aca="false">TRUE()</f>
        <v>1</v>
      </c>
      <c r="I274" s="6" t="n">
        <f aca="false">VLOOKUP(D274,Assumptions!$H$4:$I$5,2,FALSE())</f>
        <v>1</v>
      </c>
      <c r="J274" s="6" t="n">
        <f aca="false">MATCH(C274,Assumptions!$K$4:$K$6,0)</f>
        <v>1</v>
      </c>
      <c r="K274" s="6" t="n">
        <f aca="false">INDEX(Assumptions!$L$4:$L$6,J274)</f>
        <v>0.62</v>
      </c>
      <c r="L274" s="6" t="n">
        <f aca="false">IF(H274,ROUND(E274*K274,2),Assumptions!$B$11)</f>
        <v>150040</v>
      </c>
      <c r="M274" s="7" t="n">
        <f aca="false">ABS(F274-L274)</f>
        <v>0</v>
      </c>
      <c r="N274" s="6" t="n">
        <f aca="false">INT(E274/Assumptions!$B$12)</f>
        <v>2</v>
      </c>
    </row>
    <row r="275" customFormat="false" ht="15" hidden="false" customHeight="false" outlineLevel="0" collapsed="false">
      <c r="A275" s="2" t="s">
        <v>318</v>
      </c>
      <c r="B275" s="2" t="s">
        <v>47</v>
      </c>
      <c r="C275" s="2" t="s">
        <v>17</v>
      </c>
      <c r="D275" s="2" t="s">
        <v>16</v>
      </c>
      <c r="E275" s="5" t="n">
        <v>442000</v>
      </c>
      <c r="F275" s="5" t="n">
        <v>309400</v>
      </c>
      <c r="G275" s="5" t="n">
        <v>185640</v>
      </c>
      <c r="H275" s="5" t="n">
        <f aca="false">FALSE()</f>
        <v>0</v>
      </c>
      <c r="I275" s="6" t="n">
        <f aca="false">VLOOKUP(D275,Assumptions!$H$4:$I$5,2,FALSE())</f>
        <v>1.15</v>
      </c>
      <c r="J275" s="6" t="n">
        <f aca="false">MATCH(C275,Assumptions!$K$4:$K$6,0)</f>
        <v>2</v>
      </c>
      <c r="K275" s="6" t="n">
        <f aca="false">INDEX(Assumptions!$L$4:$L$6,J275)</f>
        <v>0.7</v>
      </c>
      <c r="L275" s="6" t="n">
        <f aca="false">IF(H275,ROUND(E275*K275,2),Assumptions!$B$11)</f>
        <v>0</v>
      </c>
      <c r="M275" s="7" t="n">
        <f aca="false">ABS(F275-L275)</f>
        <v>309400</v>
      </c>
      <c r="N275" s="6" t="n">
        <f aca="false">INT(E275/Assumptions!$B$12)</f>
        <v>4</v>
      </c>
    </row>
    <row r="276" customFormat="false" ht="15" hidden="false" customHeight="false" outlineLevel="0" collapsed="false">
      <c r="A276" s="2" t="s">
        <v>319</v>
      </c>
      <c r="B276" s="2" t="s">
        <v>47</v>
      </c>
      <c r="C276" s="2" t="s">
        <v>20</v>
      </c>
      <c r="D276" s="2" t="s">
        <v>12</v>
      </c>
      <c r="E276" s="5" t="n">
        <v>348000</v>
      </c>
      <c r="F276" s="5" t="n">
        <v>191400</v>
      </c>
      <c r="G276" s="5" t="n">
        <v>114840</v>
      </c>
      <c r="H276" s="5" t="n">
        <f aca="false">TRUE()</f>
        <v>1</v>
      </c>
      <c r="I276" s="6" t="n">
        <f aca="false">VLOOKUP(D276,Assumptions!$H$4:$I$5,2,FALSE())</f>
        <v>1</v>
      </c>
      <c r="J276" s="6" t="n">
        <f aca="false">MATCH(C276,Assumptions!$K$4:$K$6,0)</f>
        <v>3</v>
      </c>
      <c r="K276" s="6" t="n">
        <f aca="false">INDEX(Assumptions!$L$4:$L$6,J276)</f>
        <v>0.55</v>
      </c>
      <c r="L276" s="6" t="n">
        <f aca="false">IF(H276,ROUND(E276*K276,2),Assumptions!$B$11)</f>
        <v>191400</v>
      </c>
      <c r="M276" s="7" t="n">
        <f aca="false">ABS(F276-L276)</f>
        <v>0</v>
      </c>
      <c r="N276" s="6" t="n">
        <f aca="false">INT(E276/Assumptions!$B$12)</f>
        <v>3</v>
      </c>
    </row>
    <row r="277" customFormat="false" ht="15" hidden="false" customHeight="false" outlineLevel="0" collapsed="false">
      <c r="A277" s="2" t="s">
        <v>320</v>
      </c>
      <c r="B277" s="2" t="s">
        <v>47</v>
      </c>
      <c r="C277" s="2" t="s">
        <v>13</v>
      </c>
      <c r="D277" s="2" t="s">
        <v>12</v>
      </c>
      <c r="E277" s="5" t="n">
        <v>209000</v>
      </c>
      <c r="F277" s="5" t="n">
        <v>129580</v>
      </c>
      <c r="G277" s="5" t="n">
        <v>77748</v>
      </c>
      <c r="H277" s="5" t="n">
        <f aca="false">TRUE()</f>
        <v>1</v>
      </c>
      <c r="I277" s="6" t="n">
        <f aca="false">VLOOKUP(D277,Assumptions!$H$4:$I$5,2,FALSE())</f>
        <v>1</v>
      </c>
      <c r="J277" s="6" t="n">
        <f aca="false">MATCH(C277,Assumptions!$K$4:$K$6,0)</f>
        <v>1</v>
      </c>
      <c r="K277" s="6" t="n">
        <f aca="false">INDEX(Assumptions!$L$4:$L$6,J277)</f>
        <v>0.62</v>
      </c>
      <c r="L277" s="6" t="n">
        <f aca="false">IF(H277,ROUND(E277*K277,2),Assumptions!$B$11)</f>
        <v>129580</v>
      </c>
      <c r="M277" s="7" t="n">
        <f aca="false">ABS(F277-L277)</f>
        <v>0</v>
      </c>
      <c r="N277" s="6" t="n">
        <f aca="false">INT(E277/Assumptions!$B$12)</f>
        <v>2</v>
      </c>
    </row>
    <row r="278" customFormat="false" ht="15" hidden="false" customHeight="false" outlineLevel="0" collapsed="false">
      <c r="A278" s="2" t="s">
        <v>321</v>
      </c>
      <c r="B278" s="2" t="s">
        <v>47</v>
      </c>
      <c r="C278" s="2" t="s">
        <v>17</v>
      </c>
      <c r="D278" s="2" t="s">
        <v>12</v>
      </c>
      <c r="E278" s="5" t="n">
        <v>376000</v>
      </c>
      <c r="F278" s="5" t="n">
        <v>263200</v>
      </c>
      <c r="G278" s="5" t="n">
        <v>157920</v>
      </c>
      <c r="H278" s="5" t="n">
        <f aca="false">TRUE()</f>
        <v>1</v>
      </c>
      <c r="I278" s="6" t="n">
        <f aca="false">VLOOKUP(D278,Assumptions!$H$4:$I$5,2,FALSE())</f>
        <v>1</v>
      </c>
      <c r="J278" s="6" t="n">
        <f aca="false">MATCH(C278,Assumptions!$K$4:$K$6,0)</f>
        <v>2</v>
      </c>
      <c r="K278" s="6" t="n">
        <f aca="false">INDEX(Assumptions!$L$4:$L$6,J278)</f>
        <v>0.7</v>
      </c>
      <c r="L278" s="6" t="n">
        <f aca="false">IF(H278,ROUND(E278*K278,2),Assumptions!$B$11)</f>
        <v>263200</v>
      </c>
      <c r="M278" s="7" t="n">
        <f aca="false">ABS(F278-L278)</f>
        <v>0</v>
      </c>
      <c r="N278" s="6" t="n">
        <f aca="false">INT(E278/Assumptions!$B$12)</f>
        <v>3</v>
      </c>
    </row>
    <row r="279" customFormat="false" ht="15" hidden="false" customHeight="false" outlineLevel="0" collapsed="false">
      <c r="A279" s="2" t="s">
        <v>322</v>
      </c>
      <c r="B279" s="2" t="s">
        <v>47</v>
      </c>
      <c r="C279" s="2" t="s">
        <v>20</v>
      </c>
      <c r="D279" s="2" t="s">
        <v>16</v>
      </c>
      <c r="E279" s="5" t="n">
        <v>167000</v>
      </c>
      <c r="F279" s="5" t="n">
        <v>91850</v>
      </c>
      <c r="G279" s="5" t="n">
        <v>55110</v>
      </c>
      <c r="H279" s="5" t="n">
        <f aca="false">TRUE()</f>
        <v>1</v>
      </c>
      <c r="I279" s="6" t="n">
        <f aca="false">VLOOKUP(D279,Assumptions!$H$4:$I$5,2,FALSE())</f>
        <v>1.15</v>
      </c>
      <c r="J279" s="6" t="n">
        <f aca="false">MATCH(C279,Assumptions!$K$4:$K$6,0)</f>
        <v>3</v>
      </c>
      <c r="K279" s="6" t="n">
        <f aca="false">INDEX(Assumptions!$L$4:$L$6,J279)</f>
        <v>0.55</v>
      </c>
      <c r="L279" s="6" t="n">
        <f aca="false">IF(H279,ROUND(E279*K279,2),Assumptions!$B$11)</f>
        <v>91850</v>
      </c>
      <c r="M279" s="7" t="n">
        <f aca="false">ABS(F279-L279)</f>
        <v>0</v>
      </c>
      <c r="N279" s="6" t="n">
        <f aca="false">INT(E279/Assumptions!$B$12)</f>
        <v>1</v>
      </c>
    </row>
    <row r="280" customFormat="false" ht="15" hidden="false" customHeight="false" outlineLevel="0" collapsed="false">
      <c r="A280" s="2" t="s">
        <v>323</v>
      </c>
      <c r="B280" s="2" t="s">
        <v>47</v>
      </c>
      <c r="C280" s="2" t="s">
        <v>13</v>
      </c>
      <c r="D280" s="2" t="s">
        <v>12</v>
      </c>
      <c r="E280" s="5" t="n">
        <v>470000</v>
      </c>
      <c r="F280" s="5" t="n">
        <v>291400</v>
      </c>
      <c r="G280" s="5" t="n">
        <v>174840</v>
      </c>
      <c r="H280" s="5" t="n">
        <f aca="false">TRUE()</f>
        <v>1</v>
      </c>
      <c r="I280" s="6" t="n">
        <f aca="false">VLOOKUP(D280,Assumptions!$H$4:$I$5,2,FALSE())</f>
        <v>1</v>
      </c>
      <c r="J280" s="6" t="n">
        <f aca="false">MATCH(C280,Assumptions!$K$4:$K$6,0)</f>
        <v>1</v>
      </c>
      <c r="K280" s="6" t="n">
        <f aca="false">INDEX(Assumptions!$L$4:$L$6,J280)</f>
        <v>0.62</v>
      </c>
      <c r="L280" s="6" t="n">
        <f aca="false">IF(H280,ROUND(E280*K280,2),Assumptions!$B$11)</f>
        <v>291400</v>
      </c>
      <c r="M280" s="7" t="n">
        <f aca="false">ABS(F280-L280)</f>
        <v>0</v>
      </c>
      <c r="N280" s="6" t="n">
        <f aca="false">INT(E280/Assumptions!$B$12)</f>
        <v>4</v>
      </c>
    </row>
    <row r="281" customFormat="false" ht="15" hidden="false" customHeight="false" outlineLevel="0" collapsed="false">
      <c r="A281" s="2" t="s">
        <v>324</v>
      </c>
      <c r="B281" s="2" t="s">
        <v>47</v>
      </c>
      <c r="C281" s="2" t="s">
        <v>17</v>
      </c>
      <c r="D281" s="2" t="s">
        <v>12</v>
      </c>
      <c r="E281" s="5" t="n">
        <v>392000</v>
      </c>
      <c r="F281" s="5" t="n">
        <v>274400</v>
      </c>
      <c r="G281" s="5" t="n">
        <v>164640</v>
      </c>
      <c r="H281" s="5" t="n">
        <f aca="false">TRUE()</f>
        <v>1</v>
      </c>
      <c r="I281" s="6" t="n">
        <f aca="false">VLOOKUP(D281,Assumptions!$H$4:$I$5,2,FALSE())</f>
        <v>1</v>
      </c>
      <c r="J281" s="6" t="n">
        <f aca="false">MATCH(C281,Assumptions!$K$4:$K$6,0)</f>
        <v>2</v>
      </c>
      <c r="K281" s="6" t="n">
        <f aca="false">INDEX(Assumptions!$L$4:$L$6,J281)</f>
        <v>0.7</v>
      </c>
      <c r="L281" s="6" t="n">
        <f aca="false">IF(H281,ROUND(E281*K281,2),Assumptions!$B$11)</f>
        <v>274400</v>
      </c>
      <c r="M281" s="7" t="n">
        <f aca="false">ABS(F281-L281)</f>
        <v>0</v>
      </c>
      <c r="N281" s="6" t="n">
        <f aca="false">INT(E281/Assumptions!$B$12)</f>
        <v>3</v>
      </c>
    </row>
    <row r="282" customFormat="false" ht="15" hidden="false" customHeight="false" outlineLevel="0" collapsed="false">
      <c r="A282" s="2" t="s">
        <v>325</v>
      </c>
      <c r="B282" s="2" t="s">
        <v>47</v>
      </c>
      <c r="C282" s="2" t="s">
        <v>20</v>
      </c>
      <c r="D282" s="2" t="s">
        <v>12</v>
      </c>
      <c r="E282" s="5" t="n">
        <v>395000</v>
      </c>
      <c r="F282" s="5" t="n">
        <v>217250</v>
      </c>
      <c r="G282" s="5" t="n">
        <v>130350</v>
      </c>
      <c r="H282" s="5" t="n">
        <f aca="false">TRUE()</f>
        <v>1</v>
      </c>
      <c r="I282" s="6" t="n">
        <f aca="false">VLOOKUP(D282,Assumptions!$H$4:$I$5,2,FALSE())</f>
        <v>1</v>
      </c>
      <c r="J282" s="6" t="n">
        <f aca="false">MATCH(C282,Assumptions!$K$4:$K$6,0)</f>
        <v>3</v>
      </c>
      <c r="K282" s="6" t="n">
        <f aca="false">INDEX(Assumptions!$L$4:$L$6,J282)</f>
        <v>0.55</v>
      </c>
      <c r="L282" s="6" t="n">
        <f aca="false">IF(H282,ROUND(E282*K282,2),Assumptions!$B$11)</f>
        <v>217250</v>
      </c>
      <c r="M282" s="7" t="n">
        <f aca="false">ABS(F282-L282)</f>
        <v>0</v>
      </c>
      <c r="N282" s="6" t="n">
        <f aca="false">INT(E282/Assumptions!$B$12)</f>
        <v>3</v>
      </c>
    </row>
    <row r="283" customFormat="false" ht="15" hidden="false" customHeight="false" outlineLevel="0" collapsed="false">
      <c r="A283" s="2" t="s">
        <v>326</v>
      </c>
      <c r="B283" s="2" t="s">
        <v>47</v>
      </c>
      <c r="C283" s="2" t="s">
        <v>13</v>
      </c>
      <c r="D283" s="2" t="s">
        <v>16</v>
      </c>
      <c r="E283" s="5" t="n">
        <v>342000</v>
      </c>
      <c r="F283" s="5" t="n">
        <v>212040</v>
      </c>
      <c r="G283" s="5" t="n">
        <v>127224</v>
      </c>
      <c r="H283" s="5" t="n">
        <f aca="false">TRUE()</f>
        <v>1</v>
      </c>
      <c r="I283" s="6" t="n">
        <f aca="false">VLOOKUP(D283,Assumptions!$H$4:$I$5,2,FALSE())</f>
        <v>1.15</v>
      </c>
      <c r="J283" s="6" t="n">
        <f aca="false">MATCH(C283,Assumptions!$K$4:$K$6,0)</f>
        <v>1</v>
      </c>
      <c r="K283" s="6" t="n">
        <f aca="false">INDEX(Assumptions!$L$4:$L$6,J283)</f>
        <v>0.62</v>
      </c>
      <c r="L283" s="6" t="n">
        <f aca="false">IF(H283,ROUND(E283*K283,2),Assumptions!$B$11)</f>
        <v>212040</v>
      </c>
      <c r="M283" s="7" t="n">
        <f aca="false">ABS(F283-L283)</f>
        <v>0</v>
      </c>
      <c r="N283" s="6" t="n">
        <f aca="false">INT(E283/Assumptions!$B$12)</f>
        <v>3</v>
      </c>
    </row>
    <row r="284" customFormat="false" ht="15" hidden="false" customHeight="false" outlineLevel="0" collapsed="false">
      <c r="A284" s="2" t="s">
        <v>327</v>
      </c>
      <c r="B284" s="2" t="s">
        <v>47</v>
      </c>
      <c r="C284" s="2" t="s">
        <v>17</v>
      </c>
      <c r="D284" s="2" t="s">
        <v>12</v>
      </c>
      <c r="E284" s="5" t="n">
        <v>224000</v>
      </c>
      <c r="F284" s="5" t="n">
        <v>156800</v>
      </c>
      <c r="G284" s="5" t="n">
        <v>94080</v>
      </c>
      <c r="H284" s="5" t="n">
        <f aca="false">TRUE()</f>
        <v>1</v>
      </c>
      <c r="I284" s="6" t="n">
        <f aca="false">VLOOKUP(D284,Assumptions!$H$4:$I$5,2,FALSE())</f>
        <v>1</v>
      </c>
      <c r="J284" s="6" t="n">
        <f aca="false">MATCH(C284,Assumptions!$K$4:$K$6,0)</f>
        <v>2</v>
      </c>
      <c r="K284" s="6" t="n">
        <f aca="false">INDEX(Assumptions!$L$4:$L$6,J284)</f>
        <v>0.7</v>
      </c>
      <c r="L284" s="6" t="n">
        <f aca="false">IF(H284,ROUND(E284*K284,2),Assumptions!$B$11)</f>
        <v>156800</v>
      </c>
      <c r="M284" s="7" t="n">
        <f aca="false">ABS(F284-L284)</f>
        <v>0</v>
      </c>
      <c r="N284" s="6" t="n">
        <f aca="false">INT(E284/Assumptions!$B$12)</f>
        <v>2</v>
      </c>
    </row>
    <row r="285" customFormat="false" ht="15" hidden="false" customHeight="false" outlineLevel="0" collapsed="false">
      <c r="A285" s="2" t="s">
        <v>328</v>
      </c>
      <c r="B285" s="2" t="s">
        <v>47</v>
      </c>
      <c r="C285" s="2" t="s">
        <v>20</v>
      </c>
      <c r="D285" s="2" t="s">
        <v>12</v>
      </c>
      <c r="E285" s="5" t="n">
        <v>342000</v>
      </c>
      <c r="F285" s="5" t="n">
        <v>188100</v>
      </c>
      <c r="G285" s="5" t="n">
        <v>112860</v>
      </c>
      <c r="H285" s="5" t="n">
        <f aca="false">TRUE()</f>
        <v>1</v>
      </c>
      <c r="I285" s="6" t="n">
        <f aca="false">VLOOKUP(D285,Assumptions!$H$4:$I$5,2,FALSE())</f>
        <v>1</v>
      </c>
      <c r="J285" s="6" t="n">
        <f aca="false">MATCH(C285,Assumptions!$K$4:$K$6,0)</f>
        <v>3</v>
      </c>
      <c r="K285" s="6" t="n">
        <f aca="false">INDEX(Assumptions!$L$4:$L$6,J285)</f>
        <v>0.55</v>
      </c>
      <c r="L285" s="6" t="n">
        <f aca="false">IF(H285,ROUND(E285*K285,2),Assumptions!$B$11)</f>
        <v>188100</v>
      </c>
      <c r="M285" s="7" t="n">
        <f aca="false">ABS(F285-L285)</f>
        <v>0</v>
      </c>
      <c r="N285" s="6" t="n">
        <f aca="false">INT(E285/Assumptions!$B$12)</f>
        <v>3</v>
      </c>
    </row>
    <row r="286" customFormat="false" ht="15" hidden="false" customHeight="false" outlineLevel="0" collapsed="false">
      <c r="A286" s="2" t="s">
        <v>329</v>
      </c>
      <c r="B286" s="2" t="s">
        <v>47</v>
      </c>
      <c r="C286" s="2" t="s">
        <v>13</v>
      </c>
      <c r="D286" s="2" t="s">
        <v>12</v>
      </c>
      <c r="E286" s="5" t="n">
        <v>308000</v>
      </c>
      <c r="F286" s="5" t="n">
        <v>190960</v>
      </c>
      <c r="G286" s="5" t="n">
        <v>114576</v>
      </c>
      <c r="H286" s="5" t="n">
        <f aca="false">TRUE()</f>
        <v>1</v>
      </c>
      <c r="I286" s="6" t="n">
        <f aca="false">VLOOKUP(D286,Assumptions!$H$4:$I$5,2,FALSE())</f>
        <v>1</v>
      </c>
      <c r="J286" s="6" t="n">
        <f aca="false">MATCH(C286,Assumptions!$K$4:$K$6,0)</f>
        <v>1</v>
      </c>
      <c r="K286" s="6" t="n">
        <f aca="false">INDEX(Assumptions!$L$4:$L$6,J286)</f>
        <v>0.62</v>
      </c>
      <c r="L286" s="6" t="n">
        <f aca="false">IF(H286,ROUND(E286*K286,2),Assumptions!$B$11)</f>
        <v>190960</v>
      </c>
      <c r="M286" s="7" t="n">
        <f aca="false">ABS(F286-L286)</f>
        <v>0</v>
      </c>
      <c r="N286" s="6" t="n">
        <f aca="false">INT(E286/Assumptions!$B$12)</f>
        <v>3</v>
      </c>
    </row>
    <row r="287" customFormat="false" ht="15" hidden="false" customHeight="false" outlineLevel="0" collapsed="false">
      <c r="A287" s="2" t="s">
        <v>330</v>
      </c>
      <c r="B287" s="2" t="s">
        <v>47</v>
      </c>
      <c r="C287" s="2" t="s">
        <v>17</v>
      </c>
      <c r="D287" s="2" t="s">
        <v>16</v>
      </c>
      <c r="E287" s="5" t="n">
        <v>197000</v>
      </c>
      <c r="F287" s="5" t="n">
        <v>137900</v>
      </c>
      <c r="G287" s="5" t="n">
        <v>82740</v>
      </c>
      <c r="H287" s="5" t="n">
        <f aca="false">TRUE()</f>
        <v>1</v>
      </c>
      <c r="I287" s="6" t="n">
        <f aca="false">VLOOKUP(D287,Assumptions!$H$4:$I$5,2,FALSE())</f>
        <v>1.15</v>
      </c>
      <c r="J287" s="6" t="n">
        <f aca="false">MATCH(C287,Assumptions!$K$4:$K$6,0)</f>
        <v>2</v>
      </c>
      <c r="K287" s="6" t="n">
        <f aca="false">INDEX(Assumptions!$L$4:$L$6,J287)</f>
        <v>0.7</v>
      </c>
      <c r="L287" s="6" t="n">
        <f aca="false">IF(H287,ROUND(E287*K287,2),Assumptions!$B$11)</f>
        <v>137900</v>
      </c>
      <c r="M287" s="7" t="n">
        <f aca="false">ABS(F287-L287)</f>
        <v>0</v>
      </c>
      <c r="N287" s="6" t="n">
        <f aca="false">INT(E287/Assumptions!$B$12)</f>
        <v>1</v>
      </c>
    </row>
    <row r="288" customFormat="false" ht="15" hidden="false" customHeight="false" outlineLevel="0" collapsed="false">
      <c r="A288" s="2" t="s">
        <v>331</v>
      </c>
      <c r="B288" s="2" t="s">
        <v>47</v>
      </c>
      <c r="C288" s="2" t="s">
        <v>20</v>
      </c>
      <c r="D288" s="2" t="s">
        <v>12</v>
      </c>
      <c r="E288" s="5" t="n">
        <v>148000</v>
      </c>
      <c r="F288" s="5" t="n">
        <v>81400</v>
      </c>
      <c r="G288" s="5" t="n">
        <v>48840</v>
      </c>
      <c r="H288" s="5" t="n">
        <f aca="false">TRUE()</f>
        <v>1</v>
      </c>
      <c r="I288" s="6" t="n">
        <f aca="false">VLOOKUP(D288,Assumptions!$H$4:$I$5,2,FALSE())</f>
        <v>1</v>
      </c>
      <c r="J288" s="6" t="n">
        <f aca="false">MATCH(C288,Assumptions!$K$4:$K$6,0)</f>
        <v>3</v>
      </c>
      <c r="K288" s="6" t="n">
        <f aca="false">INDEX(Assumptions!$L$4:$L$6,J288)</f>
        <v>0.55</v>
      </c>
      <c r="L288" s="6" t="n">
        <f aca="false">IF(H288,ROUND(E288*K288,2),Assumptions!$B$11)</f>
        <v>81400</v>
      </c>
      <c r="M288" s="7" t="n">
        <f aca="false">ABS(F288-L288)</f>
        <v>0</v>
      </c>
      <c r="N288" s="6" t="n">
        <f aca="false">INT(E288/Assumptions!$B$12)</f>
        <v>1</v>
      </c>
    </row>
    <row r="289" customFormat="false" ht="15" hidden="false" customHeight="false" outlineLevel="0" collapsed="false">
      <c r="A289" s="2" t="s">
        <v>332</v>
      </c>
      <c r="B289" s="2" t="s">
        <v>47</v>
      </c>
      <c r="C289" s="2" t="s">
        <v>13</v>
      </c>
      <c r="D289" s="2" t="s">
        <v>12</v>
      </c>
      <c r="E289" s="5" t="n">
        <v>149000</v>
      </c>
      <c r="F289" s="5" t="n">
        <v>92380</v>
      </c>
      <c r="G289" s="5" t="n">
        <v>55428</v>
      </c>
      <c r="H289" s="5" t="n">
        <f aca="false">TRUE()</f>
        <v>1</v>
      </c>
      <c r="I289" s="6" t="n">
        <f aca="false">VLOOKUP(D289,Assumptions!$H$4:$I$5,2,FALSE())</f>
        <v>1</v>
      </c>
      <c r="J289" s="6" t="n">
        <f aca="false">MATCH(C289,Assumptions!$K$4:$K$6,0)</f>
        <v>1</v>
      </c>
      <c r="K289" s="6" t="n">
        <f aca="false">INDEX(Assumptions!$L$4:$L$6,J289)</f>
        <v>0.62</v>
      </c>
      <c r="L289" s="6" t="n">
        <f aca="false">IF(H289,ROUND(E289*K289,2),Assumptions!$B$11)</f>
        <v>92380</v>
      </c>
      <c r="M289" s="7" t="n">
        <f aca="false">ABS(F289-L289)</f>
        <v>0</v>
      </c>
      <c r="N289" s="6" t="n">
        <f aca="false">INT(E289/Assumptions!$B$12)</f>
        <v>1</v>
      </c>
    </row>
    <row r="290" customFormat="false" ht="15" hidden="false" customHeight="false" outlineLevel="0" collapsed="false">
      <c r="A290" s="2" t="s">
        <v>333</v>
      </c>
      <c r="B290" s="2" t="s">
        <v>47</v>
      </c>
      <c r="C290" s="2" t="s">
        <v>17</v>
      </c>
      <c r="D290" s="2" t="s">
        <v>12</v>
      </c>
      <c r="E290" s="5" t="n">
        <v>437000</v>
      </c>
      <c r="F290" s="5" t="n">
        <v>305900</v>
      </c>
      <c r="G290" s="5" t="n">
        <v>183540</v>
      </c>
      <c r="H290" s="5" t="n">
        <f aca="false">TRUE()</f>
        <v>1</v>
      </c>
      <c r="I290" s="6" t="n">
        <f aca="false">VLOOKUP(D290,Assumptions!$H$4:$I$5,2,FALSE())</f>
        <v>1</v>
      </c>
      <c r="J290" s="6" t="n">
        <f aca="false">MATCH(C290,Assumptions!$K$4:$K$6,0)</f>
        <v>2</v>
      </c>
      <c r="K290" s="6" t="n">
        <f aca="false">INDEX(Assumptions!$L$4:$L$6,J290)</f>
        <v>0.7</v>
      </c>
      <c r="L290" s="6" t="n">
        <f aca="false">IF(H290,ROUND(E290*K290,2),Assumptions!$B$11)</f>
        <v>305900</v>
      </c>
      <c r="M290" s="7" t="n">
        <f aca="false">ABS(F290-L290)</f>
        <v>0</v>
      </c>
      <c r="N290" s="6" t="n">
        <f aca="false">INT(E290/Assumptions!$B$12)</f>
        <v>4</v>
      </c>
    </row>
    <row r="291" customFormat="false" ht="15" hidden="false" customHeight="false" outlineLevel="0" collapsed="false">
      <c r="A291" s="2" t="s">
        <v>334</v>
      </c>
      <c r="B291" s="2" t="s">
        <v>47</v>
      </c>
      <c r="C291" s="2" t="s">
        <v>20</v>
      </c>
      <c r="D291" s="2" t="s">
        <v>16</v>
      </c>
      <c r="E291" s="5" t="n">
        <v>320000</v>
      </c>
      <c r="F291" s="5" t="n">
        <v>176000</v>
      </c>
      <c r="G291" s="5" t="n">
        <v>105600</v>
      </c>
      <c r="H291" s="5" t="n">
        <f aca="false">TRUE()</f>
        <v>1</v>
      </c>
      <c r="I291" s="6" t="n">
        <f aca="false">VLOOKUP(D291,Assumptions!$H$4:$I$5,2,FALSE())</f>
        <v>1.15</v>
      </c>
      <c r="J291" s="6" t="n">
        <f aca="false">MATCH(C291,Assumptions!$K$4:$K$6,0)</f>
        <v>3</v>
      </c>
      <c r="K291" s="6" t="n">
        <f aca="false">INDEX(Assumptions!$L$4:$L$6,J291)</f>
        <v>0.55</v>
      </c>
      <c r="L291" s="6" t="n">
        <f aca="false">IF(H291,ROUND(E291*K291,2),Assumptions!$B$11)</f>
        <v>176000</v>
      </c>
      <c r="M291" s="7" t="n">
        <f aca="false">ABS(F291-L291)</f>
        <v>0</v>
      </c>
      <c r="N291" s="6" t="n">
        <f aca="false">INT(E291/Assumptions!$B$12)</f>
        <v>3</v>
      </c>
    </row>
    <row r="292" customFormat="false" ht="15" hidden="false" customHeight="false" outlineLevel="0" collapsed="false">
      <c r="A292" s="2" t="s">
        <v>335</v>
      </c>
      <c r="B292" s="2" t="s">
        <v>47</v>
      </c>
      <c r="C292" s="2" t="s">
        <v>13</v>
      </c>
      <c r="D292" s="2" t="s">
        <v>12</v>
      </c>
      <c r="E292" s="5" t="n">
        <v>281000</v>
      </c>
      <c r="F292" s="5" t="n">
        <v>174220</v>
      </c>
      <c r="G292" s="5" t="n">
        <v>104532</v>
      </c>
      <c r="H292" s="5" t="n">
        <f aca="false">FALSE()</f>
        <v>0</v>
      </c>
      <c r="I292" s="6" t="n">
        <f aca="false">VLOOKUP(D292,Assumptions!$H$4:$I$5,2,FALSE())</f>
        <v>1</v>
      </c>
      <c r="J292" s="6" t="n">
        <f aca="false">MATCH(C292,Assumptions!$K$4:$K$6,0)</f>
        <v>1</v>
      </c>
      <c r="K292" s="6" t="n">
        <f aca="false">INDEX(Assumptions!$L$4:$L$6,J292)</f>
        <v>0.62</v>
      </c>
      <c r="L292" s="6" t="n">
        <f aca="false">IF(H292,ROUND(E292*K292,2),Assumptions!$B$11)</f>
        <v>0</v>
      </c>
      <c r="M292" s="7" t="n">
        <f aca="false">ABS(F292-L292)</f>
        <v>174220</v>
      </c>
      <c r="N292" s="6" t="n">
        <f aca="false">INT(E292/Assumptions!$B$12)</f>
        <v>2</v>
      </c>
    </row>
    <row r="293" customFormat="false" ht="15" hidden="false" customHeight="false" outlineLevel="0" collapsed="false">
      <c r="A293" s="2" t="s">
        <v>336</v>
      </c>
      <c r="B293" s="2" t="s">
        <v>47</v>
      </c>
      <c r="C293" s="2" t="s">
        <v>17</v>
      </c>
      <c r="D293" s="2" t="s">
        <v>12</v>
      </c>
      <c r="E293" s="5" t="n">
        <v>316000</v>
      </c>
      <c r="F293" s="5" t="n">
        <v>221200</v>
      </c>
      <c r="G293" s="5" t="n">
        <v>132720</v>
      </c>
      <c r="H293" s="5" t="n">
        <f aca="false">TRUE()</f>
        <v>1</v>
      </c>
      <c r="I293" s="6" t="n">
        <f aca="false">VLOOKUP(D293,Assumptions!$H$4:$I$5,2,FALSE())</f>
        <v>1</v>
      </c>
      <c r="J293" s="6" t="n">
        <f aca="false">MATCH(C293,Assumptions!$K$4:$K$6,0)</f>
        <v>2</v>
      </c>
      <c r="K293" s="6" t="n">
        <f aca="false">INDEX(Assumptions!$L$4:$L$6,J293)</f>
        <v>0.7</v>
      </c>
      <c r="L293" s="6" t="n">
        <f aca="false">IF(H293,ROUND(E293*K293,2),Assumptions!$B$11)</f>
        <v>221200</v>
      </c>
      <c r="M293" s="7" t="n">
        <f aca="false">ABS(F293-L293)</f>
        <v>0</v>
      </c>
      <c r="N293" s="6" t="n">
        <f aca="false">INT(E293/Assumptions!$B$12)</f>
        <v>3</v>
      </c>
    </row>
    <row r="294" customFormat="false" ht="15" hidden="false" customHeight="false" outlineLevel="0" collapsed="false">
      <c r="A294" s="2" t="s">
        <v>337</v>
      </c>
      <c r="B294" s="2" t="s">
        <v>47</v>
      </c>
      <c r="C294" s="2" t="s">
        <v>20</v>
      </c>
      <c r="D294" s="2" t="s">
        <v>12</v>
      </c>
      <c r="E294" s="5" t="n">
        <v>310000</v>
      </c>
      <c r="F294" s="5" t="n">
        <v>170500</v>
      </c>
      <c r="G294" s="5" t="n">
        <v>102300</v>
      </c>
      <c r="H294" s="5" t="n">
        <f aca="false">TRUE()</f>
        <v>1</v>
      </c>
      <c r="I294" s="6" t="n">
        <f aca="false">VLOOKUP(D294,Assumptions!$H$4:$I$5,2,FALSE())</f>
        <v>1</v>
      </c>
      <c r="J294" s="6" t="n">
        <f aca="false">MATCH(C294,Assumptions!$K$4:$K$6,0)</f>
        <v>3</v>
      </c>
      <c r="K294" s="6" t="n">
        <f aca="false">INDEX(Assumptions!$L$4:$L$6,J294)</f>
        <v>0.55</v>
      </c>
      <c r="L294" s="6" t="n">
        <f aca="false">IF(H294,ROUND(E294*K294,2),Assumptions!$B$11)</f>
        <v>170500</v>
      </c>
      <c r="M294" s="7" t="n">
        <f aca="false">ABS(F294-L294)</f>
        <v>0</v>
      </c>
      <c r="N294" s="6" t="n">
        <f aca="false">INT(E294/Assumptions!$B$12)</f>
        <v>3</v>
      </c>
    </row>
    <row r="295" customFormat="false" ht="15" hidden="false" customHeight="false" outlineLevel="0" collapsed="false">
      <c r="A295" s="2" t="s">
        <v>338</v>
      </c>
      <c r="B295" s="2" t="s">
        <v>47</v>
      </c>
      <c r="C295" s="2" t="s">
        <v>13</v>
      </c>
      <c r="D295" s="2" t="s">
        <v>16</v>
      </c>
      <c r="E295" s="5" t="n">
        <v>339000</v>
      </c>
      <c r="F295" s="5" t="n">
        <v>210180</v>
      </c>
      <c r="G295" s="5" t="n">
        <v>126108</v>
      </c>
      <c r="H295" s="5" t="n">
        <f aca="false">TRUE()</f>
        <v>1</v>
      </c>
      <c r="I295" s="6" t="n">
        <f aca="false">VLOOKUP(D295,Assumptions!$H$4:$I$5,2,FALSE())</f>
        <v>1.15</v>
      </c>
      <c r="J295" s="6" t="n">
        <f aca="false">MATCH(C295,Assumptions!$K$4:$K$6,0)</f>
        <v>1</v>
      </c>
      <c r="K295" s="6" t="n">
        <f aca="false">INDEX(Assumptions!$L$4:$L$6,J295)</f>
        <v>0.62</v>
      </c>
      <c r="L295" s="6" t="n">
        <f aca="false">IF(H295,ROUND(E295*K295,2),Assumptions!$B$11)</f>
        <v>210180</v>
      </c>
      <c r="M295" s="7" t="n">
        <f aca="false">ABS(F295-L295)</f>
        <v>0</v>
      </c>
      <c r="N295" s="6" t="n">
        <f aca="false">INT(E295/Assumptions!$B$12)</f>
        <v>3</v>
      </c>
    </row>
    <row r="296" customFormat="false" ht="15" hidden="false" customHeight="false" outlineLevel="0" collapsed="false">
      <c r="A296" s="2" t="s">
        <v>339</v>
      </c>
      <c r="B296" s="2" t="s">
        <v>47</v>
      </c>
      <c r="C296" s="2" t="s">
        <v>17</v>
      </c>
      <c r="D296" s="2" t="s">
        <v>12</v>
      </c>
      <c r="E296" s="5" t="n">
        <v>473000</v>
      </c>
      <c r="F296" s="5" t="n">
        <v>331100</v>
      </c>
      <c r="G296" s="5" t="n">
        <v>198660</v>
      </c>
      <c r="H296" s="5" t="n">
        <f aca="false">TRUE()</f>
        <v>1</v>
      </c>
      <c r="I296" s="6" t="n">
        <f aca="false">VLOOKUP(D296,Assumptions!$H$4:$I$5,2,FALSE())</f>
        <v>1</v>
      </c>
      <c r="J296" s="6" t="n">
        <f aca="false">MATCH(C296,Assumptions!$K$4:$K$6,0)</f>
        <v>2</v>
      </c>
      <c r="K296" s="6" t="n">
        <f aca="false">INDEX(Assumptions!$L$4:$L$6,J296)</f>
        <v>0.7</v>
      </c>
      <c r="L296" s="6" t="n">
        <f aca="false">IF(H296,ROUND(E296*K296,2),Assumptions!$B$11)</f>
        <v>331100</v>
      </c>
      <c r="M296" s="7" t="n">
        <f aca="false">ABS(F296-L296)</f>
        <v>0</v>
      </c>
      <c r="N296" s="6" t="n">
        <f aca="false">INT(E296/Assumptions!$B$12)</f>
        <v>4</v>
      </c>
    </row>
    <row r="297" customFormat="false" ht="15" hidden="false" customHeight="false" outlineLevel="0" collapsed="false">
      <c r="A297" s="2" t="s">
        <v>340</v>
      </c>
      <c r="B297" s="2" t="s">
        <v>47</v>
      </c>
      <c r="C297" s="2" t="s">
        <v>20</v>
      </c>
      <c r="D297" s="2" t="s">
        <v>12</v>
      </c>
      <c r="E297" s="5" t="n">
        <v>127000</v>
      </c>
      <c r="F297" s="5" t="n">
        <v>69850</v>
      </c>
      <c r="G297" s="5" t="n">
        <v>41910</v>
      </c>
      <c r="H297" s="5" t="n">
        <f aca="false">TRUE()</f>
        <v>1</v>
      </c>
      <c r="I297" s="6" t="n">
        <f aca="false">VLOOKUP(D297,Assumptions!$H$4:$I$5,2,FALSE())</f>
        <v>1</v>
      </c>
      <c r="J297" s="6" t="n">
        <f aca="false">MATCH(C297,Assumptions!$K$4:$K$6,0)</f>
        <v>3</v>
      </c>
      <c r="K297" s="6" t="n">
        <f aca="false">INDEX(Assumptions!$L$4:$L$6,J297)</f>
        <v>0.55</v>
      </c>
      <c r="L297" s="6" t="n">
        <f aca="false">IF(H297,ROUND(E297*K297,2),Assumptions!$B$11)</f>
        <v>69850</v>
      </c>
      <c r="M297" s="7" t="n">
        <f aca="false">ABS(F297-L297)</f>
        <v>0</v>
      </c>
      <c r="N297" s="6" t="n">
        <f aca="false">INT(E297/Assumptions!$B$12)</f>
        <v>1</v>
      </c>
    </row>
    <row r="298" customFormat="false" ht="15" hidden="false" customHeight="false" outlineLevel="0" collapsed="false">
      <c r="A298" s="2" t="s">
        <v>341</v>
      </c>
      <c r="B298" s="2" t="s">
        <v>47</v>
      </c>
      <c r="C298" s="2" t="s">
        <v>13</v>
      </c>
      <c r="D298" s="2" t="s">
        <v>12</v>
      </c>
      <c r="E298" s="5" t="n">
        <v>444000</v>
      </c>
      <c r="F298" s="5" t="n">
        <v>275280</v>
      </c>
      <c r="G298" s="5" t="n">
        <v>165168</v>
      </c>
      <c r="H298" s="5" t="n">
        <f aca="false">TRUE()</f>
        <v>1</v>
      </c>
      <c r="I298" s="6" t="n">
        <f aca="false">VLOOKUP(D298,Assumptions!$H$4:$I$5,2,FALSE())</f>
        <v>1</v>
      </c>
      <c r="J298" s="6" t="n">
        <f aca="false">MATCH(C298,Assumptions!$K$4:$K$6,0)</f>
        <v>1</v>
      </c>
      <c r="K298" s="6" t="n">
        <f aca="false">INDEX(Assumptions!$L$4:$L$6,J298)</f>
        <v>0.62</v>
      </c>
      <c r="L298" s="6" t="n">
        <f aca="false">IF(H298,ROUND(E298*K298,2),Assumptions!$B$11)</f>
        <v>275280</v>
      </c>
      <c r="M298" s="7" t="n">
        <f aca="false">ABS(F298-L298)</f>
        <v>0</v>
      </c>
      <c r="N298" s="6" t="n">
        <f aca="false">INT(E298/Assumptions!$B$12)</f>
        <v>4</v>
      </c>
    </row>
    <row r="299" customFormat="false" ht="15" hidden="false" customHeight="false" outlineLevel="0" collapsed="false">
      <c r="A299" s="2" t="s">
        <v>342</v>
      </c>
      <c r="B299" s="2" t="s">
        <v>47</v>
      </c>
      <c r="C299" s="2" t="s">
        <v>17</v>
      </c>
      <c r="D299" s="2" t="s">
        <v>16</v>
      </c>
      <c r="E299" s="5" t="n">
        <v>434000</v>
      </c>
      <c r="F299" s="5" t="n">
        <v>303800</v>
      </c>
      <c r="G299" s="5" t="n">
        <v>182280</v>
      </c>
      <c r="H299" s="5" t="n">
        <f aca="false">TRUE()</f>
        <v>1</v>
      </c>
      <c r="I299" s="6" t="n">
        <f aca="false">VLOOKUP(D299,Assumptions!$H$4:$I$5,2,FALSE())</f>
        <v>1.15</v>
      </c>
      <c r="J299" s="6" t="n">
        <f aca="false">MATCH(C299,Assumptions!$K$4:$K$6,0)</f>
        <v>2</v>
      </c>
      <c r="K299" s="6" t="n">
        <f aca="false">INDEX(Assumptions!$L$4:$L$6,J299)</f>
        <v>0.7</v>
      </c>
      <c r="L299" s="6" t="n">
        <f aca="false">IF(H299,ROUND(E299*K299,2),Assumptions!$B$11)</f>
        <v>303800</v>
      </c>
      <c r="M299" s="7" t="n">
        <f aca="false">ABS(F299-L299)</f>
        <v>0</v>
      </c>
      <c r="N299" s="6" t="n">
        <f aca="false">INT(E299/Assumptions!$B$12)</f>
        <v>4</v>
      </c>
    </row>
    <row r="300" customFormat="false" ht="15" hidden="false" customHeight="false" outlineLevel="0" collapsed="false">
      <c r="A300" s="2" t="s">
        <v>343</v>
      </c>
      <c r="B300" s="2" t="s">
        <v>47</v>
      </c>
      <c r="C300" s="2" t="s">
        <v>20</v>
      </c>
      <c r="D300" s="2" t="s">
        <v>12</v>
      </c>
      <c r="E300" s="5" t="n">
        <v>430000</v>
      </c>
      <c r="F300" s="5" t="n">
        <v>236500</v>
      </c>
      <c r="G300" s="5" t="n">
        <v>141900</v>
      </c>
      <c r="H300" s="5" t="n">
        <f aca="false">TRUE()</f>
        <v>1</v>
      </c>
      <c r="I300" s="6" t="n">
        <f aca="false">VLOOKUP(D300,Assumptions!$H$4:$I$5,2,FALSE())</f>
        <v>1</v>
      </c>
      <c r="J300" s="6" t="n">
        <f aca="false">MATCH(C300,Assumptions!$K$4:$K$6,0)</f>
        <v>3</v>
      </c>
      <c r="K300" s="6" t="n">
        <f aca="false">INDEX(Assumptions!$L$4:$L$6,J300)</f>
        <v>0.55</v>
      </c>
      <c r="L300" s="6" t="n">
        <f aca="false">IF(H300,ROUND(E300*K300,2),Assumptions!$B$11)</f>
        <v>236500</v>
      </c>
      <c r="M300" s="7" t="n">
        <f aca="false">ABS(F300-L300)</f>
        <v>0</v>
      </c>
      <c r="N300" s="6" t="n">
        <f aca="false">INT(E300/Assumptions!$B$12)</f>
        <v>4</v>
      </c>
    </row>
    <row r="301" customFormat="false" ht="15" hidden="false" customHeight="false" outlineLevel="0" collapsed="false">
      <c r="A301" s="2" t="s">
        <v>344</v>
      </c>
      <c r="B301" s="2" t="s">
        <v>47</v>
      </c>
      <c r="C301" s="2" t="s">
        <v>13</v>
      </c>
      <c r="D301" s="2" t="s">
        <v>12</v>
      </c>
      <c r="E301" s="5" t="n">
        <v>150000</v>
      </c>
      <c r="F301" s="5" t="n">
        <v>93000</v>
      </c>
      <c r="G301" s="5" t="n">
        <v>55800</v>
      </c>
      <c r="H301" s="5" t="n">
        <f aca="false">TRUE()</f>
        <v>1</v>
      </c>
      <c r="I301" s="6" t="n">
        <f aca="false">VLOOKUP(D301,Assumptions!$H$4:$I$5,2,FALSE())</f>
        <v>1</v>
      </c>
      <c r="J301" s="6" t="n">
        <f aca="false">MATCH(C301,Assumptions!$K$4:$K$6,0)</f>
        <v>1</v>
      </c>
      <c r="K301" s="6" t="n">
        <f aca="false">INDEX(Assumptions!$L$4:$L$6,J301)</f>
        <v>0.62</v>
      </c>
      <c r="L301" s="6" t="n">
        <f aca="false">IF(H301,ROUND(E301*K301,2),Assumptions!$B$11)</f>
        <v>93000</v>
      </c>
      <c r="M301" s="7" t="n">
        <f aca="false">ABS(F301-L301)</f>
        <v>0</v>
      </c>
      <c r="N301" s="6" t="n">
        <f aca="false">INT(E301/Assumptions!$B$12)</f>
        <v>1</v>
      </c>
    </row>
    <row r="302" customFormat="false" ht="15" hidden="false" customHeight="false" outlineLevel="0" collapsed="false">
      <c r="A302" s="2" t="s">
        <v>345</v>
      </c>
      <c r="B302" s="2" t="s">
        <v>47</v>
      </c>
      <c r="C302" s="2" t="s">
        <v>17</v>
      </c>
      <c r="D302" s="2" t="s">
        <v>12</v>
      </c>
      <c r="E302" s="5" t="n">
        <v>131000</v>
      </c>
      <c r="F302" s="5" t="n">
        <v>91700</v>
      </c>
      <c r="G302" s="5" t="n">
        <v>55020</v>
      </c>
      <c r="H302" s="5" t="n">
        <f aca="false">TRUE()</f>
        <v>1</v>
      </c>
      <c r="I302" s="6" t="n">
        <f aca="false">VLOOKUP(D302,Assumptions!$H$4:$I$5,2,FALSE())</f>
        <v>1</v>
      </c>
      <c r="J302" s="6" t="n">
        <f aca="false">MATCH(C302,Assumptions!$K$4:$K$6,0)</f>
        <v>2</v>
      </c>
      <c r="K302" s="6" t="n">
        <f aca="false">INDEX(Assumptions!$L$4:$L$6,J302)</f>
        <v>0.7</v>
      </c>
      <c r="L302" s="6" t="n">
        <f aca="false">IF(H302,ROUND(E302*K302,2),Assumptions!$B$11)</f>
        <v>91700</v>
      </c>
      <c r="M302" s="7" t="n">
        <f aca="false">ABS(F302-L302)</f>
        <v>0</v>
      </c>
      <c r="N302" s="6" t="n">
        <f aca="false">INT(E302/Assumptions!$B$12)</f>
        <v>1</v>
      </c>
    </row>
    <row r="303" customFormat="false" ht="15" hidden="false" customHeight="false" outlineLevel="0" collapsed="false">
      <c r="A303" s="2" t="s">
        <v>346</v>
      </c>
      <c r="B303" s="2" t="s">
        <v>47</v>
      </c>
      <c r="C303" s="2" t="s">
        <v>20</v>
      </c>
      <c r="D303" s="2" t="s">
        <v>16</v>
      </c>
      <c r="E303" s="5" t="n">
        <v>306000</v>
      </c>
      <c r="F303" s="5" t="n">
        <v>168300</v>
      </c>
      <c r="G303" s="5" t="n">
        <v>100980</v>
      </c>
      <c r="H303" s="5" t="n">
        <f aca="false">TRUE()</f>
        <v>1</v>
      </c>
      <c r="I303" s="6" t="n">
        <f aca="false">VLOOKUP(D303,Assumptions!$H$4:$I$5,2,FALSE())</f>
        <v>1.15</v>
      </c>
      <c r="J303" s="6" t="n">
        <f aca="false">MATCH(C303,Assumptions!$K$4:$K$6,0)</f>
        <v>3</v>
      </c>
      <c r="K303" s="6" t="n">
        <f aca="false">INDEX(Assumptions!$L$4:$L$6,J303)</f>
        <v>0.55</v>
      </c>
      <c r="L303" s="6" t="n">
        <f aca="false">IF(H303,ROUND(E303*K303,2),Assumptions!$B$11)</f>
        <v>168300</v>
      </c>
      <c r="M303" s="7" t="n">
        <f aca="false">ABS(F303-L303)</f>
        <v>0</v>
      </c>
      <c r="N303" s="6" t="n">
        <f aca="false">INT(E303/Assumptions!$B$12)</f>
        <v>3</v>
      </c>
    </row>
    <row r="304" customFormat="false" ht="15" hidden="false" customHeight="false" outlineLevel="0" collapsed="false">
      <c r="A304" s="2" t="s">
        <v>347</v>
      </c>
      <c r="B304" s="2" t="s">
        <v>47</v>
      </c>
      <c r="C304" s="2" t="s">
        <v>13</v>
      </c>
      <c r="D304" s="2" t="s">
        <v>12</v>
      </c>
      <c r="E304" s="5" t="n">
        <v>472000</v>
      </c>
      <c r="F304" s="5" t="n">
        <v>292640</v>
      </c>
      <c r="G304" s="5" t="n">
        <v>175584</v>
      </c>
      <c r="H304" s="5" t="n">
        <f aca="false">TRUE()</f>
        <v>1</v>
      </c>
      <c r="I304" s="6" t="n">
        <f aca="false">VLOOKUP(D304,Assumptions!$H$4:$I$5,2,FALSE())</f>
        <v>1</v>
      </c>
      <c r="J304" s="6" t="n">
        <f aca="false">MATCH(C304,Assumptions!$K$4:$K$6,0)</f>
        <v>1</v>
      </c>
      <c r="K304" s="6" t="n">
        <f aca="false">INDEX(Assumptions!$L$4:$L$6,J304)</f>
        <v>0.62</v>
      </c>
      <c r="L304" s="6" t="n">
        <f aca="false">IF(H304,ROUND(E304*K304,2),Assumptions!$B$11)</f>
        <v>292640</v>
      </c>
      <c r="M304" s="7" t="n">
        <f aca="false">ABS(F304-L304)</f>
        <v>0</v>
      </c>
      <c r="N304" s="6" t="n">
        <f aca="false">INT(E304/Assumptions!$B$12)</f>
        <v>4</v>
      </c>
    </row>
    <row r="305" customFormat="false" ht="15" hidden="false" customHeight="false" outlineLevel="0" collapsed="false">
      <c r="A305" s="2" t="s">
        <v>348</v>
      </c>
      <c r="B305" s="2" t="s">
        <v>47</v>
      </c>
      <c r="C305" s="2" t="s">
        <v>17</v>
      </c>
      <c r="D305" s="2" t="s">
        <v>12</v>
      </c>
      <c r="E305" s="5" t="n">
        <v>273000</v>
      </c>
      <c r="F305" s="5" t="n">
        <v>191100</v>
      </c>
      <c r="G305" s="5" t="n">
        <v>114660</v>
      </c>
      <c r="H305" s="5" t="n">
        <f aca="false">TRUE()</f>
        <v>1</v>
      </c>
      <c r="I305" s="6" t="n">
        <f aca="false">VLOOKUP(D305,Assumptions!$H$4:$I$5,2,FALSE())</f>
        <v>1</v>
      </c>
      <c r="J305" s="6" t="n">
        <f aca="false">MATCH(C305,Assumptions!$K$4:$K$6,0)</f>
        <v>2</v>
      </c>
      <c r="K305" s="6" t="n">
        <f aca="false">INDEX(Assumptions!$L$4:$L$6,J305)</f>
        <v>0.7</v>
      </c>
      <c r="L305" s="6" t="n">
        <f aca="false">IF(H305,ROUND(E305*K305,2),Assumptions!$B$11)</f>
        <v>191100</v>
      </c>
      <c r="M305" s="7" t="n">
        <f aca="false">ABS(F305-L305)</f>
        <v>0</v>
      </c>
      <c r="N305" s="6" t="n">
        <f aca="false">INT(E305/Assumptions!$B$12)</f>
        <v>2</v>
      </c>
    </row>
    <row r="306" customFormat="false" ht="15" hidden="false" customHeight="false" outlineLevel="0" collapsed="false">
      <c r="A306" s="2" t="s">
        <v>349</v>
      </c>
      <c r="B306" s="2" t="s">
        <v>47</v>
      </c>
      <c r="C306" s="2" t="s">
        <v>20</v>
      </c>
      <c r="D306" s="2" t="s">
        <v>12</v>
      </c>
      <c r="E306" s="5" t="n">
        <v>155000</v>
      </c>
      <c r="F306" s="5" t="n">
        <v>85250</v>
      </c>
      <c r="G306" s="5" t="n">
        <v>51150</v>
      </c>
      <c r="H306" s="5" t="n">
        <f aca="false">TRUE()</f>
        <v>1</v>
      </c>
      <c r="I306" s="6" t="n">
        <f aca="false">VLOOKUP(D306,Assumptions!$H$4:$I$5,2,FALSE())</f>
        <v>1</v>
      </c>
      <c r="J306" s="6" t="n">
        <f aca="false">MATCH(C306,Assumptions!$K$4:$K$6,0)</f>
        <v>3</v>
      </c>
      <c r="K306" s="6" t="n">
        <f aca="false">INDEX(Assumptions!$L$4:$L$6,J306)</f>
        <v>0.55</v>
      </c>
      <c r="L306" s="6" t="n">
        <f aca="false">IF(H306,ROUND(E306*K306,2),Assumptions!$B$11)</f>
        <v>85250</v>
      </c>
      <c r="M306" s="7" t="n">
        <f aca="false">ABS(F306-L306)</f>
        <v>0</v>
      </c>
      <c r="N306" s="6" t="n">
        <f aca="false">INT(E306/Assumptions!$B$12)</f>
        <v>1</v>
      </c>
    </row>
    <row r="307" customFormat="false" ht="15" hidden="false" customHeight="false" outlineLevel="0" collapsed="false">
      <c r="A307" s="2" t="s">
        <v>350</v>
      </c>
      <c r="B307" s="2" t="s">
        <v>47</v>
      </c>
      <c r="C307" s="2" t="s">
        <v>13</v>
      </c>
      <c r="D307" s="2" t="s">
        <v>16</v>
      </c>
      <c r="E307" s="5" t="n">
        <v>227000</v>
      </c>
      <c r="F307" s="5" t="n">
        <v>140740</v>
      </c>
      <c r="G307" s="5" t="n">
        <v>84444</v>
      </c>
      <c r="H307" s="5" t="n">
        <f aca="false">TRUE()</f>
        <v>1</v>
      </c>
      <c r="I307" s="6" t="n">
        <f aca="false">VLOOKUP(D307,Assumptions!$H$4:$I$5,2,FALSE())</f>
        <v>1.15</v>
      </c>
      <c r="J307" s="6" t="n">
        <f aca="false">MATCH(C307,Assumptions!$K$4:$K$6,0)</f>
        <v>1</v>
      </c>
      <c r="K307" s="6" t="n">
        <f aca="false">INDEX(Assumptions!$L$4:$L$6,J307)</f>
        <v>0.62</v>
      </c>
      <c r="L307" s="6" t="n">
        <f aca="false">IF(H307,ROUND(E307*K307,2),Assumptions!$B$11)</f>
        <v>140740</v>
      </c>
      <c r="M307" s="7" t="n">
        <f aca="false">ABS(F307-L307)</f>
        <v>0</v>
      </c>
      <c r="N307" s="6" t="n">
        <f aca="false">INT(E307/Assumptions!$B$12)</f>
        <v>2</v>
      </c>
    </row>
    <row r="308" customFormat="false" ht="15" hidden="false" customHeight="false" outlineLevel="0" collapsed="false">
      <c r="A308" s="2" t="s">
        <v>351</v>
      </c>
      <c r="B308" s="2" t="s">
        <v>47</v>
      </c>
      <c r="C308" s="2" t="s">
        <v>17</v>
      </c>
      <c r="D308" s="2" t="s">
        <v>12</v>
      </c>
      <c r="E308" s="5" t="n">
        <v>198000</v>
      </c>
      <c r="F308" s="5" t="n">
        <v>138600</v>
      </c>
      <c r="G308" s="5" t="n">
        <v>83160</v>
      </c>
      <c r="H308" s="5" t="n">
        <f aca="false">TRUE()</f>
        <v>1</v>
      </c>
      <c r="I308" s="6" t="n">
        <f aca="false">VLOOKUP(D308,Assumptions!$H$4:$I$5,2,FALSE())</f>
        <v>1</v>
      </c>
      <c r="J308" s="6" t="n">
        <f aca="false">MATCH(C308,Assumptions!$K$4:$K$6,0)</f>
        <v>2</v>
      </c>
      <c r="K308" s="6" t="n">
        <f aca="false">INDEX(Assumptions!$L$4:$L$6,J308)</f>
        <v>0.7</v>
      </c>
      <c r="L308" s="6" t="n">
        <f aca="false">IF(H308,ROUND(E308*K308,2),Assumptions!$B$11)</f>
        <v>138600</v>
      </c>
      <c r="M308" s="7" t="n">
        <f aca="false">ABS(F308-L308)</f>
        <v>0</v>
      </c>
      <c r="N308" s="6" t="n">
        <f aca="false">INT(E308/Assumptions!$B$12)</f>
        <v>1</v>
      </c>
    </row>
    <row r="309" customFormat="false" ht="15" hidden="false" customHeight="false" outlineLevel="0" collapsed="false">
      <c r="A309" s="2" t="s">
        <v>352</v>
      </c>
      <c r="B309" s="2" t="s">
        <v>47</v>
      </c>
      <c r="C309" s="2" t="s">
        <v>20</v>
      </c>
      <c r="D309" s="2" t="s">
        <v>12</v>
      </c>
      <c r="E309" s="5" t="n">
        <v>197000</v>
      </c>
      <c r="F309" s="5" t="n">
        <v>108350</v>
      </c>
      <c r="G309" s="5" t="n">
        <v>65010</v>
      </c>
      <c r="H309" s="5" t="n">
        <f aca="false">FALSE()</f>
        <v>0</v>
      </c>
      <c r="I309" s="6" t="n">
        <f aca="false">VLOOKUP(D309,Assumptions!$H$4:$I$5,2,FALSE())</f>
        <v>1</v>
      </c>
      <c r="J309" s="6" t="n">
        <f aca="false">MATCH(C309,Assumptions!$K$4:$K$6,0)</f>
        <v>3</v>
      </c>
      <c r="K309" s="6" t="n">
        <f aca="false">INDEX(Assumptions!$L$4:$L$6,J309)</f>
        <v>0.55</v>
      </c>
      <c r="L309" s="6" t="n">
        <f aca="false">IF(H309,ROUND(E309*K309,2),Assumptions!$B$11)</f>
        <v>0</v>
      </c>
      <c r="M309" s="7" t="n">
        <f aca="false">ABS(F309-L309)</f>
        <v>108350</v>
      </c>
      <c r="N309" s="6" t="n">
        <f aca="false">INT(E309/Assumptions!$B$12)</f>
        <v>1</v>
      </c>
    </row>
    <row r="310" customFormat="false" ht="15" hidden="false" customHeight="false" outlineLevel="0" collapsed="false">
      <c r="A310" s="2" t="s">
        <v>353</v>
      </c>
      <c r="B310" s="2" t="s">
        <v>47</v>
      </c>
      <c r="C310" s="2" t="s">
        <v>13</v>
      </c>
      <c r="D310" s="2" t="s">
        <v>12</v>
      </c>
      <c r="E310" s="5" t="n">
        <v>374000</v>
      </c>
      <c r="F310" s="5" t="n">
        <v>231880</v>
      </c>
      <c r="G310" s="5" t="n">
        <v>139128</v>
      </c>
      <c r="H310" s="5" t="n">
        <f aca="false">TRUE()</f>
        <v>1</v>
      </c>
      <c r="I310" s="6" t="n">
        <f aca="false">VLOOKUP(D310,Assumptions!$H$4:$I$5,2,FALSE())</f>
        <v>1</v>
      </c>
      <c r="J310" s="6" t="n">
        <f aca="false">MATCH(C310,Assumptions!$K$4:$K$6,0)</f>
        <v>1</v>
      </c>
      <c r="K310" s="6" t="n">
        <f aca="false">INDEX(Assumptions!$L$4:$L$6,J310)</f>
        <v>0.62</v>
      </c>
      <c r="L310" s="6" t="n">
        <f aca="false">IF(H310,ROUND(E310*K310,2),Assumptions!$B$11)</f>
        <v>231880</v>
      </c>
      <c r="M310" s="7" t="n">
        <f aca="false">ABS(F310-L310)</f>
        <v>0</v>
      </c>
      <c r="N310" s="6" t="n">
        <f aca="false">INT(E310/Assumptions!$B$12)</f>
        <v>3</v>
      </c>
    </row>
    <row r="311" customFormat="false" ht="15" hidden="false" customHeight="false" outlineLevel="0" collapsed="false">
      <c r="A311" s="2" t="s">
        <v>354</v>
      </c>
      <c r="B311" s="2" t="s">
        <v>47</v>
      </c>
      <c r="C311" s="2" t="s">
        <v>17</v>
      </c>
      <c r="D311" s="2" t="s">
        <v>16</v>
      </c>
      <c r="E311" s="5" t="n">
        <v>329000</v>
      </c>
      <c r="F311" s="5" t="n">
        <v>230300</v>
      </c>
      <c r="G311" s="5" t="n">
        <v>138180</v>
      </c>
      <c r="H311" s="5" t="n">
        <f aca="false">TRUE()</f>
        <v>1</v>
      </c>
      <c r="I311" s="6" t="n">
        <f aca="false">VLOOKUP(D311,Assumptions!$H$4:$I$5,2,FALSE())</f>
        <v>1.15</v>
      </c>
      <c r="J311" s="6" t="n">
        <f aca="false">MATCH(C311,Assumptions!$K$4:$K$6,0)</f>
        <v>2</v>
      </c>
      <c r="K311" s="6" t="n">
        <f aca="false">INDEX(Assumptions!$L$4:$L$6,J311)</f>
        <v>0.7</v>
      </c>
      <c r="L311" s="6" t="n">
        <f aca="false">IF(H311,ROUND(E311*K311,2),Assumptions!$B$11)</f>
        <v>230300</v>
      </c>
      <c r="M311" s="7" t="n">
        <f aca="false">ABS(F311-L311)</f>
        <v>0</v>
      </c>
      <c r="N311" s="6" t="n">
        <f aca="false">INT(E311/Assumptions!$B$12)</f>
        <v>3</v>
      </c>
    </row>
    <row r="312" customFormat="false" ht="15" hidden="false" customHeight="false" outlineLevel="0" collapsed="false">
      <c r="A312" s="2" t="s">
        <v>355</v>
      </c>
      <c r="B312" s="2" t="s">
        <v>47</v>
      </c>
      <c r="C312" s="2" t="s">
        <v>20</v>
      </c>
      <c r="D312" s="2" t="s">
        <v>12</v>
      </c>
      <c r="E312" s="5" t="n">
        <v>171000</v>
      </c>
      <c r="F312" s="5" t="n">
        <v>94050</v>
      </c>
      <c r="G312" s="5" t="n">
        <v>56430</v>
      </c>
      <c r="H312" s="5" t="n">
        <f aca="false">TRUE()</f>
        <v>1</v>
      </c>
      <c r="I312" s="6" t="n">
        <f aca="false">VLOOKUP(D312,Assumptions!$H$4:$I$5,2,FALSE())</f>
        <v>1</v>
      </c>
      <c r="J312" s="6" t="n">
        <f aca="false">MATCH(C312,Assumptions!$K$4:$K$6,0)</f>
        <v>3</v>
      </c>
      <c r="K312" s="6" t="n">
        <f aca="false">INDEX(Assumptions!$L$4:$L$6,J312)</f>
        <v>0.55</v>
      </c>
      <c r="L312" s="6" t="n">
        <f aca="false">IF(H312,ROUND(E312*K312,2),Assumptions!$B$11)</f>
        <v>94050</v>
      </c>
      <c r="M312" s="7" t="n">
        <f aca="false">ABS(F312-L312)</f>
        <v>0</v>
      </c>
      <c r="N312" s="6" t="n">
        <f aca="false">INT(E312/Assumptions!$B$12)</f>
        <v>1</v>
      </c>
    </row>
    <row r="313" customFormat="false" ht="15" hidden="false" customHeight="false" outlineLevel="0" collapsed="false">
      <c r="A313" s="2" t="s">
        <v>356</v>
      </c>
      <c r="B313" s="2" t="s">
        <v>47</v>
      </c>
      <c r="C313" s="2" t="s">
        <v>13</v>
      </c>
      <c r="D313" s="2" t="s">
        <v>12</v>
      </c>
      <c r="E313" s="5" t="n">
        <v>316000</v>
      </c>
      <c r="F313" s="5" t="n">
        <v>195920</v>
      </c>
      <c r="G313" s="5" t="n">
        <v>117552</v>
      </c>
      <c r="H313" s="5" t="n">
        <f aca="false">TRUE()</f>
        <v>1</v>
      </c>
      <c r="I313" s="6" t="n">
        <f aca="false">VLOOKUP(D313,Assumptions!$H$4:$I$5,2,FALSE())</f>
        <v>1</v>
      </c>
      <c r="J313" s="6" t="n">
        <f aca="false">MATCH(C313,Assumptions!$K$4:$K$6,0)</f>
        <v>1</v>
      </c>
      <c r="K313" s="6" t="n">
        <f aca="false">INDEX(Assumptions!$L$4:$L$6,J313)</f>
        <v>0.62</v>
      </c>
      <c r="L313" s="6" t="n">
        <f aca="false">IF(H313,ROUND(E313*K313,2),Assumptions!$B$11)</f>
        <v>195920</v>
      </c>
      <c r="M313" s="7" t="n">
        <f aca="false">ABS(F313-L313)</f>
        <v>0</v>
      </c>
      <c r="N313" s="6" t="n">
        <f aca="false">INT(E313/Assumptions!$B$12)</f>
        <v>3</v>
      </c>
    </row>
    <row r="314" customFormat="false" ht="15" hidden="false" customHeight="false" outlineLevel="0" collapsed="false">
      <c r="A314" s="2" t="s">
        <v>357</v>
      </c>
      <c r="B314" s="2" t="s">
        <v>47</v>
      </c>
      <c r="C314" s="2" t="s">
        <v>17</v>
      </c>
      <c r="D314" s="2" t="s">
        <v>12</v>
      </c>
      <c r="E314" s="5" t="n">
        <v>193000</v>
      </c>
      <c r="F314" s="5" t="n">
        <v>135100</v>
      </c>
      <c r="G314" s="5" t="n">
        <v>81060</v>
      </c>
      <c r="H314" s="5" t="n">
        <f aca="false">TRUE()</f>
        <v>1</v>
      </c>
      <c r="I314" s="6" t="n">
        <f aca="false">VLOOKUP(D314,Assumptions!$H$4:$I$5,2,FALSE())</f>
        <v>1</v>
      </c>
      <c r="J314" s="6" t="n">
        <f aca="false">MATCH(C314,Assumptions!$K$4:$K$6,0)</f>
        <v>2</v>
      </c>
      <c r="K314" s="6" t="n">
        <f aca="false">INDEX(Assumptions!$L$4:$L$6,J314)</f>
        <v>0.7</v>
      </c>
      <c r="L314" s="6" t="n">
        <f aca="false">IF(H314,ROUND(E314*K314,2),Assumptions!$B$11)</f>
        <v>135100</v>
      </c>
      <c r="M314" s="7" t="n">
        <f aca="false">ABS(F314-L314)</f>
        <v>0</v>
      </c>
      <c r="N314" s="6" t="n">
        <f aca="false">INT(E314/Assumptions!$B$12)</f>
        <v>1</v>
      </c>
    </row>
    <row r="315" customFormat="false" ht="15" hidden="false" customHeight="false" outlineLevel="0" collapsed="false">
      <c r="A315" s="2" t="s">
        <v>358</v>
      </c>
      <c r="B315" s="2" t="s">
        <v>47</v>
      </c>
      <c r="C315" s="2" t="s">
        <v>20</v>
      </c>
      <c r="D315" s="2" t="s">
        <v>16</v>
      </c>
      <c r="E315" s="5" t="n">
        <v>242000</v>
      </c>
      <c r="F315" s="5" t="n">
        <v>133100</v>
      </c>
      <c r="G315" s="5" t="n">
        <v>79860</v>
      </c>
      <c r="H315" s="5" t="n">
        <f aca="false">TRUE()</f>
        <v>1</v>
      </c>
      <c r="I315" s="6" t="n">
        <f aca="false">VLOOKUP(D315,Assumptions!$H$4:$I$5,2,FALSE())</f>
        <v>1.15</v>
      </c>
      <c r="J315" s="6" t="n">
        <f aca="false">MATCH(C315,Assumptions!$K$4:$K$6,0)</f>
        <v>3</v>
      </c>
      <c r="K315" s="6" t="n">
        <f aca="false">INDEX(Assumptions!$L$4:$L$6,J315)</f>
        <v>0.55</v>
      </c>
      <c r="L315" s="6" t="n">
        <f aca="false">IF(H315,ROUND(E315*K315,2),Assumptions!$B$11)</f>
        <v>133100</v>
      </c>
      <c r="M315" s="7" t="n">
        <f aca="false">ABS(F315-L315)</f>
        <v>0</v>
      </c>
      <c r="N315" s="6" t="n">
        <f aca="false">INT(E315/Assumptions!$B$12)</f>
        <v>2</v>
      </c>
    </row>
    <row r="316" customFormat="false" ht="15" hidden="false" customHeight="false" outlineLevel="0" collapsed="false">
      <c r="A316" s="2" t="s">
        <v>359</v>
      </c>
      <c r="B316" s="2" t="s">
        <v>47</v>
      </c>
      <c r="C316" s="2" t="s">
        <v>13</v>
      </c>
      <c r="D316" s="2" t="s">
        <v>12</v>
      </c>
      <c r="E316" s="5" t="n">
        <v>336000</v>
      </c>
      <c r="F316" s="5" t="n">
        <v>208320</v>
      </c>
      <c r="G316" s="5" t="n">
        <v>124992</v>
      </c>
      <c r="H316" s="5" t="n">
        <f aca="false">TRUE()</f>
        <v>1</v>
      </c>
      <c r="I316" s="6" t="n">
        <f aca="false">VLOOKUP(D316,Assumptions!$H$4:$I$5,2,FALSE())</f>
        <v>1</v>
      </c>
      <c r="J316" s="6" t="n">
        <f aca="false">MATCH(C316,Assumptions!$K$4:$K$6,0)</f>
        <v>1</v>
      </c>
      <c r="K316" s="6" t="n">
        <f aca="false">INDEX(Assumptions!$L$4:$L$6,J316)</f>
        <v>0.62</v>
      </c>
      <c r="L316" s="6" t="n">
        <f aca="false">IF(H316,ROUND(E316*K316,2),Assumptions!$B$11)</f>
        <v>208320</v>
      </c>
      <c r="M316" s="7" t="n">
        <f aca="false">ABS(F316-L316)</f>
        <v>0</v>
      </c>
      <c r="N316" s="6" t="n">
        <f aca="false">INT(E316/Assumptions!$B$12)</f>
        <v>3</v>
      </c>
    </row>
    <row r="317" customFormat="false" ht="15" hidden="false" customHeight="false" outlineLevel="0" collapsed="false">
      <c r="A317" s="2" t="s">
        <v>360</v>
      </c>
      <c r="B317" s="2" t="s">
        <v>47</v>
      </c>
      <c r="C317" s="2" t="s">
        <v>17</v>
      </c>
      <c r="D317" s="2" t="s">
        <v>12</v>
      </c>
      <c r="E317" s="5" t="n">
        <v>227000</v>
      </c>
      <c r="F317" s="5" t="n">
        <v>158900</v>
      </c>
      <c r="G317" s="5" t="n">
        <v>95340</v>
      </c>
      <c r="H317" s="5" t="n">
        <f aca="false">TRUE()</f>
        <v>1</v>
      </c>
      <c r="I317" s="6" t="n">
        <f aca="false">VLOOKUP(D317,Assumptions!$H$4:$I$5,2,FALSE())</f>
        <v>1</v>
      </c>
      <c r="J317" s="6" t="n">
        <f aca="false">MATCH(C317,Assumptions!$K$4:$K$6,0)</f>
        <v>2</v>
      </c>
      <c r="K317" s="6" t="n">
        <f aca="false">INDEX(Assumptions!$L$4:$L$6,J317)</f>
        <v>0.7</v>
      </c>
      <c r="L317" s="6" t="n">
        <f aca="false">IF(H317,ROUND(E317*K317,2),Assumptions!$B$11)</f>
        <v>158900</v>
      </c>
      <c r="M317" s="7" t="n">
        <f aca="false">ABS(F317-L317)</f>
        <v>0</v>
      </c>
      <c r="N317" s="6" t="n">
        <f aca="false">INT(E317/Assumptions!$B$12)</f>
        <v>2</v>
      </c>
    </row>
    <row r="318" customFormat="false" ht="15" hidden="false" customHeight="false" outlineLevel="0" collapsed="false">
      <c r="A318" s="2" t="s">
        <v>361</v>
      </c>
      <c r="B318" s="2" t="s">
        <v>47</v>
      </c>
      <c r="C318" s="2" t="s">
        <v>20</v>
      </c>
      <c r="D318" s="2" t="s">
        <v>12</v>
      </c>
      <c r="E318" s="5" t="n">
        <v>138000</v>
      </c>
      <c r="F318" s="5" t="n">
        <v>75900</v>
      </c>
      <c r="G318" s="5" t="n">
        <v>45540</v>
      </c>
      <c r="H318" s="5" t="n">
        <f aca="false">TRUE()</f>
        <v>1</v>
      </c>
      <c r="I318" s="6" t="n">
        <f aca="false">VLOOKUP(D318,Assumptions!$H$4:$I$5,2,FALSE())</f>
        <v>1</v>
      </c>
      <c r="J318" s="6" t="n">
        <f aca="false">MATCH(C318,Assumptions!$K$4:$K$6,0)</f>
        <v>3</v>
      </c>
      <c r="K318" s="6" t="n">
        <f aca="false">INDEX(Assumptions!$L$4:$L$6,J318)</f>
        <v>0.55</v>
      </c>
      <c r="L318" s="6" t="n">
        <f aca="false">IF(H318,ROUND(E318*K318,2),Assumptions!$B$11)</f>
        <v>75900</v>
      </c>
      <c r="M318" s="7" t="n">
        <f aca="false">ABS(F318-L318)</f>
        <v>0</v>
      </c>
      <c r="N318" s="6" t="n">
        <f aca="false">INT(E318/Assumptions!$B$12)</f>
        <v>1</v>
      </c>
    </row>
    <row r="319" customFormat="false" ht="15" hidden="false" customHeight="false" outlineLevel="0" collapsed="false">
      <c r="A319" s="2" t="s">
        <v>362</v>
      </c>
      <c r="B319" s="2" t="s">
        <v>47</v>
      </c>
      <c r="C319" s="2" t="s">
        <v>13</v>
      </c>
      <c r="D319" s="2" t="s">
        <v>16</v>
      </c>
      <c r="E319" s="5" t="n">
        <v>326000</v>
      </c>
      <c r="F319" s="5" t="n">
        <v>202120</v>
      </c>
      <c r="G319" s="5" t="n">
        <v>121272</v>
      </c>
      <c r="H319" s="5" t="n">
        <f aca="false">TRUE()</f>
        <v>1</v>
      </c>
      <c r="I319" s="6" t="n">
        <f aca="false">VLOOKUP(D319,Assumptions!$H$4:$I$5,2,FALSE())</f>
        <v>1.15</v>
      </c>
      <c r="J319" s="6" t="n">
        <f aca="false">MATCH(C319,Assumptions!$K$4:$K$6,0)</f>
        <v>1</v>
      </c>
      <c r="K319" s="6" t="n">
        <f aca="false">INDEX(Assumptions!$L$4:$L$6,J319)</f>
        <v>0.62</v>
      </c>
      <c r="L319" s="6" t="n">
        <f aca="false">IF(H319,ROUND(E319*K319,2),Assumptions!$B$11)</f>
        <v>202120</v>
      </c>
      <c r="M319" s="7" t="n">
        <f aca="false">ABS(F319-L319)</f>
        <v>0</v>
      </c>
      <c r="N319" s="6" t="n">
        <f aca="false">INT(E319/Assumptions!$B$12)</f>
        <v>3</v>
      </c>
    </row>
    <row r="320" customFormat="false" ht="15" hidden="false" customHeight="false" outlineLevel="0" collapsed="false">
      <c r="A320" s="2" t="s">
        <v>363</v>
      </c>
      <c r="B320" s="2" t="s">
        <v>47</v>
      </c>
      <c r="C320" s="2" t="s">
        <v>17</v>
      </c>
      <c r="D320" s="2" t="s">
        <v>12</v>
      </c>
      <c r="E320" s="5" t="n">
        <v>381000</v>
      </c>
      <c r="F320" s="5" t="n">
        <v>266700</v>
      </c>
      <c r="G320" s="5" t="n">
        <v>160020</v>
      </c>
      <c r="H320" s="5" t="n">
        <f aca="false">TRUE()</f>
        <v>1</v>
      </c>
      <c r="I320" s="6" t="n">
        <f aca="false">VLOOKUP(D320,Assumptions!$H$4:$I$5,2,FALSE())</f>
        <v>1</v>
      </c>
      <c r="J320" s="6" t="n">
        <f aca="false">MATCH(C320,Assumptions!$K$4:$K$6,0)</f>
        <v>2</v>
      </c>
      <c r="K320" s="6" t="n">
        <f aca="false">INDEX(Assumptions!$L$4:$L$6,J320)</f>
        <v>0.7</v>
      </c>
      <c r="L320" s="6" t="n">
        <f aca="false">IF(H320,ROUND(E320*K320,2),Assumptions!$B$11)</f>
        <v>266700</v>
      </c>
      <c r="M320" s="7" t="n">
        <f aca="false">ABS(F320-L320)</f>
        <v>0</v>
      </c>
      <c r="N320" s="6" t="n">
        <f aca="false">INT(E320/Assumptions!$B$12)</f>
        <v>3</v>
      </c>
    </row>
    <row r="321" customFormat="false" ht="15" hidden="false" customHeight="false" outlineLevel="0" collapsed="false">
      <c r="A321" s="2" t="s">
        <v>364</v>
      </c>
      <c r="B321" s="2" t="s">
        <v>47</v>
      </c>
      <c r="C321" s="2" t="s">
        <v>20</v>
      </c>
      <c r="D321" s="2" t="s">
        <v>12</v>
      </c>
      <c r="E321" s="5" t="n">
        <v>150000</v>
      </c>
      <c r="F321" s="5" t="n">
        <v>82500</v>
      </c>
      <c r="G321" s="5" t="n">
        <v>49500</v>
      </c>
      <c r="H321" s="5" t="n">
        <f aca="false">TRUE()</f>
        <v>1</v>
      </c>
      <c r="I321" s="6" t="n">
        <f aca="false">VLOOKUP(D321,Assumptions!$H$4:$I$5,2,FALSE())</f>
        <v>1</v>
      </c>
      <c r="J321" s="6" t="n">
        <f aca="false">MATCH(C321,Assumptions!$K$4:$K$6,0)</f>
        <v>3</v>
      </c>
      <c r="K321" s="6" t="n">
        <f aca="false">INDEX(Assumptions!$L$4:$L$6,J321)</f>
        <v>0.55</v>
      </c>
      <c r="L321" s="6" t="n">
        <f aca="false">IF(H321,ROUND(E321*K321,2),Assumptions!$B$11)</f>
        <v>82500</v>
      </c>
      <c r="M321" s="7" t="n">
        <f aca="false">ABS(F321-L321)</f>
        <v>0</v>
      </c>
      <c r="N321" s="6" t="n">
        <f aca="false">INT(E321/Assumptions!$B$12)</f>
        <v>1</v>
      </c>
    </row>
    <row r="322" customFormat="false" ht="15" hidden="false" customHeight="false" outlineLevel="0" collapsed="false">
      <c r="A322" s="2" t="s">
        <v>365</v>
      </c>
      <c r="B322" s="2" t="s">
        <v>47</v>
      </c>
      <c r="C322" s="2" t="s">
        <v>13</v>
      </c>
      <c r="D322" s="2" t="s">
        <v>12</v>
      </c>
      <c r="E322" s="5" t="n">
        <v>125000</v>
      </c>
      <c r="F322" s="5" t="n">
        <v>77500</v>
      </c>
      <c r="G322" s="5" t="n">
        <v>46500</v>
      </c>
      <c r="H322" s="5" t="n">
        <f aca="false">TRUE()</f>
        <v>1</v>
      </c>
      <c r="I322" s="6" t="n">
        <f aca="false">VLOOKUP(D322,Assumptions!$H$4:$I$5,2,FALSE())</f>
        <v>1</v>
      </c>
      <c r="J322" s="6" t="n">
        <f aca="false">MATCH(C322,Assumptions!$K$4:$K$6,0)</f>
        <v>1</v>
      </c>
      <c r="K322" s="6" t="n">
        <f aca="false">INDEX(Assumptions!$L$4:$L$6,J322)</f>
        <v>0.62</v>
      </c>
      <c r="L322" s="6" t="n">
        <f aca="false">IF(H322,ROUND(E322*K322,2),Assumptions!$B$11)</f>
        <v>77500</v>
      </c>
      <c r="M322" s="7" t="n">
        <f aca="false">ABS(F322-L322)</f>
        <v>0</v>
      </c>
      <c r="N322" s="6" t="n">
        <f aca="false">INT(E322/Assumptions!$B$12)</f>
        <v>1</v>
      </c>
    </row>
    <row r="323" customFormat="false" ht="15" hidden="false" customHeight="false" outlineLevel="0" collapsed="false">
      <c r="A323" s="2" t="s">
        <v>366</v>
      </c>
      <c r="B323" s="2" t="s">
        <v>47</v>
      </c>
      <c r="C323" s="2" t="s">
        <v>17</v>
      </c>
      <c r="D323" s="2" t="s">
        <v>16</v>
      </c>
      <c r="E323" s="5" t="n">
        <v>433000</v>
      </c>
      <c r="F323" s="5" t="n">
        <v>303100</v>
      </c>
      <c r="G323" s="5" t="n">
        <v>181860</v>
      </c>
      <c r="H323" s="5" t="n">
        <f aca="false">TRUE()</f>
        <v>1</v>
      </c>
      <c r="I323" s="6" t="n">
        <f aca="false">VLOOKUP(D323,Assumptions!$H$4:$I$5,2,FALSE())</f>
        <v>1.15</v>
      </c>
      <c r="J323" s="6" t="n">
        <f aca="false">MATCH(C323,Assumptions!$K$4:$K$6,0)</f>
        <v>2</v>
      </c>
      <c r="K323" s="6" t="n">
        <f aca="false">INDEX(Assumptions!$L$4:$L$6,J323)</f>
        <v>0.7</v>
      </c>
      <c r="L323" s="6" t="n">
        <f aca="false">IF(H323,ROUND(E323*K323,2),Assumptions!$B$11)</f>
        <v>303100</v>
      </c>
      <c r="M323" s="7" t="n">
        <f aca="false">ABS(F323-L323)</f>
        <v>0</v>
      </c>
      <c r="N323" s="6" t="n">
        <f aca="false">INT(E323/Assumptions!$B$12)</f>
        <v>4</v>
      </c>
    </row>
    <row r="324" customFormat="false" ht="15" hidden="false" customHeight="false" outlineLevel="0" collapsed="false">
      <c r="A324" s="2" t="s">
        <v>367</v>
      </c>
      <c r="B324" s="2" t="s">
        <v>47</v>
      </c>
      <c r="C324" s="2" t="s">
        <v>20</v>
      </c>
      <c r="D324" s="2" t="s">
        <v>12</v>
      </c>
      <c r="E324" s="5" t="n">
        <v>376000</v>
      </c>
      <c r="F324" s="5" t="n">
        <v>206800</v>
      </c>
      <c r="G324" s="5" t="n">
        <v>124080</v>
      </c>
      <c r="H324" s="5" t="n">
        <f aca="false">TRUE()</f>
        <v>1</v>
      </c>
      <c r="I324" s="6" t="n">
        <f aca="false">VLOOKUP(D324,Assumptions!$H$4:$I$5,2,FALSE())</f>
        <v>1</v>
      </c>
      <c r="J324" s="6" t="n">
        <f aca="false">MATCH(C324,Assumptions!$K$4:$K$6,0)</f>
        <v>3</v>
      </c>
      <c r="K324" s="6" t="n">
        <f aca="false">INDEX(Assumptions!$L$4:$L$6,J324)</f>
        <v>0.55</v>
      </c>
      <c r="L324" s="6" t="n">
        <f aca="false">IF(H324,ROUND(E324*K324,2),Assumptions!$B$11)</f>
        <v>206800</v>
      </c>
      <c r="M324" s="7" t="n">
        <f aca="false">ABS(F324-L324)</f>
        <v>0</v>
      </c>
      <c r="N324" s="6" t="n">
        <f aca="false">INT(E324/Assumptions!$B$12)</f>
        <v>3</v>
      </c>
    </row>
    <row r="325" customFormat="false" ht="15" hidden="false" customHeight="false" outlineLevel="0" collapsed="false">
      <c r="A325" s="2" t="s">
        <v>368</v>
      </c>
      <c r="B325" s="2" t="s">
        <v>47</v>
      </c>
      <c r="C325" s="2" t="s">
        <v>13</v>
      </c>
      <c r="D325" s="2" t="s">
        <v>12</v>
      </c>
      <c r="E325" s="5" t="n">
        <v>107000</v>
      </c>
      <c r="F325" s="5" t="n">
        <v>66340</v>
      </c>
      <c r="G325" s="5" t="n">
        <v>39804</v>
      </c>
      <c r="H325" s="5" t="n">
        <f aca="false">TRUE()</f>
        <v>1</v>
      </c>
      <c r="I325" s="6" t="n">
        <f aca="false">VLOOKUP(D325,Assumptions!$H$4:$I$5,2,FALSE())</f>
        <v>1</v>
      </c>
      <c r="J325" s="6" t="n">
        <f aca="false">MATCH(C325,Assumptions!$K$4:$K$6,0)</f>
        <v>1</v>
      </c>
      <c r="K325" s="6" t="n">
        <f aca="false">INDEX(Assumptions!$L$4:$L$6,J325)</f>
        <v>0.62</v>
      </c>
      <c r="L325" s="6" t="n">
        <f aca="false">IF(H325,ROUND(E325*K325,2),Assumptions!$B$11)</f>
        <v>66340</v>
      </c>
      <c r="M325" s="7" t="n">
        <f aca="false">ABS(F325-L325)</f>
        <v>0</v>
      </c>
      <c r="N325" s="6" t="n">
        <f aca="false">INT(E325/Assumptions!$B$12)</f>
        <v>1</v>
      </c>
    </row>
    <row r="326" customFormat="false" ht="15" hidden="false" customHeight="false" outlineLevel="0" collapsed="false">
      <c r="A326" s="2" t="s">
        <v>369</v>
      </c>
      <c r="B326" s="2" t="s">
        <v>47</v>
      </c>
      <c r="C326" s="2" t="s">
        <v>17</v>
      </c>
      <c r="D326" s="2" t="s">
        <v>12</v>
      </c>
      <c r="E326" s="5" t="n">
        <v>147000</v>
      </c>
      <c r="F326" s="5" t="n">
        <v>102900</v>
      </c>
      <c r="G326" s="5" t="n">
        <v>61740</v>
      </c>
      <c r="H326" s="5" t="n">
        <f aca="false">FALSE()</f>
        <v>0</v>
      </c>
      <c r="I326" s="6" t="n">
        <f aca="false">VLOOKUP(D326,Assumptions!$H$4:$I$5,2,FALSE())</f>
        <v>1</v>
      </c>
      <c r="J326" s="6" t="n">
        <f aca="false">MATCH(C326,Assumptions!$K$4:$K$6,0)</f>
        <v>2</v>
      </c>
      <c r="K326" s="6" t="n">
        <f aca="false">INDEX(Assumptions!$L$4:$L$6,J326)</f>
        <v>0.7</v>
      </c>
      <c r="L326" s="6" t="n">
        <f aca="false">IF(H326,ROUND(E326*K326,2),Assumptions!$B$11)</f>
        <v>0</v>
      </c>
      <c r="M326" s="7" t="n">
        <f aca="false">ABS(F326-L326)</f>
        <v>102900</v>
      </c>
      <c r="N326" s="6" t="n">
        <f aca="false">INT(E326/Assumptions!$B$12)</f>
        <v>1</v>
      </c>
    </row>
    <row r="327" customFormat="false" ht="15" hidden="false" customHeight="false" outlineLevel="0" collapsed="false">
      <c r="A327" s="2" t="s">
        <v>370</v>
      </c>
      <c r="B327" s="2" t="s">
        <v>47</v>
      </c>
      <c r="C327" s="2" t="s">
        <v>20</v>
      </c>
      <c r="D327" s="2" t="s">
        <v>16</v>
      </c>
      <c r="E327" s="5" t="n">
        <v>485000</v>
      </c>
      <c r="F327" s="5" t="n">
        <v>266750</v>
      </c>
      <c r="G327" s="5" t="n">
        <v>160050</v>
      </c>
      <c r="H327" s="5" t="n">
        <f aca="false">TRUE()</f>
        <v>1</v>
      </c>
      <c r="I327" s="6" t="n">
        <f aca="false">VLOOKUP(D327,Assumptions!$H$4:$I$5,2,FALSE())</f>
        <v>1.15</v>
      </c>
      <c r="J327" s="6" t="n">
        <f aca="false">MATCH(C327,Assumptions!$K$4:$K$6,0)</f>
        <v>3</v>
      </c>
      <c r="K327" s="6" t="n">
        <f aca="false">INDEX(Assumptions!$L$4:$L$6,J327)</f>
        <v>0.55</v>
      </c>
      <c r="L327" s="6" t="n">
        <f aca="false">IF(H327,ROUND(E327*K327,2),Assumptions!$B$11)</f>
        <v>266750</v>
      </c>
      <c r="M327" s="7" t="n">
        <f aca="false">ABS(F327-L327)</f>
        <v>0</v>
      </c>
      <c r="N327" s="6" t="n">
        <f aca="false">INT(E327/Assumptions!$B$12)</f>
        <v>4</v>
      </c>
    </row>
    <row r="328" customFormat="false" ht="15" hidden="false" customHeight="false" outlineLevel="0" collapsed="false">
      <c r="A328" s="2" t="s">
        <v>371</v>
      </c>
      <c r="B328" s="2" t="s">
        <v>47</v>
      </c>
      <c r="C328" s="2" t="s">
        <v>13</v>
      </c>
      <c r="D328" s="2" t="s">
        <v>12</v>
      </c>
      <c r="E328" s="5" t="n">
        <v>221000</v>
      </c>
      <c r="F328" s="5" t="n">
        <v>137020</v>
      </c>
      <c r="G328" s="5" t="n">
        <v>82212</v>
      </c>
      <c r="H328" s="5" t="n">
        <f aca="false">TRUE()</f>
        <v>1</v>
      </c>
      <c r="I328" s="6" t="n">
        <f aca="false">VLOOKUP(D328,Assumptions!$H$4:$I$5,2,FALSE())</f>
        <v>1</v>
      </c>
      <c r="J328" s="6" t="n">
        <f aca="false">MATCH(C328,Assumptions!$K$4:$K$6,0)</f>
        <v>1</v>
      </c>
      <c r="K328" s="6" t="n">
        <f aca="false">INDEX(Assumptions!$L$4:$L$6,J328)</f>
        <v>0.62</v>
      </c>
      <c r="L328" s="6" t="n">
        <f aca="false">IF(H328,ROUND(E328*K328,2),Assumptions!$B$11)</f>
        <v>137020</v>
      </c>
      <c r="M328" s="7" t="n">
        <f aca="false">ABS(F328-L328)</f>
        <v>0</v>
      </c>
      <c r="N328" s="6" t="n">
        <f aca="false">INT(E328/Assumptions!$B$12)</f>
        <v>2</v>
      </c>
    </row>
    <row r="329" customFormat="false" ht="15" hidden="false" customHeight="false" outlineLevel="0" collapsed="false">
      <c r="A329" s="2" t="s">
        <v>372</v>
      </c>
      <c r="B329" s="2" t="s">
        <v>47</v>
      </c>
      <c r="C329" s="2" t="s">
        <v>17</v>
      </c>
      <c r="D329" s="2" t="s">
        <v>12</v>
      </c>
      <c r="E329" s="5" t="n">
        <v>185000</v>
      </c>
      <c r="F329" s="5" t="n">
        <v>129500</v>
      </c>
      <c r="G329" s="5" t="n">
        <v>77700</v>
      </c>
      <c r="H329" s="5" t="n">
        <f aca="false">TRUE()</f>
        <v>1</v>
      </c>
      <c r="I329" s="6" t="n">
        <f aca="false">VLOOKUP(D329,Assumptions!$H$4:$I$5,2,FALSE())</f>
        <v>1</v>
      </c>
      <c r="J329" s="6" t="n">
        <f aca="false">MATCH(C329,Assumptions!$K$4:$K$6,0)</f>
        <v>2</v>
      </c>
      <c r="K329" s="6" t="n">
        <f aca="false">INDEX(Assumptions!$L$4:$L$6,J329)</f>
        <v>0.7</v>
      </c>
      <c r="L329" s="6" t="n">
        <f aca="false">IF(H329,ROUND(E329*K329,2),Assumptions!$B$11)</f>
        <v>129500</v>
      </c>
      <c r="M329" s="7" t="n">
        <f aca="false">ABS(F329-L329)</f>
        <v>0</v>
      </c>
      <c r="N329" s="6" t="n">
        <f aca="false">INT(E329/Assumptions!$B$12)</f>
        <v>1</v>
      </c>
    </row>
    <row r="330" customFormat="false" ht="15" hidden="false" customHeight="false" outlineLevel="0" collapsed="false">
      <c r="A330" s="2" t="s">
        <v>373</v>
      </c>
      <c r="B330" s="2" t="s">
        <v>47</v>
      </c>
      <c r="C330" s="2" t="s">
        <v>20</v>
      </c>
      <c r="D330" s="2" t="s">
        <v>12</v>
      </c>
      <c r="E330" s="5" t="n">
        <v>308000</v>
      </c>
      <c r="F330" s="5" t="n">
        <v>169400</v>
      </c>
      <c r="G330" s="5" t="n">
        <v>101640</v>
      </c>
      <c r="H330" s="5" t="n">
        <f aca="false">TRUE()</f>
        <v>1</v>
      </c>
      <c r="I330" s="6" t="n">
        <f aca="false">VLOOKUP(D330,Assumptions!$H$4:$I$5,2,FALSE())</f>
        <v>1</v>
      </c>
      <c r="J330" s="6" t="n">
        <f aca="false">MATCH(C330,Assumptions!$K$4:$K$6,0)</f>
        <v>3</v>
      </c>
      <c r="K330" s="6" t="n">
        <f aca="false">INDEX(Assumptions!$L$4:$L$6,J330)</f>
        <v>0.55</v>
      </c>
      <c r="L330" s="6" t="n">
        <f aca="false">IF(H330,ROUND(E330*K330,2),Assumptions!$B$11)</f>
        <v>169400</v>
      </c>
      <c r="M330" s="7" t="n">
        <f aca="false">ABS(F330-L330)</f>
        <v>0</v>
      </c>
      <c r="N330" s="6" t="n">
        <f aca="false">INT(E330/Assumptions!$B$12)</f>
        <v>3</v>
      </c>
    </row>
    <row r="331" customFormat="false" ht="15" hidden="false" customHeight="false" outlineLevel="0" collapsed="false">
      <c r="A331" s="2" t="s">
        <v>374</v>
      </c>
      <c r="B331" s="2" t="s">
        <v>47</v>
      </c>
      <c r="C331" s="2" t="s">
        <v>13</v>
      </c>
      <c r="D331" s="2" t="s">
        <v>16</v>
      </c>
      <c r="E331" s="5" t="n">
        <v>348000</v>
      </c>
      <c r="F331" s="5" t="n">
        <v>215760</v>
      </c>
      <c r="G331" s="5" t="n">
        <v>129456</v>
      </c>
      <c r="H331" s="5" t="n">
        <f aca="false">TRUE()</f>
        <v>1</v>
      </c>
      <c r="I331" s="6" t="n">
        <f aca="false">VLOOKUP(D331,Assumptions!$H$4:$I$5,2,FALSE())</f>
        <v>1.15</v>
      </c>
      <c r="J331" s="6" t="n">
        <f aca="false">MATCH(C331,Assumptions!$K$4:$K$6,0)</f>
        <v>1</v>
      </c>
      <c r="K331" s="6" t="n">
        <f aca="false">INDEX(Assumptions!$L$4:$L$6,J331)</f>
        <v>0.62</v>
      </c>
      <c r="L331" s="6" t="n">
        <f aca="false">IF(H331,ROUND(E331*K331,2),Assumptions!$B$11)</f>
        <v>215760</v>
      </c>
      <c r="M331" s="7" t="n">
        <f aca="false">ABS(F331-L331)</f>
        <v>0</v>
      </c>
      <c r="N331" s="6" t="n">
        <f aca="false">INT(E331/Assumptions!$B$12)</f>
        <v>3</v>
      </c>
    </row>
    <row r="332" customFormat="false" ht="15" hidden="false" customHeight="false" outlineLevel="0" collapsed="false">
      <c r="A332" s="2" t="s">
        <v>375</v>
      </c>
      <c r="B332" s="2" t="s">
        <v>47</v>
      </c>
      <c r="C332" s="2" t="s">
        <v>17</v>
      </c>
      <c r="D332" s="2" t="s">
        <v>12</v>
      </c>
      <c r="E332" s="5" t="n">
        <v>346000</v>
      </c>
      <c r="F332" s="5" t="n">
        <v>242200</v>
      </c>
      <c r="G332" s="5" t="n">
        <v>145320</v>
      </c>
      <c r="H332" s="5" t="n">
        <f aca="false">TRUE()</f>
        <v>1</v>
      </c>
      <c r="I332" s="6" t="n">
        <f aca="false">VLOOKUP(D332,Assumptions!$H$4:$I$5,2,FALSE())</f>
        <v>1</v>
      </c>
      <c r="J332" s="6" t="n">
        <f aca="false">MATCH(C332,Assumptions!$K$4:$K$6,0)</f>
        <v>2</v>
      </c>
      <c r="K332" s="6" t="n">
        <f aca="false">INDEX(Assumptions!$L$4:$L$6,J332)</f>
        <v>0.7</v>
      </c>
      <c r="L332" s="6" t="n">
        <f aca="false">IF(H332,ROUND(E332*K332,2),Assumptions!$B$11)</f>
        <v>242200</v>
      </c>
      <c r="M332" s="7" t="n">
        <f aca="false">ABS(F332-L332)</f>
        <v>0</v>
      </c>
      <c r="N332" s="6" t="n">
        <f aca="false">INT(E332/Assumptions!$B$12)</f>
        <v>3</v>
      </c>
    </row>
    <row r="333" customFormat="false" ht="15" hidden="false" customHeight="false" outlineLevel="0" collapsed="false">
      <c r="A333" s="2" t="s">
        <v>376</v>
      </c>
      <c r="B333" s="2" t="s">
        <v>47</v>
      </c>
      <c r="C333" s="2" t="s">
        <v>20</v>
      </c>
      <c r="D333" s="2" t="s">
        <v>12</v>
      </c>
      <c r="E333" s="5" t="n">
        <v>209000</v>
      </c>
      <c r="F333" s="5" t="n">
        <v>114950</v>
      </c>
      <c r="G333" s="5" t="n">
        <v>68970</v>
      </c>
      <c r="H333" s="5" t="n">
        <f aca="false">TRUE()</f>
        <v>1</v>
      </c>
      <c r="I333" s="6" t="n">
        <f aca="false">VLOOKUP(D333,Assumptions!$H$4:$I$5,2,FALSE())</f>
        <v>1</v>
      </c>
      <c r="J333" s="6" t="n">
        <f aca="false">MATCH(C333,Assumptions!$K$4:$K$6,0)</f>
        <v>3</v>
      </c>
      <c r="K333" s="6" t="n">
        <f aca="false">INDEX(Assumptions!$L$4:$L$6,J333)</f>
        <v>0.55</v>
      </c>
      <c r="L333" s="6" t="n">
        <f aca="false">IF(H333,ROUND(E333*K333,2),Assumptions!$B$11)</f>
        <v>114950</v>
      </c>
      <c r="M333" s="7" t="n">
        <f aca="false">ABS(F333-L333)</f>
        <v>0</v>
      </c>
      <c r="N333" s="6" t="n">
        <f aca="false">INT(E333/Assumptions!$B$12)</f>
        <v>2</v>
      </c>
    </row>
    <row r="334" customFormat="false" ht="15" hidden="false" customHeight="false" outlineLevel="0" collapsed="false">
      <c r="A334" s="2" t="s">
        <v>377</v>
      </c>
      <c r="B334" s="2" t="s">
        <v>47</v>
      </c>
      <c r="C334" s="2" t="s">
        <v>13</v>
      </c>
      <c r="D334" s="2" t="s">
        <v>12</v>
      </c>
      <c r="E334" s="5" t="n">
        <v>305000</v>
      </c>
      <c r="F334" s="5" t="n">
        <v>189100</v>
      </c>
      <c r="G334" s="5" t="n">
        <v>113460</v>
      </c>
      <c r="H334" s="5" t="n">
        <f aca="false">TRUE()</f>
        <v>1</v>
      </c>
      <c r="I334" s="6" t="n">
        <f aca="false">VLOOKUP(D334,Assumptions!$H$4:$I$5,2,FALSE())</f>
        <v>1</v>
      </c>
      <c r="J334" s="6" t="n">
        <f aca="false">MATCH(C334,Assumptions!$K$4:$K$6,0)</f>
        <v>1</v>
      </c>
      <c r="K334" s="6" t="n">
        <f aca="false">INDEX(Assumptions!$L$4:$L$6,J334)</f>
        <v>0.62</v>
      </c>
      <c r="L334" s="6" t="n">
        <f aca="false">IF(H334,ROUND(E334*K334,2),Assumptions!$B$11)</f>
        <v>189100</v>
      </c>
      <c r="M334" s="7" t="n">
        <f aca="false">ABS(F334-L334)</f>
        <v>0</v>
      </c>
      <c r="N334" s="6" t="n">
        <f aca="false">INT(E334/Assumptions!$B$12)</f>
        <v>3</v>
      </c>
    </row>
    <row r="335" customFormat="false" ht="15" hidden="false" customHeight="false" outlineLevel="0" collapsed="false">
      <c r="A335" s="2" t="s">
        <v>378</v>
      </c>
      <c r="B335" s="2" t="s">
        <v>47</v>
      </c>
      <c r="C335" s="2" t="s">
        <v>17</v>
      </c>
      <c r="D335" s="2" t="s">
        <v>16</v>
      </c>
      <c r="E335" s="5" t="n">
        <v>130000</v>
      </c>
      <c r="F335" s="5" t="n">
        <v>91000</v>
      </c>
      <c r="G335" s="5" t="n">
        <v>54600</v>
      </c>
      <c r="H335" s="5" t="n">
        <f aca="false">TRUE()</f>
        <v>1</v>
      </c>
      <c r="I335" s="6" t="n">
        <f aca="false">VLOOKUP(D335,Assumptions!$H$4:$I$5,2,FALSE())</f>
        <v>1.15</v>
      </c>
      <c r="J335" s="6" t="n">
        <f aca="false">MATCH(C335,Assumptions!$K$4:$K$6,0)</f>
        <v>2</v>
      </c>
      <c r="K335" s="6" t="n">
        <f aca="false">INDEX(Assumptions!$L$4:$L$6,J335)</f>
        <v>0.7</v>
      </c>
      <c r="L335" s="6" t="n">
        <f aca="false">IF(H335,ROUND(E335*K335,2),Assumptions!$B$11)</f>
        <v>91000</v>
      </c>
      <c r="M335" s="7" t="n">
        <f aca="false">ABS(F335-L335)</f>
        <v>0</v>
      </c>
      <c r="N335" s="6" t="n">
        <f aca="false">INT(E335/Assumptions!$B$12)</f>
        <v>1</v>
      </c>
    </row>
    <row r="336" customFormat="false" ht="15" hidden="false" customHeight="false" outlineLevel="0" collapsed="false">
      <c r="A336" s="2" t="s">
        <v>379</v>
      </c>
      <c r="B336" s="2" t="s">
        <v>47</v>
      </c>
      <c r="C336" s="2" t="s">
        <v>20</v>
      </c>
      <c r="D336" s="2" t="s">
        <v>12</v>
      </c>
      <c r="E336" s="5" t="n">
        <v>184000</v>
      </c>
      <c r="F336" s="5" t="n">
        <v>101200</v>
      </c>
      <c r="G336" s="5" t="n">
        <v>60720</v>
      </c>
      <c r="H336" s="5" t="n">
        <f aca="false">TRUE()</f>
        <v>1</v>
      </c>
      <c r="I336" s="6" t="n">
        <f aca="false">VLOOKUP(D336,Assumptions!$H$4:$I$5,2,FALSE())</f>
        <v>1</v>
      </c>
      <c r="J336" s="6" t="n">
        <f aca="false">MATCH(C336,Assumptions!$K$4:$K$6,0)</f>
        <v>3</v>
      </c>
      <c r="K336" s="6" t="n">
        <f aca="false">INDEX(Assumptions!$L$4:$L$6,J336)</f>
        <v>0.55</v>
      </c>
      <c r="L336" s="6" t="n">
        <f aca="false">IF(H336,ROUND(E336*K336,2),Assumptions!$B$11)</f>
        <v>101200</v>
      </c>
      <c r="M336" s="7" t="n">
        <f aca="false">ABS(F336-L336)</f>
        <v>0</v>
      </c>
      <c r="N336" s="6" t="n">
        <f aca="false">INT(E336/Assumptions!$B$12)</f>
        <v>1</v>
      </c>
    </row>
    <row r="337" customFormat="false" ht="15" hidden="false" customHeight="false" outlineLevel="0" collapsed="false">
      <c r="A337" s="2" t="s">
        <v>380</v>
      </c>
      <c r="B337" s="2" t="s">
        <v>47</v>
      </c>
      <c r="C337" s="2" t="s">
        <v>13</v>
      </c>
      <c r="D337" s="2" t="s">
        <v>12</v>
      </c>
      <c r="E337" s="5" t="n">
        <v>294000</v>
      </c>
      <c r="F337" s="5" t="n">
        <v>182280</v>
      </c>
      <c r="G337" s="5" t="n">
        <v>109368</v>
      </c>
      <c r="H337" s="5" t="n">
        <f aca="false">TRUE()</f>
        <v>1</v>
      </c>
      <c r="I337" s="6" t="n">
        <f aca="false">VLOOKUP(D337,Assumptions!$H$4:$I$5,2,FALSE())</f>
        <v>1</v>
      </c>
      <c r="J337" s="6" t="n">
        <f aca="false">MATCH(C337,Assumptions!$K$4:$K$6,0)</f>
        <v>1</v>
      </c>
      <c r="K337" s="6" t="n">
        <f aca="false">INDEX(Assumptions!$L$4:$L$6,J337)</f>
        <v>0.62</v>
      </c>
      <c r="L337" s="6" t="n">
        <f aca="false">IF(H337,ROUND(E337*K337,2),Assumptions!$B$11)</f>
        <v>182280</v>
      </c>
      <c r="M337" s="7" t="n">
        <f aca="false">ABS(F337-L337)</f>
        <v>0</v>
      </c>
      <c r="N337" s="6" t="n">
        <f aca="false">INT(E337/Assumptions!$B$12)</f>
        <v>2</v>
      </c>
    </row>
    <row r="338" customFormat="false" ht="15" hidden="false" customHeight="false" outlineLevel="0" collapsed="false">
      <c r="A338" s="2" t="s">
        <v>381</v>
      </c>
      <c r="B338" s="2" t="s">
        <v>47</v>
      </c>
      <c r="C338" s="2" t="s">
        <v>17</v>
      </c>
      <c r="D338" s="2" t="s">
        <v>12</v>
      </c>
      <c r="E338" s="5" t="n">
        <v>101000</v>
      </c>
      <c r="F338" s="5" t="n">
        <v>70700</v>
      </c>
      <c r="G338" s="5" t="n">
        <v>42420</v>
      </c>
      <c r="H338" s="5" t="n">
        <f aca="false">TRUE()</f>
        <v>1</v>
      </c>
      <c r="I338" s="6" t="n">
        <f aca="false">VLOOKUP(D338,Assumptions!$H$4:$I$5,2,FALSE())</f>
        <v>1</v>
      </c>
      <c r="J338" s="6" t="n">
        <f aca="false">MATCH(C338,Assumptions!$K$4:$K$6,0)</f>
        <v>2</v>
      </c>
      <c r="K338" s="6" t="n">
        <f aca="false">INDEX(Assumptions!$L$4:$L$6,J338)</f>
        <v>0.7</v>
      </c>
      <c r="L338" s="6" t="n">
        <f aca="false">IF(H338,ROUND(E338*K338,2),Assumptions!$B$11)</f>
        <v>70700</v>
      </c>
      <c r="M338" s="7" t="n">
        <f aca="false">ABS(F338-L338)</f>
        <v>0</v>
      </c>
      <c r="N338" s="6" t="n">
        <f aca="false">INT(E338/Assumptions!$B$12)</f>
        <v>1</v>
      </c>
    </row>
    <row r="339" customFormat="false" ht="15" hidden="false" customHeight="false" outlineLevel="0" collapsed="false">
      <c r="A339" s="2" t="s">
        <v>382</v>
      </c>
      <c r="B339" s="2" t="s">
        <v>47</v>
      </c>
      <c r="C339" s="2" t="s">
        <v>20</v>
      </c>
      <c r="D339" s="2" t="s">
        <v>16</v>
      </c>
      <c r="E339" s="5" t="n">
        <v>299000</v>
      </c>
      <c r="F339" s="5" t="n">
        <v>164450</v>
      </c>
      <c r="G339" s="5" t="n">
        <v>98670</v>
      </c>
      <c r="H339" s="5" t="n">
        <f aca="false">TRUE()</f>
        <v>1</v>
      </c>
      <c r="I339" s="6" t="n">
        <f aca="false">VLOOKUP(D339,Assumptions!$H$4:$I$5,2,FALSE())</f>
        <v>1.15</v>
      </c>
      <c r="J339" s="6" t="n">
        <f aca="false">MATCH(C339,Assumptions!$K$4:$K$6,0)</f>
        <v>3</v>
      </c>
      <c r="K339" s="6" t="n">
        <f aca="false">INDEX(Assumptions!$L$4:$L$6,J339)</f>
        <v>0.55</v>
      </c>
      <c r="L339" s="6" t="n">
        <f aca="false">IF(H339,ROUND(E339*K339,2),Assumptions!$B$11)</f>
        <v>164450</v>
      </c>
      <c r="M339" s="7" t="n">
        <f aca="false">ABS(F339-L339)</f>
        <v>0</v>
      </c>
      <c r="N339" s="6" t="n">
        <f aca="false">INT(E339/Assumptions!$B$12)</f>
        <v>2</v>
      </c>
    </row>
    <row r="340" customFormat="false" ht="15" hidden="false" customHeight="false" outlineLevel="0" collapsed="false">
      <c r="A340" s="2" t="s">
        <v>383</v>
      </c>
      <c r="B340" s="2" t="s">
        <v>47</v>
      </c>
      <c r="C340" s="2" t="s">
        <v>13</v>
      </c>
      <c r="D340" s="2" t="s">
        <v>12</v>
      </c>
      <c r="E340" s="5" t="n">
        <v>235000</v>
      </c>
      <c r="F340" s="5" t="n">
        <v>145700</v>
      </c>
      <c r="G340" s="5" t="n">
        <v>87420</v>
      </c>
      <c r="H340" s="5" t="n">
        <f aca="false">TRUE()</f>
        <v>1</v>
      </c>
      <c r="I340" s="6" t="n">
        <f aca="false">VLOOKUP(D340,Assumptions!$H$4:$I$5,2,FALSE())</f>
        <v>1</v>
      </c>
      <c r="J340" s="6" t="n">
        <f aca="false">MATCH(C340,Assumptions!$K$4:$K$6,0)</f>
        <v>1</v>
      </c>
      <c r="K340" s="6" t="n">
        <f aca="false">INDEX(Assumptions!$L$4:$L$6,J340)</f>
        <v>0.62</v>
      </c>
      <c r="L340" s="6" t="n">
        <f aca="false">IF(H340,ROUND(E340*K340,2),Assumptions!$B$11)</f>
        <v>145700</v>
      </c>
      <c r="M340" s="7" t="n">
        <f aca="false">ABS(F340-L340)</f>
        <v>0</v>
      </c>
      <c r="N340" s="6" t="n">
        <f aca="false">INT(E340/Assumptions!$B$12)</f>
        <v>2</v>
      </c>
    </row>
    <row r="341" customFormat="false" ht="15" hidden="false" customHeight="false" outlineLevel="0" collapsed="false">
      <c r="A341" s="2" t="s">
        <v>384</v>
      </c>
      <c r="B341" s="2" t="s">
        <v>47</v>
      </c>
      <c r="C341" s="2" t="s">
        <v>17</v>
      </c>
      <c r="D341" s="2" t="s">
        <v>12</v>
      </c>
      <c r="E341" s="5" t="n">
        <v>332000</v>
      </c>
      <c r="F341" s="5" t="n">
        <v>232400</v>
      </c>
      <c r="G341" s="5" t="n">
        <v>139440</v>
      </c>
      <c r="H341" s="5" t="n">
        <f aca="false">TRUE()</f>
        <v>1</v>
      </c>
      <c r="I341" s="6" t="n">
        <f aca="false">VLOOKUP(D341,Assumptions!$H$4:$I$5,2,FALSE())</f>
        <v>1</v>
      </c>
      <c r="J341" s="6" t="n">
        <f aca="false">MATCH(C341,Assumptions!$K$4:$K$6,0)</f>
        <v>2</v>
      </c>
      <c r="K341" s="6" t="n">
        <f aca="false">INDEX(Assumptions!$L$4:$L$6,J341)</f>
        <v>0.7</v>
      </c>
      <c r="L341" s="6" t="n">
        <f aca="false">IF(H341,ROUND(E341*K341,2),Assumptions!$B$11)</f>
        <v>232400</v>
      </c>
      <c r="M341" s="7" t="n">
        <f aca="false">ABS(F341-L341)</f>
        <v>0</v>
      </c>
      <c r="N341" s="6" t="n">
        <f aca="false">INT(E341/Assumptions!$B$12)</f>
        <v>3</v>
      </c>
    </row>
    <row r="342" customFormat="false" ht="15" hidden="false" customHeight="false" outlineLevel="0" collapsed="false">
      <c r="A342" s="2" t="s">
        <v>385</v>
      </c>
      <c r="B342" s="2" t="s">
        <v>47</v>
      </c>
      <c r="C342" s="2" t="s">
        <v>20</v>
      </c>
      <c r="D342" s="2" t="s">
        <v>12</v>
      </c>
      <c r="E342" s="5" t="n">
        <v>246000</v>
      </c>
      <c r="F342" s="5" t="n">
        <v>135300</v>
      </c>
      <c r="G342" s="5" t="n">
        <v>81180</v>
      </c>
      <c r="H342" s="5" t="n">
        <f aca="false">TRUE()</f>
        <v>1</v>
      </c>
      <c r="I342" s="6" t="n">
        <f aca="false">VLOOKUP(D342,Assumptions!$H$4:$I$5,2,FALSE())</f>
        <v>1</v>
      </c>
      <c r="J342" s="6" t="n">
        <f aca="false">MATCH(C342,Assumptions!$K$4:$K$6,0)</f>
        <v>3</v>
      </c>
      <c r="K342" s="6" t="n">
        <f aca="false">INDEX(Assumptions!$L$4:$L$6,J342)</f>
        <v>0.55</v>
      </c>
      <c r="L342" s="6" t="n">
        <f aca="false">IF(H342,ROUND(E342*K342,2),Assumptions!$B$11)</f>
        <v>135300</v>
      </c>
      <c r="M342" s="7" t="n">
        <f aca="false">ABS(F342-L342)</f>
        <v>0</v>
      </c>
      <c r="N342" s="6" t="n">
        <f aca="false">INT(E342/Assumptions!$B$12)</f>
        <v>2</v>
      </c>
    </row>
    <row r="343" customFormat="false" ht="15" hidden="false" customHeight="false" outlineLevel="0" collapsed="false">
      <c r="A343" s="2" t="s">
        <v>386</v>
      </c>
      <c r="B343" s="2" t="s">
        <v>47</v>
      </c>
      <c r="C343" s="2" t="s">
        <v>13</v>
      </c>
      <c r="D343" s="2" t="s">
        <v>16</v>
      </c>
      <c r="E343" s="5" t="n">
        <v>316000</v>
      </c>
      <c r="F343" s="5" t="n">
        <v>195920</v>
      </c>
      <c r="G343" s="5" t="n">
        <v>117552</v>
      </c>
      <c r="H343" s="5" t="n">
        <f aca="false">FALSE()</f>
        <v>0</v>
      </c>
      <c r="I343" s="6" t="n">
        <f aca="false">VLOOKUP(D343,Assumptions!$H$4:$I$5,2,FALSE())</f>
        <v>1.15</v>
      </c>
      <c r="J343" s="6" t="n">
        <f aca="false">MATCH(C343,Assumptions!$K$4:$K$6,0)</f>
        <v>1</v>
      </c>
      <c r="K343" s="6" t="n">
        <f aca="false">INDEX(Assumptions!$L$4:$L$6,J343)</f>
        <v>0.62</v>
      </c>
      <c r="L343" s="6" t="n">
        <f aca="false">IF(H343,ROUND(E343*K343,2),Assumptions!$B$11)</f>
        <v>0</v>
      </c>
      <c r="M343" s="7" t="n">
        <f aca="false">ABS(F343-L343)</f>
        <v>195920</v>
      </c>
      <c r="N343" s="6" t="n">
        <f aca="false">INT(E343/Assumptions!$B$12)</f>
        <v>3</v>
      </c>
    </row>
    <row r="344" customFormat="false" ht="15" hidden="false" customHeight="false" outlineLevel="0" collapsed="false">
      <c r="A344" s="2" t="s">
        <v>387</v>
      </c>
      <c r="B344" s="2" t="s">
        <v>47</v>
      </c>
      <c r="C344" s="2" t="s">
        <v>17</v>
      </c>
      <c r="D344" s="2" t="s">
        <v>12</v>
      </c>
      <c r="E344" s="5" t="n">
        <v>456000</v>
      </c>
      <c r="F344" s="5" t="n">
        <v>319200</v>
      </c>
      <c r="G344" s="5" t="n">
        <v>191520</v>
      </c>
      <c r="H344" s="5" t="n">
        <f aca="false">TRUE()</f>
        <v>1</v>
      </c>
      <c r="I344" s="6" t="n">
        <f aca="false">VLOOKUP(D344,Assumptions!$H$4:$I$5,2,FALSE())</f>
        <v>1</v>
      </c>
      <c r="J344" s="6" t="n">
        <f aca="false">MATCH(C344,Assumptions!$K$4:$K$6,0)</f>
        <v>2</v>
      </c>
      <c r="K344" s="6" t="n">
        <f aca="false">INDEX(Assumptions!$L$4:$L$6,J344)</f>
        <v>0.7</v>
      </c>
      <c r="L344" s="6" t="n">
        <f aca="false">IF(H344,ROUND(E344*K344,2),Assumptions!$B$11)</f>
        <v>319200</v>
      </c>
      <c r="M344" s="7" t="n">
        <f aca="false">ABS(F344-L344)</f>
        <v>0</v>
      </c>
      <c r="N344" s="6" t="n">
        <f aca="false">INT(E344/Assumptions!$B$12)</f>
        <v>4</v>
      </c>
    </row>
    <row r="345" customFormat="false" ht="15" hidden="false" customHeight="false" outlineLevel="0" collapsed="false">
      <c r="A345" s="2" t="s">
        <v>388</v>
      </c>
      <c r="B345" s="2" t="s">
        <v>47</v>
      </c>
      <c r="C345" s="2" t="s">
        <v>20</v>
      </c>
      <c r="D345" s="2" t="s">
        <v>12</v>
      </c>
      <c r="E345" s="5" t="n">
        <v>474000</v>
      </c>
      <c r="F345" s="5" t="n">
        <v>260700</v>
      </c>
      <c r="G345" s="5" t="n">
        <v>156420</v>
      </c>
      <c r="H345" s="5" t="n">
        <f aca="false">TRUE()</f>
        <v>1</v>
      </c>
      <c r="I345" s="6" t="n">
        <f aca="false">VLOOKUP(D345,Assumptions!$H$4:$I$5,2,FALSE())</f>
        <v>1</v>
      </c>
      <c r="J345" s="6" t="n">
        <f aca="false">MATCH(C345,Assumptions!$K$4:$K$6,0)</f>
        <v>3</v>
      </c>
      <c r="K345" s="6" t="n">
        <f aca="false">INDEX(Assumptions!$L$4:$L$6,J345)</f>
        <v>0.55</v>
      </c>
      <c r="L345" s="6" t="n">
        <f aca="false">IF(H345,ROUND(E345*K345,2),Assumptions!$B$11)</f>
        <v>260700</v>
      </c>
      <c r="M345" s="7" t="n">
        <f aca="false">ABS(F345-L345)</f>
        <v>0</v>
      </c>
      <c r="N345" s="6" t="n">
        <f aca="false">INT(E345/Assumptions!$B$12)</f>
        <v>4</v>
      </c>
    </row>
    <row r="346" customFormat="false" ht="15" hidden="false" customHeight="false" outlineLevel="0" collapsed="false">
      <c r="A346" s="2" t="s">
        <v>389</v>
      </c>
      <c r="B346" s="2" t="s">
        <v>47</v>
      </c>
      <c r="C346" s="2" t="s">
        <v>13</v>
      </c>
      <c r="D346" s="2" t="s">
        <v>12</v>
      </c>
      <c r="E346" s="5" t="n">
        <v>384000</v>
      </c>
      <c r="F346" s="5" t="n">
        <v>238080</v>
      </c>
      <c r="G346" s="5" t="n">
        <v>142848</v>
      </c>
      <c r="H346" s="5" t="n">
        <f aca="false">TRUE()</f>
        <v>1</v>
      </c>
      <c r="I346" s="6" t="n">
        <f aca="false">VLOOKUP(D346,Assumptions!$H$4:$I$5,2,FALSE())</f>
        <v>1</v>
      </c>
      <c r="J346" s="6" t="n">
        <f aca="false">MATCH(C346,Assumptions!$K$4:$K$6,0)</f>
        <v>1</v>
      </c>
      <c r="K346" s="6" t="n">
        <f aca="false">INDEX(Assumptions!$L$4:$L$6,J346)</f>
        <v>0.62</v>
      </c>
      <c r="L346" s="6" t="n">
        <f aca="false">IF(H346,ROUND(E346*K346,2),Assumptions!$B$11)</f>
        <v>238080</v>
      </c>
      <c r="M346" s="7" t="n">
        <f aca="false">ABS(F346-L346)</f>
        <v>0</v>
      </c>
      <c r="N346" s="6" t="n">
        <f aca="false">INT(E346/Assumptions!$B$12)</f>
        <v>3</v>
      </c>
    </row>
    <row r="347" customFormat="false" ht="15" hidden="false" customHeight="false" outlineLevel="0" collapsed="false">
      <c r="A347" s="2" t="s">
        <v>390</v>
      </c>
      <c r="B347" s="2" t="s">
        <v>47</v>
      </c>
      <c r="C347" s="2" t="s">
        <v>17</v>
      </c>
      <c r="D347" s="2" t="s">
        <v>16</v>
      </c>
      <c r="E347" s="5" t="n">
        <v>438000</v>
      </c>
      <c r="F347" s="5" t="n">
        <v>306600</v>
      </c>
      <c r="G347" s="5" t="n">
        <v>183960</v>
      </c>
      <c r="H347" s="5" t="n">
        <f aca="false">TRUE()</f>
        <v>1</v>
      </c>
      <c r="I347" s="6" t="n">
        <f aca="false">VLOOKUP(D347,Assumptions!$H$4:$I$5,2,FALSE())</f>
        <v>1.15</v>
      </c>
      <c r="J347" s="6" t="n">
        <f aca="false">MATCH(C347,Assumptions!$K$4:$K$6,0)</f>
        <v>2</v>
      </c>
      <c r="K347" s="6" t="n">
        <f aca="false">INDEX(Assumptions!$L$4:$L$6,J347)</f>
        <v>0.7</v>
      </c>
      <c r="L347" s="6" t="n">
        <f aca="false">IF(H347,ROUND(E347*K347,2),Assumptions!$B$11)</f>
        <v>306600</v>
      </c>
      <c r="M347" s="7" t="n">
        <f aca="false">ABS(F347-L347)</f>
        <v>0</v>
      </c>
      <c r="N347" s="6" t="n">
        <f aca="false">INT(E347/Assumptions!$B$12)</f>
        <v>4</v>
      </c>
    </row>
    <row r="348" customFormat="false" ht="15" hidden="false" customHeight="false" outlineLevel="0" collapsed="false">
      <c r="A348" s="2" t="s">
        <v>391</v>
      </c>
      <c r="B348" s="2" t="s">
        <v>47</v>
      </c>
      <c r="C348" s="2" t="s">
        <v>20</v>
      </c>
      <c r="D348" s="2" t="s">
        <v>12</v>
      </c>
      <c r="E348" s="5" t="n">
        <v>467000</v>
      </c>
      <c r="F348" s="5" t="n">
        <v>256850</v>
      </c>
      <c r="G348" s="5" t="n">
        <v>154110</v>
      </c>
      <c r="H348" s="5" t="n">
        <f aca="false">TRUE()</f>
        <v>1</v>
      </c>
      <c r="I348" s="6" t="n">
        <f aca="false">VLOOKUP(D348,Assumptions!$H$4:$I$5,2,FALSE())</f>
        <v>1</v>
      </c>
      <c r="J348" s="6" t="n">
        <f aca="false">MATCH(C348,Assumptions!$K$4:$K$6,0)</f>
        <v>3</v>
      </c>
      <c r="K348" s="6" t="n">
        <f aca="false">INDEX(Assumptions!$L$4:$L$6,J348)</f>
        <v>0.55</v>
      </c>
      <c r="L348" s="6" t="n">
        <f aca="false">IF(H348,ROUND(E348*K348,2),Assumptions!$B$11)</f>
        <v>256850</v>
      </c>
      <c r="M348" s="7" t="n">
        <f aca="false">ABS(F348-L348)</f>
        <v>0</v>
      </c>
      <c r="N348" s="6" t="n">
        <f aca="false">INT(E348/Assumptions!$B$12)</f>
        <v>4</v>
      </c>
    </row>
    <row r="349" customFormat="false" ht="15" hidden="false" customHeight="false" outlineLevel="0" collapsed="false">
      <c r="A349" s="2" t="s">
        <v>392</v>
      </c>
      <c r="B349" s="2" t="s">
        <v>47</v>
      </c>
      <c r="C349" s="2" t="s">
        <v>13</v>
      </c>
      <c r="D349" s="2" t="s">
        <v>12</v>
      </c>
      <c r="E349" s="5" t="n">
        <v>349000</v>
      </c>
      <c r="F349" s="5" t="n">
        <v>216380</v>
      </c>
      <c r="G349" s="5" t="n">
        <v>129828</v>
      </c>
      <c r="H349" s="5" t="n">
        <f aca="false">TRUE()</f>
        <v>1</v>
      </c>
      <c r="I349" s="6" t="n">
        <f aca="false">VLOOKUP(D349,Assumptions!$H$4:$I$5,2,FALSE())</f>
        <v>1</v>
      </c>
      <c r="J349" s="6" t="n">
        <f aca="false">MATCH(C349,Assumptions!$K$4:$K$6,0)</f>
        <v>1</v>
      </c>
      <c r="K349" s="6" t="n">
        <f aca="false">INDEX(Assumptions!$L$4:$L$6,J349)</f>
        <v>0.62</v>
      </c>
      <c r="L349" s="6" t="n">
        <f aca="false">IF(H349,ROUND(E349*K349,2),Assumptions!$B$11)</f>
        <v>216380</v>
      </c>
      <c r="M349" s="7" t="n">
        <f aca="false">ABS(F349-L349)</f>
        <v>0</v>
      </c>
      <c r="N349" s="6" t="n">
        <f aca="false">INT(E349/Assumptions!$B$12)</f>
        <v>3</v>
      </c>
    </row>
    <row r="350" customFormat="false" ht="15" hidden="false" customHeight="false" outlineLevel="0" collapsed="false">
      <c r="A350" s="2" t="s">
        <v>393</v>
      </c>
      <c r="B350" s="2" t="s">
        <v>47</v>
      </c>
      <c r="C350" s="2" t="s">
        <v>17</v>
      </c>
      <c r="D350" s="2" t="s">
        <v>12</v>
      </c>
      <c r="E350" s="5" t="n">
        <v>179000</v>
      </c>
      <c r="F350" s="5" t="n">
        <v>125300</v>
      </c>
      <c r="G350" s="5" t="n">
        <v>75180</v>
      </c>
      <c r="H350" s="5" t="n">
        <f aca="false">TRUE()</f>
        <v>1</v>
      </c>
      <c r="I350" s="6" t="n">
        <f aca="false">VLOOKUP(D350,Assumptions!$H$4:$I$5,2,FALSE())</f>
        <v>1</v>
      </c>
      <c r="J350" s="6" t="n">
        <f aca="false">MATCH(C350,Assumptions!$K$4:$K$6,0)</f>
        <v>2</v>
      </c>
      <c r="K350" s="6" t="n">
        <f aca="false">INDEX(Assumptions!$L$4:$L$6,J350)</f>
        <v>0.7</v>
      </c>
      <c r="L350" s="6" t="n">
        <f aca="false">IF(H350,ROUND(E350*K350,2),Assumptions!$B$11)</f>
        <v>125300</v>
      </c>
      <c r="M350" s="7" t="n">
        <f aca="false">ABS(F350-L350)</f>
        <v>0</v>
      </c>
      <c r="N350" s="6" t="n">
        <f aca="false">INT(E350/Assumptions!$B$12)</f>
        <v>1</v>
      </c>
    </row>
    <row r="351" customFormat="false" ht="15" hidden="false" customHeight="false" outlineLevel="0" collapsed="false">
      <c r="A351" s="2" t="s">
        <v>394</v>
      </c>
      <c r="B351" s="2" t="s">
        <v>47</v>
      </c>
      <c r="C351" s="2" t="s">
        <v>20</v>
      </c>
      <c r="D351" s="2" t="s">
        <v>16</v>
      </c>
      <c r="E351" s="5" t="n">
        <v>197000</v>
      </c>
      <c r="F351" s="5" t="n">
        <v>108350</v>
      </c>
      <c r="G351" s="5" t="n">
        <v>65010</v>
      </c>
      <c r="H351" s="5" t="n">
        <f aca="false">TRUE()</f>
        <v>1</v>
      </c>
      <c r="I351" s="6" t="n">
        <f aca="false">VLOOKUP(D351,Assumptions!$H$4:$I$5,2,FALSE())</f>
        <v>1.15</v>
      </c>
      <c r="J351" s="6" t="n">
        <f aca="false">MATCH(C351,Assumptions!$K$4:$K$6,0)</f>
        <v>3</v>
      </c>
      <c r="K351" s="6" t="n">
        <f aca="false">INDEX(Assumptions!$L$4:$L$6,J351)</f>
        <v>0.55</v>
      </c>
      <c r="L351" s="6" t="n">
        <f aca="false">IF(H351,ROUND(E351*K351,2),Assumptions!$B$11)</f>
        <v>108350</v>
      </c>
      <c r="M351" s="7" t="n">
        <f aca="false">ABS(F351-L351)</f>
        <v>0</v>
      </c>
      <c r="N351" s="6" t="n">
        <f aca="false">INT(E351/Assumptions!$B$12)</f>
        <v>1</v>
      </c>
    </row>
    <row r="352" customFormat="false" ht="15" hidden="false" customHeight="false" outlineLevel="0" collapsed="false">
      <c r="A352" s="2" t="s">
        <v>395</v>
      </c>
      <c r="B352" s="2" t="s">
        <v>47</v>
      </c>
      <c r="C352" s="2" t="s">
        <v>13</v>
      </c>
      <c r="D352" s="2" t="s">
        <v>12</v>
      </c>
      <c r="E352" s="5" t="n">
        <v>251000</v>
      </c>
      <c r="F352" s="5" t="n">
        <v>155620</v>
      </c>
      <c r="G352" s="5" t="n">
        <v>93372</v>
      </c>
      <c r="H352" s="5" t="n">
        <f aca="false">TRUE()</f>
        <v>1</v>
      </c>
      <c r="I352" s="6" t="n">
        <f aca="false">VLOOKUP(D352,Assumptions!$H$4:$I$5,2,FALSE())</f>
        <v>1</v>
      </c>
      <c r="J352" s="6" t="n">
        <f aca="false">MATCH(C352,Assumptions!$K$4:$K$6,0)</f>
        <v>1</v>
      </c>
      <c r="K352" s="6" t="n">
        <f aca="false">INDEX(Assumptions!$L$4:$L$6,J352)</f>
        <v>0.62</v>
      </c>
      <c r="L352" s="6" t="n">
        <f aca="false">IF(H352,ROUND(E352*K352,2),Assumptions!$B$11)</f>
        <v>155620</v>
      </c>
      <c r="M352" s="7" t="n">
        <f aca="false">ABS(F352-L352)</f>
        <v>0</v>
      </c>
      <c r="N352" s="6" t="n">
        <f aca="false">INT(E352/Assumptions!$B$12)</f>
        <v>2</v>
      </c>
    </row>
    <row r="353" customFormat="false" ht="15" hidden="false" customHeight="false" outlineLevel="0" collapsed="false">
      <c r="A353" s="2" t="s">
        <v>396</v>
      </c>
      <c r="B353" s="2" t="s">
        <v>47</v>
      </c>
      <c r="C353" s="2" t="s">
        <v>17</v>
      </c>
      <c r="D353" s="2" t="s">
        <v>12</v>
      </c>
      <c r="E353" s="5" t="n">
        <v>211000</v>
      </c>
      <c r="F353" s="5" t="n">
        <v>147700</v>
      </c>
      <c r="G353" s="5" t="n">
        <v>88620</v>
      </c>
      <c r="H353" s="5" t="n">
        <f aca="false">TRUE()</f>
        <v>1</v>
      </c>
      <c r="I353" s="6" t="n">
        <f aca="false">VLOOKUP(D353,Assumptions!$H$4:$I$5,2,FALSE())</f>
        <v>1</v>
      </c>
      <c r="J353" s="6" t="n">
        <f aca="false">MATCH(C353,Assumptions!$K$4:$K$6,0)</f>
        <v>2</v>
      </c>
      <c r="K353" s="6" t="n">
        <f aca="false">INDEX(Assumptions!$L$4:$L$6,J353)</f>
        <v>0.7</v>
      </c>
      <c r="L353" s="6" t="n">
        <f aca="false">IF(H353,ROUND(E353*K353,2),Assumptions!$B$11)</f>
        <v>147700</v>
      </c>
      <c r="M353" s="7" t="n">
        <f aca="false">ABS(F353-L353)</f>
        <v>0</v>
      </c>
      <c r="N353" s="6" t="n">
        <f aca="false">INT(E353/Assumptions!$B$12)</f>
        <v>2</v>
      </c>
    </row>
    <row r="354" customFormat="false" ht="15" hidden="false" customHeight="false" outlineLevel="0" collapsed="false">
      <c r="A354" s="2" t="s">
        <v>397</v>
      </c>
      <c r="B354" s="2" t="s">
        <v>47</v>
      </c>
      <c r="C354" s="2" t="s">
        <v>20</v>
      </c>
      <c r="D354" s="2" t="s">
        <v>12</v>
      </c>
      <c r="E354" s="5" t="n">
        <v>129000</v>
      </c>
      <c r="F354" s="5" t="n">
        <v>70950</v>
      </c>
      <c r="G354" s="5" t="n">
        <v>42570</v>
      </c>
      <c r="H354" s="5" t="n">
        <f aca="false">TRUE()</f>
        <v>1</v>
      </c>
      <c r="I354" s="6" t="n">
        <f aca="false">VLOOKUP(D354,Assumptions!$H$4:$I$5,2,FALSE())</f>
        <v>1</v>
      </c>
      <c r="J354" s="6" t="n">
        <f aca="false">MATCH(C354,Assumptions!$K$4:$K$6,0)</f>
        <v>3</v>
      </c>
      <c r="K354" s="6" t="n">
        <f aca="false">INDEX(Assumptions!$L$4:$L$6,J354)</f>
        <v>0.55</v>
      </c>
      <c r="L354" s="6" t="n">
        <f aca="false">IF(H354,ROUND(E354*K354,2),Assumptions!$B$11)</f>
        <v>70950</v>
      </c>
      <c r="M354" s="7" t="n">
        <f aca="false">ABS(F354-L354)</f>
        <v>0</v>
      </c>
      <c r="N354" s="6" t="n">
        <f aca="false">INT(E354/Assumptions!$B$12)</f>
        <v>1</v>
      </c>
    </row>
    <row r="355" customFormat="false" ht="15" hidden="false" customHeight="false" outlineLevel="0" collapsed="false">
      <c r="A355" s="2" t="s">
        <v>398</v>
      </c>
      <c r="B355" s="2" t="s">
        <v>47</v>
      </c>
      <c r="C355" s="2" t="s">
        <v>13</v>
      </c>
      <c r="D355" s="2" t="s">
        <v>16</v>
      </c>
      <c r="E355" s="5" t="n">
        <v>396000</v>
      </c>
      <c r="F355" s="5" t="n">
        <v>245520</v>
      </c>
      <c r="G355" s="5" t="n">
        <v>147312</v>
      </c>
      <c r="H355" s="5" t="n">
        <f aca="false">TRUE()</f>
        <v>1</v>
      </c>
      <c r="I355" s="6" t="n">
        <f aca="false">VLOOKUP(D355,Assumptions!$H$4:$I$5,2,FALSE())</f>
        <v>1.15</v>
      </c>
      <c r="J355" s="6" t="n">
        <f aca="false">MATCH(C355,Assumptions!$K$4:$K$6,0)</f>
        <v>1</v>
      </c>
      <c r="K355" s="6" t="n">
        <f aca="false">INDEX(Assumptions!$L$4:$L$6,J355)</f>
        <v>0.62</v>
      </c>
      <c r="L355" s="6" t="n">
        <f aca="false">IF(H355,ROUND(E355*K355,2),Assumptions!$B$11)</f>
        <v>245520</v>
      </c>
      <c r="M355" s="7" t="n">
        <f aca="false">ABS(F355-L355)</f>
        <v>0</v>
      </c>
      <c r="N355" s="6" t="n">
        <f aca="false">INT(E355/Assumptions!$B$12)</f>
        <v>3</v>
      </c>
    </row>
    <row r="356" customFormat="false" ht="15" hidden="false" customHeight="false" outlineLevel="0" collapsed="false">
      <c r="A356" s="2" t="s">
        <v>399</v>
      </c>
      <c r="B356" s="2" t="s">
        <v>47</v>
      </c>
      <c r="C356" s="2" t="s">
        <v>17</v>
      </c>
      <c r="D356" s="2" t="s">
        <v>12</v>
      </c>
      <c r="E356" s="5" t="n">
        <v>476000</v>
      </c>
      <c r="F356" s="5" t="n">
        <v>333200</v>
      </c>
      <c r="G356" s="5" t="n">
        <v>199920</v>
      </c>
      <c r="H356" s="5" t="n">
        <f aca="false">TRUE()</f>
        <v>1</v>
      </c>
      <c r="I356" s="6" t="n">
        <f aca="false">VLOOKUP(D356,Assumptions!$H$4:$I$5,2,FALSE())</f>
        <v>1</v>
      </c>
      <c r="J356" s="6" t="n">
        <f aca="false">MATCH(C356,Assumptions!$K$4:$K$6,0)</f>
        <v>2</v>
      </c>
      <c r="K356" s="6" t="n">
        <f aca="false">INDEX(Assumptions!$L$4:$L$6,J356)</f>
        <v>0.7</v>
      </c>
      <c r="L356" s="6" t="n">
        <f aca="false">IF(H356,ROUND(E356*K356,2),Assumptions!$B$11)</f>
        <v>333200</v>
      </c>
      <c r="M356" s="7" t="n">
        <f aca="false">ABS(F356-L356)</f>
        <v>0</v>
      </c>
      <c r="N356" s="6" t="n">
        <f aca="false">INT(E356/Assumptions!$B$12)</f>
        <v>4</v>
      </c>
    </row>
    <row r="357" customFormat="false" ht="15" hidden="false" customHeight="false" outlineLevel="0" collapsed="false">
      <c r="A357" s="2" t="s">
        <v>400</v>
      </c>
      <c r="B357" s="2" t="s">
        <v>47</v>
      </c>
      <c r="C357" s="2" t="s">
        <v>20</v>
      </c>
      <c r="D357" s="2" t="s">
        <v>12</v>
      </c>
      <c r="E357" s="5" t="n">
        <v>377000</v>
      </c>
      <c r="F357" s="5" t="n">
        <v>207350</v>
      </c>
      <c r="G357" s="5" t="n">
        <v>124410</v>
      </c>
      <c r="H357" s="5" t="n">
        <f aca="false">TRUE()</f>
        <v>1</v>
      </c>
      <c r="I357" s="6" t="n">
        <f aca="false">VLOOKUP(D357,Assumptions!$H$4:$I$5,2,FALSE())</f>
        <v>1</v>
      </c>
      <c r="J357" s="6" t="n">
        <f aca="false">MATCH(C357,Assumptions!$K$4:$K$6,0)</f>
        <v>3</v>
      </c>
      <c r="K357" s="6" t="n">
        <f aca="false">INDEX(Assumptions!$L$4:$L$6,J357)</f>
        <v>0.55</v>
      </c>
      <c r="L357" s="6" t="n">
        <f aca="false">IF(H357,ROUND(E357*K357,2),Assumptions!$B$11)</f>
        <v>207350</v>
      </c>
      <c r="M357" s="7" t="n">
        <f aca="false">ABS(F357-L357)</f>
        <v>0</v>
      </c>
      <c r="N357" s="6" t="n">
        <f aca="false">INT(E357/Assumptions!$B$12)</f>
        <v>3</v>
      </c>
    </row>
    <row r="358" customFormat="false" ht="15" hidden="false" customHeight="false" outlineLevel="0" collapsed="false">
      <c r="A358" s="2" t="s">
        <v>401</v>
      </c>
      <c r="B358" s="2" t="s">
        <v>47</v>
      </c>
      <c r="C358" s="2" t="s">
        <v>13</v>
      </c>
      <c r="D358" s="2" t="s">
        <v>12</v>
      </c>
      <c r="E358" s="5" t="n">
        <v>131000</v>
      </c>
      <c r="F358" s="5" t="n">
        <v>81220</v>
      </c>
      <c r="G358" s="5" t="n">
        <v>48732</v>
      </c>
      <c r="H358" s="5" t="n">
        <f aca="false">TRUE()</f>
        <v>1</v>
      </c>
      <c r="I358" s="6" t="n">
        <f aca="false">VLOOKUP(D358,Assumptions!$H$4:$I$5,2,FALSE())</f>
        <v>1</v>
      </c>
      <c r="J358" s="6" t="n">
        <f aca="false">MATCH(C358,Assumptions!$K$4:$K$6,0)</f>
        <v>1</v>
      </c>
      <c r="K358" s="6" t="n">
        <f aca="false">INDEX(Assumptions!$L$4:$L$6,J358)</f>
        <v>0.62</v>
      </c>
      <c r="L358" s="6" t="n">
        <f aca="false">IF(H358,ROUND(E358*K358,2),Assumptions!$B$11)</f>
        <v>81220</v>
      </c>
      <c r="M358" s="7" t="n">
        <f aca="false">ABS(F358-L358)</f>
        <v>0</v>
      </c>
      <c r="N358" s="6" t="n">
        <f aca="false">INT(E358/Assumptions!$B$12)</f>
        <v>1</v>
      </c>
    </row>
    <row r="359" customFormat="false" ht="15" hidden="false" customHeight="false" outlineLevel="0" collapsed="false">
      <c r="A359" s="2" t="s">
        <v>402</v>
      </c>
      <c r="B359" s="2" t="s">
        <v>47</v>
      </c>
      <c r="C359" s="2" t="s">
        <v>17</v>
      </c>
      <c r="D359" s="2" t="s">
        <v>16</v>
      </c>
      <c r="E359" s="5" t="n">
        <v>482000</v>
      </c>
      <c r="F359" s="5" t="n">
        <v>337400</v>
      </c>
      <c r="G359" s="5" t="n">
        <v>202440</v>
      </c>
      <c r="H359" s="5" t="n">
        <f aca="false">TRUE()</f>
        <v>1</v>
      </c>
      <c r="I359" s="6" t="n">
        <f aca="false">VLOOKUP(D359,Assumptions!$H$4:$I$5,2,FALSE())</f>
        <v>1.15</v>
      </c>
      <c r="J359" s="6" t="n">
        <f aca="false">MATCH(C359,Assumptions!$K$4:$K$6,0)</f>
        <v>2</v>
      </c>
      <c r="K359" s="6" t="n">
        <f aca="false">INDEX(Assumptions!$L$4:$L$6,J359)</f>
        <v>0.7</v>
      </c>
      <c r="L359" s="6" t="n">
        <f aca="false">IF(H359,ROUND(E359*K359,2),Assumptions!$B$11)</f>
        <v>337400</v>
      </c>
      <c r="M359" s="7" t="n">
        <f aca="false">ABS(F359-L359)</f>
        <v>0</v>
      </c>
      <c r="N359" s="6" t="n">
        <f aca="false">INT(E359/Assumptions!$B$12)</f>
        <v>4</v>
      </c>
    </row>
    <row r="360" customFormat="false" ht="15" hidden="false" customHeight="false" outlineLevel="0" collapsed="false">
      <c r="A360" s="2" t="s">
        <v>403</v>
      </c>
      <c r="B360" s="2" t="s">
        <v>47</v>
      </c>
      <c r="C360" s="2" t="s">
        <v>20</v>
      </c>
      <c r="D360" s="2" t="s">
        <v>12</v>
      </c>
      <c r="E360" s="5" t="n">
        <v>260000</v>
      </c>
      <c r="F360" s="5" t="n">
        <v>143000</v>
      </c>
      <c r="G360" s="5" t="n">
        <v>85800</v>
      </c>
      <c r="H360" s="5" t="n">
        <f aca="false">FALSE()</f>
        <v>0</v>
      </c>
      <c r="I360" s="6" t="n">
        <f aca="false">VLOOKUP(D360,Assumptions!$H$4:$I$5,2,FALSE())</f>
        <v>1</v>
      </c>
      <c r="J360" s="6" t="n">
        <f aca="false">MATCH(C360,Assumptions!$K$4:$K$6,0)</f>
        <v>3</v>
      </c>
      <c r="K360" s="6" t="n">
        <f aca="false">INDEX(Assumptions!$L$4:$L$6,J360)</f>
        <v>0.55</v>
      </c>
      <c r="L360" s="6" t="n">
        <f aca="false">IF(H360,ROUND(E360*K360,2),Assumptions!$B$11)</f>
        <v>0</v>
      </c>
      <c r="M360" s="7" t="n">
        <f aca="false">ABS(F360-L360)</f>
        <v>143000</v>
      </c>
      <c r="N360" s="6" t="n">
        <f aca="false">INT(E360/Assumptions!$B$12)</f>
        <v>2</v>
      </c>
    </row>
    <row r="361" customFormat="false" ht="15" hidden="false" customHeight="false" outlineLevel="0" collapsed="false">
      <c r="A361" s="2" t="s">
        <v>404</v>
      </c>
      <c r="B361" s="2" t="s">
        <v>47</v>
      </c>
      <c r="C361" s="2" t="s">
        <v>13</v>
      </c>
      <c r="D361" s="2" t="s">
        <v>12</v>
      </c>
      <c r="E361" s="5" t="n">
        <v>129000</v>
      </c>
      <c r="F361" s="5" t="n">
        <v>79980</v>
      </c>
      <c r="G361" s="5" t="n">
        <v>47988</v>
      </c>
      <c r="H361" s="5" t="n">
        <f aca="false">TRUE()</f>
        <v>1</v>
      </c>
      <c r="I361" s="6" t="n">
        <f aca="false">VLOOKUP(D361,Assumptions!$H$4:$I$5,2,FALSE())</f>
        <v>1</v>
      </c>
      <c r="J361" s="6" t="n">
        <f aca="false">MATCH(C361,Assumptions!$K$4:$K$6,0)</f>
        <v>1</v>
      </c>
      <c r="K361" s="6" t="n">
        <f aca="false">INDEX(Assumptions!$L$4:$L$6,J361)</f>
        <v>0.62</v>
      </c>
      <c r="L361" s="6" t="n">
        <f aca="false">IF(H361,ROUND(E361*K361,2),Assumptions!$B$11)</f>
        <v>79980</v>
      </c>
      <c r="M361" s="7" t="n">
        <f aca="false">ABS(F361-L361)</f>
        <v>0</v>
      </c>
      <c r="N361" s="6" t="n">
        <f aca="false">INT(E361/Assumptions!$B$12)</f>
        <v>1</v>
      </c>
    </row>
    <row r="362" customFormat="false" ht="15" hidden="false" customHeight="false" outlineLevel="0" collapsed="false">
      <c r="A362" s="2" t="s">
        <v>405</v>
      </c>
      <c r="B362" s="2" t="s">
        <v>47</v>
      </c>
      <c r="C362" s="2" t="s">
        <v>17</v>
      </c>
      <c r="D362" s="2" t="s">
        <v>12</v>
      </c>
      <c r="E362" s="5" t="n">
        <v>125000</v>
      </c>
      <c r="F362" s="5" t="n">
        <v>87500</v>
      </c>
      <c r="G362" s="5" t="n">
        <v>52500</v>
      </c>
      <c r="H362" s="5" t="n">
        <f aca="false">TRUE()</f>
        <v>1</v>
      </c>
      <c r="I362" s="6" t="n">
        <f aca="false">VLOOKUP(D362,Assumptions!$H$4:$I$5,2,FALSE())</f>
        <v>1</v>
      </c>
      <c r="J362" s="6" t="n">
        <f aca="false">MATCH(C362,Assumptions!$K$4:$K$6,0)</f>
        <v>2</v>
      </c>
      <c r="K362" s="6" t="n">
        <f aca="false">INDEX(Assumptions!$L$4:$L$6,J362)</f>
        <v>0.7</v>
      </c>
      <c r="L362" s="6" t="n">
        <f aca="false">IF(H362,ROUND(E362*K362,2),Assumptions!$B$11)</f>
        <v>87500</v>
      </c>
      <c r="M362" s="7" t="n">
        <f aca="false">ABS(F362-L362)</f>
        <v>0</v>
      </c>
      <c r="N362" s="6" t="n">
        <f aca="false">INT(E362/Assumptions!$B$12)</f>
        <v>1</v>
      </c>
    </row>
    <row r="363" customFormat="false" ht="15" hidden="false" customHeight="false" outlineLevel="0" collapsed="false">
      <c r="A363" s="2" t="s">
        <v>406</v>
      </c>
      <c r="B363" s="2" t="s">
        <v>47</v>
      </c>
      <c r="C363" s="2" t="s">
        <v>20</v>
      </c>
      <c r="D363" s="2" t="s">
        <v>16</v>
      </c>
      <c r="E363" s="5" t="n">
        <v>399000</v>
      </c>
      <c r="F363" s="5" t="n">
        <v>219450</v>
      </c>
      <c r="G363" s="5" t="n">
        <v>131670</v>
      </c>
      <c r="H363" s="5" t="n">
        <f aca="false">TRUE()</f>
        <v>1</v>
      </c>
      <c r="I363" s="6" t="n">
        <f aca="false">VLOOKUP(D363,Assumptions!$H$4:$I$5,2,FALSE())</f>
        <v>1.15</v>
      </c>
      <c r="J363" s="6" t="n">
        <f aca="false">MATCH(C363,Assumptions!$K$4:$K$6,0)</f>
        <v>3</v>
      </c>
      <c r="K363" s="6" t="n">
        <f aca="false">INDEX(Assumptions!$L$4:$L$6,J363)</f>
        <v>0.55</v>
      </c>
      <c r="L363" s="6" t="n">
        <f aca="false">IF(H363,ROUND(E363*K363,2),Assumptions!$B$11)</f>
        <v>219450</v>
      </c>
      <c r="M363" s="7" t="n">
        <f aca="false">ABS(F363-L363)</f>
        <v>0</v>
      </c>
      <c r="N363" s="6" t="n">
        <f aca="false">INT(E363/Assumptions!$B$12)</f>
        <v>3</v>
      </c>
    </row>
    <row r="364" customFormat="false" ht="15" hidden="false" customHeight="false" outlineLevel="0" collapsed="false">
      <c r="A364" s="2" t="s">
        <v>407</v>
      </c>
      <c r="B364" s="2" t="s">
        <v>47</v>
      </c>
      <c r="C364" s="2" t="s">
        <v>13</v>
      </c>
      <c r="D364" s="2" t="s">
        <v>12</v>
      </c>
      <c r="E364" s="5" t="n">
        <v>344000</v>
      </c>
      <c r="F364" s="5" t="n">
        <v>213280</v>
      </c>
      <c r="G364" s="5" t="n">
        <v>127968</v>
      </c>
      <c r="H364" s="5" t="n">
        <f aca="false">TRUE()</f>
        <v>1</v>
      </c>
      <c r="I364" s="6" t="n">
        <f aca="false">VLOOKUP(D364,Assumptions!$H$4:$I$5,2,FALSE())</f>
        <v>1</v>
      </c>
      <c r="J364" s="6" t="n">
        <f aca="false">MATCH(C364,Assumptions!$K$4:$K$6,0)</f>
        <v>1</v>
      </c>
      <c r="K364" s="6" t="n">
        <f aca="false">INDEX(Assumptions!$L$4:$L$6,J364)</f>
        <v>0.62</v>
      </c>
      <c r="L364" s="6" t="n">
        <f aca="false">IF(H364,ROUND(E364*K364,2),Assumptions!$B$11)</f>
        <v>213280</v>
      </c>
      <c r="M364" s="7" t="n">
        <f aca="false">ABS(F364-L364)</f>
        <v>0</v>
      </c>
      <c r="N364" s="6" t="n">
        <f aca="false">INT(E364/Assumptions!$B$12)</f>
        <v>3</v>
      </c>
    </row>
    <row r="365" customFormat="false" ht="15" hidden="false" customHeight="false" outlineLevel="0" collapsed="false">
      <c r="A365" s="2" t="s">
        <v>408</v>
      </c>
      <c r="B365" s="2" t="s">
        <v>47</v>
      </c>
      <c r="C365" s="2" t="s">
        <v>17</v>
      </c>
      <c r="D365" s="2" t="s">
        <v>12</v>
      </c>
      <c r="E365" s="5" t="n">
        <v>357000</v>
      </c>
      <c r="F365" s="5" t="n">
        <v>249900</v>
      </c>
      <c r="G365" s="5" t="n">
        <v>149940</v>
      </c>
      <c r="H365" s="5" t="n">
        <f aca="false">TRUE()</f>
        <v>1</v>
      </c>
      <c r="I365" s="6" t="n">
        <f aca="false">VLOOKUP(D365,Assumptions!$H$4:$I$5,2,FALSE())</f>
        <v>1</v>
      </c>
      <c r="J365" s="6" t="n">
        <f aca="false">MATCH(C365,Assumptions!$K$4:$K$6,0)</f>
        <v>2</v>
      </c>
      <c r="K365" s="6" t="n">
        <f aca="false">INDEX(Assumptions!$L$4:$L$6,J365)</f>
        <v>0.7</v>
      </c>
      <c r="L365" s="6" t="n">
        <f aca="false">IF(H365,ROUND(E365*K365,2),Assumptions!$B$11)</f>
        <v>249900</v>
      </c>
      <c r="M365" s="7" t="n">
        <f aca="false">ABS(F365-L365)</f>
        <v>0</v>
      </c>
      <c r="N365" s="6" t="n">
        <f aca="false">INT(E365/Assumptions!$B$12)</f>
        <v>3</v>
      </c>
    </row>
    <row r="366" customFormat="false" ht="15" hidden="false" customHeight="false" outlineLevel="0" collapsed="false">
      <c r="A366" s="2" t="s">
        <v>409</v>
      </c>
      <c r="B366" s="2" t="s">
        <v>47</v>
      </c>
      <c r="C366" s="2" t="s">
        <v>20</v>
      </c>
      <c r="D366" s="2" t="s">
        <v>12</v>
      </c>
      <c r="E366" s="5" t="n">
        <v>371000</v>
      </c>
      <c r="F366" s="5" t="n">
        <v>204050</v>
      </c>
      <c r="G366" s="5" t="n">
        <v>122430</v>
      </c>
      <c r="H366" s="5" t="n">
        <f aca="false">TRUE()</f>
        <v>1</v>
      </c>
      <c r="I366" s="6" t="n">
        <f aca="false">VLOOKUP(D366,Assumptions!$H$4:$I$5,2,FALSE())</f>
        <v>1</v>
      </c>
      <c r="J366" s="6" t="n">
        <f aca="false">MATCH(C366,Assumptions!$K$4:$K$6,0)</f>
        <v>3</v>
      </c>
      <c r="K366" s="6" t="n">
        <f aca="false">INDEX(Assumptions!$L$4:$L$6,J366)</f>
        <v>0.55</v>
      </c>
      <c r="L366" s="6" t="n">
        <f aca="false">IF(H366,ROUND(E366*K366,2),Assumptions!$B$11)</f>
        <v>204050</v>
      </c>
      <c r="M366" s="7" t="n">
        <f aca="false">ABS(F366-L366)</f>
        <v>0</v>
      </c>
      <c r="N366" s="6" t="n">
        <f aca="false">INT(E366/Assumptions!$B$12)</f>
        <v>3</v>
      </c>
    </row>
    <row r="367" customFormat="false" ht="15" hidden="false" customHeight="false" outlineLevel="0" collapsed="false">
      <c r="A367" s="2" t="s">
        <v>410</v>
      </c>
      <c r="B367" s="2" t="s">
        <v>47</v>
      </c>
      <c r="C367" s="2" t="s">
        <v>13</v>
      </c>
      <c r="D367" s="2" t="s">
        <v>16</v>
      </c>
      <c r="E367" s="5" t="n">
        <v>180000</v>
      </c>
      <c r="F367" s="5" t="n">
        <v>111600</v>
      </c>
      <c r="G367" s="5" t="n">
        <v>66960</v>
      </c>
      <c r="H367" s="5" t="n">
        <f aca="false">TRUE()</f>
        <v>1</v>
      </c>
      <c r="I367" s="6" t="n">
        <f aca="false">VLOOKUP(D367,Assumptions!$H$4:$I$5,2,FALSE())</f>
        <v>1.15</v>
      </c>
      <c r="J367" s="6" t="n">
        <f aca="false">MATCH(C367,Assumptions!$K$4:$K$6,0)</f>
        <v>1</v>
      </c>
      <c r="K367" s="6" t="n">
        <f aca="false">INDEX(Assumptions!$L$4:$L$6,J367)</f>
        <v>0.62</v>
      </c>
      <c r="L367" s="6" t="n">
        <f aca="false">IF(H367,ROUND(E367*K367,2),Assumptions!$B$11)</f>
        <v>111600</v>
      </c>
      <c r="M367" s="7" t="n">
        <f aca="false">ABS(F367-L367)</f>
        <v>0</v>
      </c>
      <c r="N367" s="6" t="n">
        <f aca="false">INT(E367/Assumptions!$B$12)</f>
        <v>1</v>
      </c>
    </row>
    <row r="368" customFormat="false" ht="15" hidden="false" customHeight="false" outlineLevel="0" collapsed="false">
      <c r="A368" s="2" t="s">
        <v>411</v>
      </c>
      <c r="B368" s="2" t="s">
        <v>47</v>
      </c>
      <c r="C368" s="2" t="s">
        <v>17</v>
      </c>
      <c r="D368" s="2" t="s">
        <v>12</v>
      </c>
      <c r="E368" s="5" t="n">
        <v>129000</v>
      </c>
      <c r="F368" s="5" t="n">
        <v>90300</v>
      </c>
      <c r="G368" s="5" t="n">
        <v>54180</v>
      </c>
      <c r="H368" s="5" t="n">
        <f aca="false">TRUE()</f>
        <v>1</v>
      </c>
      <c r="I368" s="6" t="n">
        <f aca="false">VLOOKUP(D368,Assumptions!$H$4:$I$5,2,FALSE())</f>
        <v>1</v>
      </c>
      <c r="J368" s="6" t="n">
        <f aca="false">MATCH(C368,Assumptions!$K$4:$K$6,0)</f>
        <v>2</v>
      </c>
      <c r="K368" s="6" t="n">
        <f aca="false">INDEX(Assumptions!$L$4:$L$6,J368)</f>
        <v>0.7</v>
      </c>
      <c r="L368" s="6" t="n">
        <f aca="false">IF(H368,ROUND(E368*K368,2),Assumptions!$B$11)</f>
        <v>90300</v>
      </c>
      <c r="M368" s="7" t="n">
        <f aca="false">ABS(F368-L368)</f>
        <v>0</v>
      </c>
      <c r="N368" s="6" t="n">
        <f aca="false">INT(E368/Assumptions!$B$12)</f>
        <v>1</v>
      </c>
    </row>
    <row r="369" customFormat="false" ht="15" hidden="false" customHeight="false" outlineLevel="0" collapsed="false">
      <c r="A369" s="2" t="s">
        <v>412</v>
      </c>
      <c r="B369" s="2" t="s">
        <v>47</v>
      </c>
      <c r="C369" s="2" t="s">
        <v>20</v>
      </c>
      <c r="D369" s="2" t="s">
        <v>12</v>
      </c>
      <c r="E369" s="5" t="n">
        <v>360000</v>
      </c>
      <c r="F369" s="5" t="n">
        <v>198000</v>
      </c>
      <c r="G369" s="5" t="n">
        <v>118800</v>
      </c>
      <c r="H369" s="5" t="n">
        <f aca="false">TRUE()</f>
        <v>1</v>
      </c>
      <c r="I369" s="6" t="n">
        <f aca="false">VLOOKUP(D369,Assumptions!$H$4:$I$5,2,FALSE())</f>
        <v>1</v>
      </c>
      <c r="J369" s="6" t="n">
        <f aca="false">MATCH(C369,Assumptions!$K$4:$K$6,0)</f>
        <v>3</v>
      </c>
      <c r="K369" s="6" t="n">
        <f aca="false">INDEX(Assumptions!$L$4:$L$6,J369)</f>
        <v>0.55</v>
      </c>
      <c r="L369" s="6" t="n">
        <f aca="false">IF(H369,ROUND(E369*K369,2),Assumptions!$B$11)</f>
        <v>198000</v>
      </c>
      <c r="M369" s="7" t="n">
        <f aca="false">ABS(F369-L369)</f>
        <v>0</v>
      </c>
      <c r="N369" s="6" t="n">
        <f aca="false">INT(E369/Assumptions!$B$12)</f>
        <v>3</v>
      </c>
    </row>
    <row r="370" customFormat="false" ht="15" hidden="false" customHeight="false" outlineLevel="0" collapsed="false">
      <c r="A370" s="2" t="s">
        <v>413</v>
      </c>
      <c r="B370" s="2" t="s">
        <v>47</v>
      </c>
      <c r="C370" s="2" t="s">
        <v>13</v>
      </c>
      <c r="D370" s="2" t="s">
        <v>12</v>
      </c>
      <c r="E370" s="5" t="n">
        <v>141000</v>
      </c>
      <c r="F370" s="5" t="n">
        <v>87420</v>
      </c>
      <c r="G370" s="5" t="n">
        <v>52452</v>
      </c>
      <c r="H370" s="5" t="n">
        <f aca="false">TRUE()</f>
        <v>1</v>
      </c>
      <c r="I370" s="6" t="n">
        <f aca="false">VLOOKUP(D370,Assumptions!$H$4:$I$5,2,FALSE())</f>
        <v>1</v>
      </c>
      <c r="J370" s="6" t="n">
        <f aca="false">MATCH(C370,Assumptions!$K$4:$K$6,0)</f>
        <v>1</v>
      </c>
      <c r="K370" s="6" t="n">
        <f aca="false">INDEX(Assumptions!$L$4:$L$6,J370)</f>
        <v>0.62</v>
      </c>
      <c r="L370" s="6" t="n">
        <f aca="false">IF(H370,ROUND(E370*K370,2),Assumptions!$B$11)</f>
        <v>87420</v>
      </c>
      <c r="M370" s="7" t="n">
        <f aca="false">ABS(F370-L370)</f>
        <v>0</v>
      </c>
      <c r="N370" s="6" t="n">
        <f aca="false">INT(E370/Assumptions!$B$12)</f>
        <v>1</v>
      </c>
    </row>
    <row r="371" customFormat="false" ht="15" hidden="false" customHeight="false" outlineLevel="0" collapsed="false">
      <c r="A371" s="2" t="s">
        <v>414</v>
      </c>
      <c r="B371" s="2" t="s">
        <v>47</v>
      </c>
      <c r="C371" s="2" t="s">
        <v>17</v>
      </c>
      <c r="D371" s="2" t="s">
        <v>16</v>
      </c>
      <c r="E371" s="5" t="n">
        <v>195000</v>
      </c>
      <c r="F371" s="5" t="n">
        <v>136500</v>
      </c>
      <c r="G371" s="5" t="n">
        <v>81900</v>
      </c>
      <c r="H371" s="5" t="n">
        <f aca="false">TRUE()</f>
        <v>1</v>
      </c>
      <c r="I371" s="6" t="n">
        <f aca="false">VLOOKUP(D371,Assumptions!$H$4:$I$5,2,FALSE())</f>
        <v>1.15</v>
      </c>
      <c r="J371" s="6" t="n">
        <f aca="false">MATCH(C371,Assumptions!$K$4:$K$6,0)</f>
        <v>2</v>
      </c>
      <c r="K371" s="6" t="n">
        <f aca="false">INDEX(Assumptions!$L$4:$L$6,J371)</f>
        <v>0.7</v>
      </c>
      <c r="L371" s="6" t="n">
        <f aca="false">IF(H371,ROUND(E371*K371,2),Assumptions!$B$11)</f>
        <v>136500</v>
      </c>
      <c r="M371" s="7" t="n">
        <f aca="false">ABS(F371-L371)</f>
        <v>0</v>
      </c>
      <c r="N371" s="6" t="n">
        <f aca="false">INT(E371/Assumptions!$B$12)</f>
        <v>1</v>
      </c>
    </row>
    <row r="372" customFormat="false" ht="15" hidden="false" customHeight="false" outlineLevel="0" collapsed="false">
      <c r="A372" s="2" t="s">
        <v>415</v>
      </c>
      <c r="B372" s="2" t="s">
        <v>47</v>
      </c>
      <c r="C372" s="2" t="s">
        <v>20</v>
      </c>
      <c r="D372" s="2" t="s">
        <v>12</v>
      </c>
      <c r="E372" s="5" t="n">
        <v>135000</v>
      </c>
      <c r="F372" s="5" t="n">
        <v>74250</v>
      </c>
      <c r="G372" s="5" t="n">
        <v>44550</v>
      </c>
      <c r="H372" s="5" t="n">
        <f aca="false">TRUE()</f>
        <v>1</v>
      </c>
      <c r="I372" s="6" t="n">
        <f aca="false">VLOOKUP(D372,Assumptions!$H$4:$I$5,2,FALSE())</f>
        <v>1</v>
      </c>
      <c r="J372" s="6" t="n">
        <f aca="false">MATCH(C372,Assumptions!$K$4:$K$6,0)</f>
        <v>3</v>
      </c>
      <c r="K372" s="6" t="n">
        <f aca="false">INDEX(Assumptions!$L$4:$L$6,J372)</f>
        <v>0.55</v>
      </c>
      <c r="L372" s="6" t="n">
        <f aca="false">IF(H372,ROUND(E372*K372,2),Assumptions!$B$11)</f>
        <v>74250</v>
      </c>
      <c r="M372" s="7" t="n">
        <f aca="false">ABS(F372-L372)</f>
        <v>0</v>
      </c>
      <c r="N372" s="6" t="n">
        <f aca="false">INT(E372/Assumptions!$B$12)</f>
        <v>1</v>
      </c>
    </row>
    <row r="373" customFormat="false" ht="15" hidden="false" customHeight="false" outlineLevel="0" collapsed="false">
      <c r="A373" s="2" t="s">
        <v>416</v>
      </c>
      <c r="B373" s="2" t="s">
        <v>47</v>
      </c>
      <c r="C373" s="2" t="s">
        <v>13</v>
      </c>
      <c r="D373" s="2" t="s">
        <v>12</v>
      </c>
      <c r="E373" s="5" t="n">
        <v>404000</v>
      </c>
      <c r="F373" s="5" t="n">
        <v>250480</v>
      </c>
      <c r="G373" s="5" t="n">
        <v>150288</v>
      </c>
      <c r="H373" s="5" t="n">
        <f aca="false">TRUE()</f>
        <v>1</v>
      </c>
      <c r="I373" s="6" t="n">
        <f aca="false">VLOOKUP(D373,Assumptions!$H$4:$I$5,2,FALSE())</f>
        <v>1</v>
      </c>
      <c r="J373" s="6" t="n">
        <f aca="false">MATCH(C373,Assumptions!$K$4:$K$6,0)</f>
        <v>1</v>
      </c>
      <c r="K373" s="6" t="n">
        <f aca="false">INDEX(Assumptions!$L$4:$L$6,J373)</f>
        <v>0.62</v>
      </c>
      <c r="L373" s="6" t="n">
        <f aca="false">IF(H373,ROUND(E373*K373,2),Assumptions!$B$11)</f>
        <v>250480</v>
      </c>
      <c r="M373" s="7" t="n">
        <f aca="false">ABS(F373-L373)</f>
        <v>0</v>
      </c>
      <c r="N373" s="6" t="n">
        <f aca="false">INT(E373/Assumptions!$B$12)</f>
        <v>4</v>
      </c>
    </row>
    <row r="374" customFormat="false" ht="15" hidden="false" customHeight="false" outlineLevel="0" collapsed="false">
      <c r="A374" s="2" t="s">
        <v>417</v>
      </c>
      <c r="B374" s="2" t="s">
        <v>47</v>
      </c>
      <c r="C374" s="2" t="s">
        <v>17</v>
      </c>
      <c r="D374" s="2" t="s">
        <v>12</v>
      </c>
      <c r="E374" s="5" t="n">
        <v>134000</v>
      </c>
      <c r="F374" s="5" t="n">
        <v>93800</v>
      </c>
      <c r="G374" s="5" t="n">
        <v>56280</v>
      </c>
      <c r="H374" s="5" t="n">
        <f aca="false">TRUE()</f>
        <v>1</v>
      </c>
      <c r="I374" s="6" t="n">
        <f aca="false">VLOOKUP(D374,Assumptions!$H$4:$I$5,2,FALSE())</f>
        <v>1</v>
      </c>
      <c r="J374" s="6" t="n">
        <f aca="false">MATCH(C374,Assumptions!$K$4:$K$6,0)</f>
        <v>2</v>
      </c>
      <c r="K374" s="6" t="n">
        <f aca="false">INDEX(Assumptions!$L$4:$L$6,J374)</f>
        <v>0.7</v>
      </c>
      <c r="L374" s="6" t="n">
        <f aca="false">IF(H374,ROUND(E374*K374,2),Assumptions!$B$11)</f>
        <v>93800</v>
      </c>
      <c r="M374" s="7" t="n">
        <f aca="false">ABS(F374-L374)</f>
        <v>0</v>
      </c>
      <c r="N374" s="6" t="n">
        <f aca="false">INT(E374/Assumptions!$B$12)</f>
        <v>1</v>
      </c>
    </row>
    <row r="375" customFormat="false" ht="15" hidden="false" customHeight="false" outlineLevel="0" collapsed="false">
      <c r="A375" s="2" t="s">
        <v>418</v>
      </c>
      <c r="B375" s="2" t="s">
        <v>47</v>
      </c>
      <c r="C375" s="2" t="s">
        <v>20</v>
      </c>
      <c r="D375" s="2" t="s">
        <v>16</v>
      </c>
      <c r="E375" s="5" t="n">
        <v>445000</v>
      </c>
      <c r="F375" s="5" t="n">
        <v>244750</v>
      </c>
      <c r="G375" s="5" t="n">
        <v>146850</v>
      </c>
      <c r="H375" s="5" t="n">
        <f aca="false">TRUE()</f>
        <v>1</v>
      </c>
      <c r="I375" s="6" t="n">
        <f aca="false">VLOOKUP(D375,Assumptions!$H$4:$I$5,2,FALSE())</f>
        <v>1.15</v>
      </c>
      <c r="J375" s="6" t="n">
        <f aca="false">MATCH(C375,Assumptions!$K$4:$K$6,0)</f>
        <v>3</v>
      </c>
      <c r="K375" s="6" t="n">
        <f aca="false">INDEX(Assumptions!$L$4:$L$6,J375)</f>
        <v>0.55</v>
      </c>
      <c r="L375" s="6" t="n">
        <f aca="false">IF(H375,ROUND(E375*K375,2),Assumptions!$B$11)</f>
        <v>244750</v>
      </c>
      <c r="M375" s="7" t="n">
        <f aca="false">ABS(F375-L375)</f>
        <v>0</v>
      </c>
      <c r="N375" s="6" t="n">
        <f aca="false">INT(E375/Assumptions!$B$12)</f>
        <v>4</v>
      </c>
    </row>
    <row r="376" customFormat="false" ht="15" hidden="false" customHeight="false" outlineLevel="0" collapsed="false">
      <c r="A376" s="2" t="s">
        <v>419</v>
      </c>
      <c r="B376" s="2" t="s">
        <v>47</v>
      </c>
      <c r="C376" s="2" t="s">
        <v>13</v>
      </c>
      <c r="D376" s="2" t="s">
        <v>12</v>
      </c>
      <c r="E376" s="5" t="n">
        <v>220000</v>
      </c>
      <c r="F376" s="5" t="n">
        <v>136400</v>
      </c>
      <c r="G376" s="5" t="n">
        <v>81840</v>
      </c>
      <c r="H376" s="5" t="n">
        <f aca="false">TRUE()</f>
        <v>1</v>
      </c>
      <c r="I376" s="6" t="n">
        <f aca="false">VLOOKUP(D376,Assumptions!$H$4:$I$5,2,FALSE())</f>
        <v>1</v>
      </c>
      <c r="J376" s="6" t="n">
        <f aca="false">MATCH(C376,Assumptions!$K$4:$K$6,0)</f>
        <v>1</v>
      </c>
      <c r="K376" s="6" t="n">
        <f aca="false">INDEX(Assumptions!$L$4:$L$6,J376)</f>
        <v>0.62</v>
      </c>
      <c r="L376" s="6" t="n">
        <f aca="false">IF(H376,ROUND(E376*K376,2),Assumptions!$B$11)</f>
        <v>136400</v>
      </c>
      <c r="M376" s="7" t="n">
        <f aca="false">ABS(F376-L376)</f>
        <v>0</v>
      </c>
      <c r="N376" s="6" t="n">
        <f aca="false">INT(E376/Assumptions!$B$12)</f>
        <v>2</v>
      </c>
    </row>
    <row r="377" customFormat="false" ht="15" hidden="false" customHeight="false" outlineLevel="0" collapsed="false">
      <c r="A377" s="2" t="s">
        <v>420</v>
      </c>
      <c r="B377" s="2" t="s">
        <v>47</v>
      </c>
      <c r="C377" s="2" t="s">
        <v>17</v>
      </c>
      <c r="D377" s="2" t="s">
        <v>12</v>
      </c>
      <c r="E377" s="5" t="n">
        <v>306000</v>
      </c>
      <c r="F377" s="5" t="n">
        <v>214200</v>
      </c>
      <c r="G377" s="5" t="n">
        <v>128520</v>
      </c>
      <c r="H377" s="5" t="n">
        <f aca="false">FALSE()</f>
        <v>0</v>
      </c>
      <c r="I377" s="6" t="n">
        <f aca="false">VLOOKUP(D377,Assumptions!$H$4:$I$5,2,FALSE())</f>
        <v>1</v>
      </c>
      <c r="J377" s="6" t="n">
        <f aca="false">MATCH(C377,Assumptions!$K$4:$K$6,0)</f>
        <v>2</v>
      </c>
      <c r="K377" s="6" t="n">
        <f aca="false">INDEX(Assumptions!$L$4:$L$6,J377)</f>
        <v>0.7</v>
      </c>
      <c r="L377" s="6" t="n">
        <f aca="false">IF(H377,ROUND(E377*K377,2),Assumptions!$B$11)</f>
        <v>0</v>
      </c>
      <c r="M377" s="7" t="n">
        <f aca="false">ABS(F377-L377)</f>
        <v>214200</v>
      </c>
      <c r="N377" s="6" t="n">
        <f aca="false">INT(E377/Assumptions!$B$12)</f>
        <v>3</v>
      </c>
    </row>
    <row r="378" customFormat="false" ht="15" hidden="false" customHeight="false" outlineLevel="0" collapsed="false">
      <c r="A378" s="2" t="s">
        <v>421</v>
      </c>
      <c r="B378" s="2" t="s">
        <v>47</v>
      </c>
      <c r="C378" s="2" t="s">
        <v>20</v>
      </c>
      <c r="D378" s="2" t="s">
        <v>12</v>
      </c>
      <c r="E378" s="5" t="n">
        <v>161000</v>
      </c>
      <c r="F378" s="5" t="n">
        <v>88550</v>
      </c>
      <c r="G378" s="5" t="n">
        <v>53130</v>
      </c>
      <c r="H378" s="5" t="n">
        <f aca="false">TRUE()</f>
        <v>1</v>
      </c>
      <c r="I378" s="6" t="n">
        <f aca="false">VLOOKUP(D378,Assumptions!$H$4:$I$5,2,FALSE())</f>
        <v>1</v>
      </c>
      <c r="J378" s="6" t="n">
        <f aca="false">MATCH(C378,Assumptions!$K$4:$K$6,0)</f>
        <v>3</v>
      </c>
      <c r="K378" s="6" t="n">
        <f aca="false">INDEX(Assumptions!$L$4:$L$6,J378)</f>
        <v>0.55</v>
      </c>
      <c r="L378" s="6" t="n">
        <f aca="false">IF(H378,ROUND(E378*K378,2),Assumptions!$B$11)</f>
        <v>88550</v>
      </c>
      <c r="M378" s="7" t="n">
        <f aca="false">ABS(F378-L378)</f>
        <v>0</v>
      </c>
      <c r="N378" s="6" t="n">
        <f aca="false">INT(E378/Assumptions!$B$12)</f>
        <v>1</v>
      </c>
    </row>
    <row r="379" customFormat="false" ht="15" hidden="false" customHeight="false" outlineLevel="0" collapsed="false">
      <c r="A379" s="2" t="s">
        <v>422</v>
      </c>
      <c r="B379" s="2" t="s">
        <v>47</v>
      </c>
      <c r="C379" s="2" t="s">
        <v>13</v>
      </c>
      <c r="D379" s="2" t="s">
        <v>16</v>
      </c>
      <c r="E379" s="5" t="n">
        <v>391000</v>
      </c>
      <c r="F379" s="5" t="n">
        <v>242420</v>
      </c>
      <c r="G379" s="5" t="n">
        <v>145452</v>
      </c>
      <c r="H379" s="5" t="n">
        <f aca="false">TRUE()</f>
        <v>1</v>
      </c>
      <c r="I379" s="6" t="n">
        <f aca="false">VLOOKUP(D379,Assumptions!$H$4:$I$5,2,FALSE())</f>
        <v>1.15</v>
      </c>
      <c r="J379" s="6" t="n">
        <f aca="false">MATCH(C379,Assumptions!$K$4:$K$6,0)</f>
        <v>1</v>
      </c>
      <c r="K379" s="6" t="n">
        <f aca="false">INDEX(Assumptions!$L$4:$L$6,J379)</f>
        <v>0.62</v>
      </c>
      <c r="L379" s="6" t="n">
        <f aca="false">IF(H379,ROUND(E379*K379,2),Assumptions!$B$11)</f>
        <v>242420</v>
      </c>
      <c r="M379" s="7" t="n">
        <f aca="false">ABS(F379-L379)</f>
        <v>0</v>
      </c>
      <c r="N379" s="6" t="n">
        <f aca="false">INT(E379/Assumptions!$B$12)</f>
        <v>3</v>
      </c>
    </row>
    <row r="380" customFormat="false" ht="15" hidden="false" customHeight="false" outlineLevel="0" collapsed="false">
      <c r="A380" s="2" t="s">
        <v>423</v>
      </c>
      <c r="B380" s="2" t="s">
        <v>47</v>
      </c>
      <c r="C380" s="2" t="s">
        <v>17</v>
      </c>
      <c r="D380" s="2" t="s">
        <v>12</v>
      </c>
      <c r="E380" s="5" t="n">
        <v>226000</v>
      </c>
      <c r="F380" s="5" t="n">
        <v>158200</v>
      </c>
      <c r="G380" s="5" t="n">
        <v>94920</v>
      </c>
      <c r="H380" s="5" t="n">
        <f aca="false">TRUE()</f>
        <v>1</v>
      </c>
      <c r="I380" s="6" t="n">
        <f aca="false">VLOOKUP(D380,Assumptions!$H$4:$I$5,2,FALSE())</f>
        <v>1</v>
      </c>
      <c r="J380" s="6" t="n">
        <f aca="false">MATCH(C380,Assumptions!$K$4:$K$6,0)</f>
        <v>2</v>
      </c>
      <c r="K380" s="6" t="n">
        <f aca="false">INDEX(Assumptions!$L$4:$L$6,J380)</f>
        <v>0.7</v>
      </c>
      <c r="L380" s="6" t="n">
        <f aca="false">IF(H380,ROUND(E380*K380,2),Assumptions!$B$11)</f>
        <v>158200</v>
      </c>
      <c r="M380" s="7" t="n">
        <f aca="false">ABS(F380-L380)</f>
        <v>0</v>
      </c>
      <c r="N380" s="6" t="n">
        <f aca="false">INT(E380/Assumptions!$B$12)</f>
        <v>2</v>
      </c>
    </row>
    <row r="381" customFormat="false" ht="15" hidden="false" customHeight="false" outlineLevel="0" collapsed="false">
      <c r="A381" s="2" t="s">
        <v>424</v>
      </c>
      <c r="B381" s="2" t="s">
        <v>47</v>
      </c>
      <c r="C381" s="2" t="s">
        <v>20</v>
      </c>
      <c r="D381" s="2" t="s">
        <v>12</v>
      </c>
      <c r="E381" s="5" t="n">
        <v>396000</v>
      </c>
      <c r="F381" s="5" t="n">
        <v>217800</v>
      </c>
      <c r="G381" s="5" t="n">
        <v>130680</v>
      </c>
      <c r="H381" s="5" t="n">
        <f aca="false">TRUE()</f>
        <v>1</v>
      </c>
      <c r="I381" s="6" t="n">
        <f aca="false">VLOOKUP(D381,Assumptions!$H$4:$I$5,2,FALSE())</f>
        <v>1</v>
      </c>
      <c r="J381" s="6" t="n">
        <f aca="false">MATCH(C381,Assumptions!$K$4:$K$6,0)</f>
        <v>3</v>
      </c>
      <c r="K381" s="6" t="n">
        <f aca="false">INDEX(Assumptions!$L$4:$L$6,J381)</f>
        <v>0.55</v>
      </c>
      <c r="L381" s="6" t="n">
        <f aca="false">IF(H381,ROUND(E381*K381,2),Assumptions!$B$11)</f>
        <v>217800</v>
      </c>
      <c r="M381" s="7" t="n">
        <f aca="false">ABS(F381-L381)</f>
        <v>0</v>
      </c>
      <c r="N381" s="6" t="n">
        <f aca="false">INT(E381/Assumptions!$B$12)</f>
        <v>3</v>
      </c>
    </row>
    <row r="382" customFormat="false" ht="15" hidden="false" customHeight="false" outlineLevel="0" collapsed="false">
      <c r="A382" s="2" t="s">
        <v>425</v>
      </c>
      <c r="B382" s="2" t="s">
        <v>47</v>
      </c>
      <c r="C382" s="2" t="s">
        <v>13</v>
      </c>
      <c r="D382" s="2" t="s">
        <v>12</v>
      </c>
      <c r="E382" s="5" t="n">
        <v>404000</v>
      </c>
      <c r="F382" s="5" t="n">
        <v>250480</v>
      </c>
      <c r="G382" s="5" t="n">
        <v>150288</v>
      </c>
      <c r="H382" s="5" t="n">
        <f aca="false">TRUE()</f>
        <v>1</v>
      </c>
      <c r="I382" s="6" t="n">
        <f aca="false">VLOOKUP(D382,Assumptions!$H$4:$I$5,2,FALSE())</f>
        <v>1</v>
      </c>
      <c r="J382" s="6" t="n">
        <f aca="false">MATCH(C382,Assumptions!$K$4:$K$6,0)</f>
        <v>1</v>
      </c>
      <c r="K382" s="6" t="n">
        <f aca="false">INDEX(Assumptions!$L$4:$L$6,J382)</f>
        <v>0.62</v>
      </c>
      <c r="L382" s="6" t="n">
        <f aca="false">IF(H382,ROUND(E382*K382,2),Assumptions!$B$11)</f>
        <v>250480</v>
      </c>
      <c r="M382" s="7" t="n">
        <f aca="false">ABS(F382-L382)</f>
        <v>0</v>
      </c>
      <c r="N382" s="6" t="n">
        <f aca="false">INT(E382/Assumptions!$B$12)</f>
        <v>4</v>
      </c>
    </row>
    <row r="383" customFormat="false" ht="15" hidden="false" customHeight="false" outlineLevel="0" collapsed="false">
      <c r="A383" s="2" t="s">
        <v>426</v>
      </c>
      <c r="B383" s="2" t="s">
        <v>47</v>
      </c>
      <c r="C383" s="2" t="s">
        <v>17</v>
      </c>
      <c r="D383" s="2" t="s">
        <v>16</v>
      </c>
      <c r="E383" s="5" t="n">
        <v>120000</v>
      </c>
      <c r="F383" s="5" t="n">
        <v>84000</v>
      </c>
      <c r="G383" s="5" t="n">
        <v>50400</v>
      </c>
      <c r="H383" s="5" t="n">
        <f aca="false">TRUE()</f>
        <v>1</v>
      </c>
      <c r="I383" s="6" t="n">
        <f aca="false">VLOOKUP(D383,Assumptions!$H$4:$I$5,2,FALSE())</f>
        <v>1.15</v>
      </c>
      <c r="J383" s="6" t="n">
        <f aca="false">MATCH(C383,Assumptions!$K$4:$K$6,0)</f>
        <v>2</v>
      </c>
      <c r="K383" s="6" t="n">
        <f aca="false">INDEX(Assumptions!$L$4:$L$6,J383)</f>
        <v>0.7</v>
      </c>
      <c r="L383" s="6" t="n">
        <f aca="false">IF(H383,ROUND(E383*K383,2),Assumptions!$B$11)</f>
        <v>84000</v>
      </c>
      <c r="M383" s="7" t="n">
        <f aca="false">ABS(F383-L383)</f>
        <v>0</v>
      </c>
      <c r="N383" s="6" t="n">
        <f aca="false">INT(E383/Assumptions!$B$12)</f>
        <v>1</v>
      </c>
    </row>
    <row r="384" customFormat="false" ht="15" hidden="false" customHeight="false" outlineLevel="0" collapsed="false">
      <c r="A384" s="2" t="s">
        <v>427</v>
      </c>
      <c r="B384" s="2" t="s">
        <v>47</v>
      </c>
      <c r="C384" s="2" t="s">
        <v>20</v>
      </c>
      <c r="D384" s="2" t="s">
        <v>12</v>
      </c>
      <c r="E384" s="5" t="n">
        <v>417000</v>
      </c>
      <c r="F384" s="5" t="n">
        <v>229350</v>
      </c>
      <c r="G384" s="5" t="n">
        <v>137610</v>
      </c>
      <c r="H384" s="5" t="n">
        <f aca="false">TRUE()</f>
        <v>1</v>
      </c>
      <c r="I384" s="6" t="n">
        <f aca="false">VLOOKUP(D384,Assumptions!$H$4:$I$5,2,FALSE())</f>
        <v>1</v>
      </c>
      <c r="J384" s="6" t="n">
        <f aca="false">MATCH(C384,Assumptions!$K$4:$K$6,0)</f>
        <v>3</v>
      </c>
      <c r="K384" s="6" t="n">
        <f aca="false">INDEX(Assumptions!$L$4:$L$6,J384)</f>
        <v>0.55</v>
      </c>
      <c r="L384" s="6" t="n">
        <f aca="false">IF(H384,ROUND(E384*K384,2),Assumptions!$B$11)</f>
        <v>229350</v>
      </c>
      <c r="M384" s="7" t="n">
        <f aca="false">ABS(F384-L384)</f>
        <v>0</v>
      </c>
      <c r="N384" s="6" t="n">
        <f aca="false">INT(E384/Assumptions!$B$12)</f>
        <v>4</v>
      </c>
    </row>
    <row r="385" customFormat="false" ht="15" hidden="false" customHeight="false" outlineLevel="0" collapsed="false">
      <c r="A385" s="2" t="s">
        <v>428</v>
      </c>
      <c r="B385" s="2" t="s">
        <v>47</v>
      </c>
      <c r="C385" s="2" t="s">
        <v>13</v>
      </c>
      <c r="D385" s="2" t="s">
        <v>12</v>
      </c>
      <c r="E385" s="5" t="n">
        <v>141000</v>
      </c>
      <c r="F385" s="5" t="n">
        <v>87420</v>
      </c>
      <c r="G385" s="5" t="n">
        <v>52452</v>
      </c>
      <c r="H385" s="5" t="n">
        <f aca="false">TRUE()</f>
        <v>1</v>
      </c>
      <c r="I385" s="6" t="n">
        <f aca="false">VLOOKUP(D385,Assumptions!$H$4:$I$5,2,FALSE())</f>
        <v>1</v>
      </c>
      <c r="J385" s="6" t="n">
        <f aca="false">MATCH(C385,Assumptions!$K$4:$K$6,0)</f>
        <v>1</v>
      </c>
      <c r="K385" s="6" t="n">
        <f aca="false">INDEX(Assumptions!$L$4:$L$6,J385)</f>
        <v>0.62</v>
      </c>
      <c r="L385" s="6" t="n">
        <f aca="false">IF(H385,ROUND(E385*K385,2),Assumptions!$B$11)</f>
        <v>87420</v>
      </c>
      <c r="M385" s="7" t="n">
        <f aca="false">ABS(F385-L385)</f>
        <v>0</v>
      </c>
      <c r="N385" s="6" t="n">
        <f aca="false">INT(E385/Assumptions!$B$12)</f>
        <v>1</v>
      </c>
    </row>
    <row r="386" customFormat="false" ht="15" hidden="false" customHeight="false" outlineLevel="0" collapsed="false">
      <c r="A386" s="2" t="s">
        <v>429</v>
      </c>
      <c r="B386" s="2" t="s">
        <v>47</v>
      </c>
      <c r="C386" s="2" t="s">
        <v>17</v>
      </c>
      <c r="D386" s="2" t="s">
        <v>12</v>
      </c>
      <c r="E386" s="5" t="n">
        <v>314000</v>
      </c>
      <c r="F386" s="5" t="n">
        <v>219800</v>
      </c>
      <c r="G386" s="5" t="n">
        <v>131880</v>
      </c>
      <c r="H386" s="5" t="n">
        <f aca="false">TRUE()</f>
        <v>1</v>
      </c>
      <c r="I386" s="6" t="n">
        <f aca="false">VLOOKUP(D386,Assumptions!$H$4:$I$5,2,FALSE())</f>
        <v>1</v>
      </c>
      <c r="J386" s="6" t="n">
        <f aca="false">MATCH(C386,Assumptions!$K$4:$K$6,0)</f>
        <v>2</v>
      </c>
      <c r="K386" s="6" t="n">
        <f aca="false">INDEX(Assumptions!$L$4:$L$6,J386)</f>
        <v>0.7</v>
      </c>
      <c r="L386" s="6" t="n">
        <f aca="false">IF(H386,ROUND(E386*K386,2),Assumptions!$B$11)</f>
        <v>219800</v>
      </c>
      <c r="M386" s="7" t="n">
        <f aca="false">ABS(F386-L386)</f>
        <v>0</v>
      </c>
      <c r="N386" s="6" t="n">
        <f aca="false">INT(E386/Assumptions!$B$12)</f>
        <v>3</v>
      </c>
    </row>
    <row r="387" customFormat="false" ht="15" hidden="false" customHeight="false" outlineLevel="0" collapsed="false">
      <c r="A387" s="2" t="s">
        <v>430</v>
      </c>
      <c r="B387" s="2" t="s">
        <v>47</v>
      </c>
      <c r="C387" s="2" t="s">
        <v>20</v>
      </c>
      <c r="D387" s="2" t="s">
        <v>16</v>
      </c>
      <c r="E387" s="5" t="n">
        <v>436000</v>
      </c>
      <c r="F387" s="5" t="n">
        <v>239800</v>
      </c>
      <c r="G387" s="5" t="n">
        <v>143880</v>
      </c>
      <c r="H387" s="5" t="n">
        <f aca="false">TRUE()</f>
        <v>1</v>
      </c>
      <c r="I387" s="6" t="n">
        <f aca="false">VLOOKUP(D387,Assumptions!$H$4:$I$5,2,FALSE())</f>
        <v>1.15</v>
      </c>
      <c r="J387" s="6" t="n">
        <f aca="false">MATCH(C387,Assumptions!$K$4:$K$6,0)</f>
        <v>3</v>
      </c>
      <c r="K387" s="6" t="n">
        <f aca="false">INDEX(Assumptions!$L$4:$L$6,J387)</f>
        <v>0.55</v>
      </c>
      <c r="L387" s="6" t="n">
        <f aca="false">IF(H387,ROUND(E387*K387,2),Assumptions!$B$11)</f>
        <v>239800</v>
      </c>
      <c r="M387" s="7" t="n">
        <f aca="false">ABS(F387-L387)</f>
        <v>0</v>
      </c>
      <c r="N387" s="6" t="n">
        <f aca="false">INT(E387/Assumptions!$B$12)</f>
        <v>4</v>
      </c>
    </row>
    <row r="388" customFormat="false" ht="15" hidden="false" customHeight="false" outlineLevel="0" collapsed="false">
      <c r="A388" s="2" t="s">
        <v>431</v>
      </c>
      <c r="B388" s="2" t="s">
        <v>47</v>
      </c>
      <c r="C388" s="2" t="s">
        <v>13</v>
      </c>
      <c r="D388" s="2" t="s">
        <v>12</v>
      </c>
      <c r="E388" s="5" t="n">
        <v>398000</v>
      </c>
      <c r="F388" s="5" t="n">
        <v>246760</v>
      </c>
      <c r="G388" s="5" t="n">
        <v>148056</v>
      </c>
      <c r="H388" s="5" t="n">
        <f aca="false">TRUE()</f>
        <v>1</v>
      </c>
      <c r="I388" s="6" t="n">
        <f aca="false">VLOOKUP(D388,Assumptions!$H$4:$I$5,2,FALSE())</f>
        <v>1</v>
      </c>
      <c r="J388" s="6" t="n">
        <f aca="false">MATCH(C388,Assumptions!$K$4:$K$6,0)</f>
        <v>1</v>
      </c>
      <c r="K388" s="6" t="n">
        <f aca="false">INDEX(Assumptions!$L$4:$L$6,J388)</f>
        <v>0.62</v>
      </c>
      <c r="L388" s="6" t="n">
        <f aca="false">IF(H388,ROUND(E388*K388,2),Assumptions!$B$11)</f>
        <v>246760</v>
      </c>
      <c r="M388" s="7" t="n">
        <f aca="false">ABS(F388-L388)</f>
        <v>0</v>
      </c>
      <c r="N388" s="6" t="n">
        <f aca="false">INT(E388/Assumptions!$B$12)</f>
        <v>3</v>
      </c>
    </row>
    <row r="389" customFormat="false" ht="15" hidden="false" customHeight="false" outlineLevel="0" collapsed="false">
      <c r="A389" s="2" t="s">
        <v>432</v>
      </c>
      <c r="B389" s="2" t="s">
        <v>47</v>
      </c>
      <c r="C389" s="2" t="s">
        <v>17</v>
      </c>
      <c r="D389" s="2" t="s">
        <v>12</v>
      </c>
      <c r="E389" s="5" t="n">
        <v>389000</v>
      </c>
      <c r="F389" s="5" t="n">
        <v>272300</v>
      </c>
      <c r="G389" s="5" t="n">
        <v>163380</v>
      </c>
      <c r="H389" s="5" t="n">
        <f aca="false">TRUE()</f>
        <v>1</v>
      </c>
      <c r="I389" s="6" t="n">
        <f aca="false">VLOOKUP(D389,Assumptions!$H$4:$I$5,2,FALSE())</f>
        <v>1</v>
      </c>
      <c r="J389" s="6" t="n">
        <f aca="false">MATCH(C389,Assumptions!$K$4:$K$6,0)</f>
        <v>2</v>
      </c>
      <c r="K389" s="6" t="n">
        <f aca="false">INDEX(Assumptions!$L$4:$L$6,J389)</f>
        <v>0.7</v>
      </c>
      <c r="L389" s="6" t="n">
        <f aca="false">IF(H389,ROUND(E389*K389,2),Assumptions!$B$11)</f>
        <v>272300</v>
      </c>
      <c r="M389" s="7" t="n">
        <f aca="false">ABS(F389-L389)</f>
        <v>0</v>
      </c>
      <c r="N389" s="6" t="n">
        <f aca="false">INT(E389/Assumptions!$B$12)</f>
        <v>3</v>
      </c>
    </row>
    <row r="390" customFormat="false" ht="15" hidden="false" customHeight="false" outlineLevel="0" collapsed="false">
      <c r="A390" s="2" t="s">
        <v>433</v>
      </c>
      <c r="B390" s="2" t="s">
        <v>47</v>
      </c>
      <c r="C390" s="2" t="s">
        <v>20</v>
      </c>
      <c r="D390" s="2" t="s">
        <v>12</v>
      </c>
      <c r="E390" s="5" t="n">
        <v>367000</v>
      </c>
      <c r="F390" s="5" t="n">
        <v>201850</v>
      </c>
      <c r="G390" s="5" t="n">
        <v>121110</v>
      </c>
      <c r="H390" s="5" t="n">
        <f aca="false">TRUE()</f>
        <v>1</v>
      </c>
      <c r="I390" s="6" t="n">
        <f aca="false">VLOOKUP(D390,Assumptions!$H$4:$I$5,2,FALSE())</f>
        <v>1</v>
      </c>
      <c r="J390" s="6" t="n">
        <f aca="false">MATCH(C390,Assumptions!$K$4:$K$6,0)</f>
        <v>3</v>
      </c>
      <c r="K390" s="6" t="n">
        <f aca="false">INDEX(Assumptions!$L$4:$L$6,J390)</f>
        <v>0.55</v>
      </c>
      <c r="L390" s="6" t="n">
        <f aca="false">IF(H390,ROUND(E390*K390,2),Assumptions!$B$11)</f>
        <v>201850</v>
      </c>
      <c r="M390" s="7" t="n">
        <f aca="false">ABS(F390-L390)</f>
        <v>0</v>
      </c>
      <c r="N390" s="6" t="n">
        <f aca="false">INT(E390/Assumptions!$B$12)</f>
        <v>3</v>
      </c>
    </row>
    <row r="391" customFormat="false" ht="15" hidden="false" customHeight="false" outlineLevel="0" collapsed="false">
      <c r="A391" s="2" t="s">
        <v>434</v>
      </c>
      <c r="B391" s="2" t="s">
        <v>47</v>
      </c>
      <c r="C391" s="2" t="s">
        <v>13</v>
      </c>
      <c r="D391" s="2" t="s">
        <v>16</v>
      </c>
      <c r="E391" s="5" t="n">
        <v>261000</v>
      </c>
      <c r="F391" s="5" t="n">
        <v>161820</v>
      </c>
      <c r="G391" s="5" t="n">
        <v>97092</v>
      </c>
      <c r="H391" s="5" t="n">
        <f aca="false">TRUE()</f>
        <v>1</v>
      </c>
      <c r="I391" s="6" t="n">
        <f aca="false">VLOOKUP(D391,Assumptions!$H$4:$I$5,2,FALSE())</f>
        <v>1.15</v>
      </c>
      <c r="J391" s="6" t="n">
        <f aca="false">MATCH(C391,Assumptions!$K$4:$K$6,0)</f>
        <v>1</v>
      </c>
      <c r="K391" s="6" t="n">
        <f aca="false">INDEX(Assumptions!$L$4:$L$6,J391)</f>
        <v>0.62</v>
      </c>
      <c r="L391" s="6" t="n">
        <f aca="false">IF(H391,ROUND(E391*K391,2),Assumptions!$B$11)</f>
        <v>161820</v>
      </c>
      <c r="M391" s="7" t="n">
        <f aca="false">ABS(F391-L391)</f>
        <v>0</v>
      </c>
      <c r="N391" s="6" t="n">
        <f aca="false">INT(E391/Assumptions!$B$12)</f>
        <v>2</v>
      </c>
    </row>
    <row r="392" customFormat="false" ht="15" hidden="false" customHeight="false" outlineLevel="0" collapsed="false">
      <c r="A392" s="2" t="s">
        <v>435</v>
      </c>
      <c r="B392" s="2" t="s">
        <v>47</v>
      </c>
      <c r="C392" s="2" t="s">
        <v>17</v>
      </c>
      <c r="D392" s="2" t="s">
        <v>12</v>
      </c>
      <c r="E392" s="5" t="n">
        <v>233000</v>
      </c>
      <c r="F392" s="5" t="n">
        <v>163100</v>
      </c>
      <c r="G392" s="5" t="n">
        <v>97860</v>
      </c>
      <c r="H392" s="5" t="n">
        <f aca="false">TRUE()</f>
        <v>1</v>
      </c>
      <c r="I392" s="6" t="n">
        <f aca="false">VLOOKUP(D392,Assumptions!$H$4:$I$5,2,FALSE())</f>
        <v>1</v>
      </c>
      <c r="J392" s="6" t="n">
        <f aca="false">MATCH(C392,Assumptions!$K$4:$K$6,0)</f>
        <v>2</v>
      </c>
      <c r="K392" s="6" t="n">
        <f aca="false">INDEX(Assumptions!$L$4:$L$6,J392)</f>
        <v>0.7</v>
      </c>
      <c r="L392" s="6" t="n">
        <f aca="false">IF(H392,ROUND(E392*K392,2),Assumptions!$B$11)</f>
        <v>163100</v>
      </c>
      <c r="M392" s="7" t="n">
        <f aca="false">ABS(F392-L392)</f>
        <v>0</v>
      </c>
      <c r="N392" s="6" t="n">
        <f aca="false">INT(E392/Assumptions!$B$12)</f>
        <v>2</v>
      </c>
    </row>
    <row r="393" customFormat="false" ht="15" hidden="false" customHeight="false" outlineLevel="0" collapsed="false">
      <c r="A393" s="2" t="s">
        <v>436</v>
      </c>
      <c r="B393" s="2" t="s">
        <v>47</v>
      </c>
      <c r="C393" s="2" t="s">
        <v>20</v>
      </c>
      <c r="D393" s="2" t="s">
        <v>12</v>
      </c>
      <c r="E393" s="5" t="n">
        <v>204000</v>
      </c>
      <c r="F393" s="5" t="n">
        <v>112200</v>
      </c>
      <c r="G393" s="5" t="n">
        <v>67320</v>
      </c>
      <c r="H393" s="5" t="n">
        <f aca="false">TRUE()</f>
        <v>1</v>
      </c>
      <c r="I393" s="6" t="n">
        <f aca="false">VLOOKUP(D393,Assumptions!$H$4:$I$5,2,FALSE())</f>
        <v>1</v>
      </c>
      <c r="J393" s="6" t="n">
        <f aca="false">MATCH(C393,Assumptions!$K$4:$K$6,0)</f>
        <v>3</v>
      </c>
      <c r="K393" s="6" t="n">
        <f aca="false">INDEX(Assumptions!$L$4:$L$6,J393)</f>
        <v>0.55</v>
      </c>
      <c r="L393" s="6" t="n">
        <f aca="false">IF(H393,ROUND(E393*K393,2),Assumptions!$B$11)</f>
        <v>112200</v>
      </c>
      <c r="M393" s="7" t="n">
        <f aca="false">ABS(F393-L393)</f>
        <v>0</v>
      </c>
      <c r="N393" s="6" t="n">
        <f aca="false">INT(E393/Assumptions!$B$12)</f>
        <v>2</v>
      </c>
    </row>
    <row r="394" customFormat="false" ht="15" hidden="false" customHeight="false" outlineLevel="0" collapsed="false">
      <c r="A394" s="2" t="s">
        <v>437</v>
      </c>
      <c r="B394" s="2" t="s">
        <v>47</v>
      </c>
      <c r="C394" s="2" t="s">
        <v>13</v>
      </c>
      <c r="D394" s="2" t="s">
        <v>12</v>
      </c>
      <c r="E394" s="5" t="n">
        <v>442000</v>
      </c>
      <c r="F394" s="5" t="n">
        <v>274040</v>
      </c>
      <c r="G394" s="5" t="n">
        <v>164424</v>
      </c>
      <c r="H394" s="5" t="n">
        <f aca="false">FALSE()</f>
        <v>0</v>
      </c>
      <c r="I394" s="6" t="n">
        <f aca="false">VLOOKUP(D394,Assumptions!$H$4:$I$5,2,FALSE())</f>
        <v>1</v>
      </c>
      <c r="J394" s="6" t="n">
        <f aca="false">MATCH(C394,Assumptions!$K$4:$K$6,0)</f>
        <v>1</v>
      </c>
      <c r="K394" s="6" t="n">
        <f aca="false">INDEX(Assumptions!$L$4:$L$6,J394)</f>
        <v>0.62</v>
      </c>
      <c r="L394" s="6" t="n">
        <f aca="false">IF(H394,ROUND(E394*K394,2),Assumptions!$B$11)</f>
        <v>0</v>
      </c>
      <c r="M394" s="7" t="n">
        <f aca="false">ABS(F394-L394)</f>
        <v>274040</v>
      </c>
      <c r="N394" s="6" t="n">
        <f aca="false">INT(E394/Assumptions!$B$12)</f>
        <v>4</v>
      </c>
    </row>
    <row r="395" customFormat="false" ht="15" hidden="false" customHeight="false" outlineLevel="0" collapsed="false">
      <c r="A395" s="2" t="s">
        <v>438</v>
      </c>
      <c r="B395" s="2" t="s">
        <v>47</v>
      </c>
      <c r="C395" s="2" t="s">
        <v>17</v>
      </c>
      <c r="D395" s="2" t="s">
        <v>16</v>
      </c>
      <c r="E395" s="5" t="n">
        <v>466000</v>
      </c>
      <c r="F395" s="5" t="n">
        <v>326200</v>
      </c>
      <c r="G395" s="5" t="n">
        <v>195720</v>
      </c>
      <c r="H395" s="5" t="n">
        <f aca="false">TRUE()</f>
        <v>1</v>
      </c>
      <c r="I395" s="6" t="n">
        <f aca="false">VLOOKUP(D395,Assumptions!$H$4:$I$5,2,FALSE())</f>
        <v>1.15</v>
      </c>
      <c r="J395" s="6" t="n">
        <f aca="false">MATCH(C395,Assumptions!$K$4:$K$6,0)</f>
        <v>2</v>
      </c>
      <c r="K395" s="6" t="n">
        <f aca="false">INDEX(Assumptions!$L$4:$L$6,J395)</f>
        <v>0.7</v>
      </c>
      <c r="L395" s="6" t="n">
        <f aca="false">IF(H395,ROUND(E395*K395,2),Assumptions!$B$11)</f>
        <v>326200</v>
      </c>
      <c r="M395" s="7" t="n">
        <f aca="false">ABS(F395-L395)</f>
        <v>0</v>
      </c>
      <c r="N395" s="6" t="n">
        <f aca="false">INT(E395/Assumptions!$B$12)</f>
        <v>4</v>
      </c>
    </row>
    <row r="396" customFormat="false" ht="15" hidden="false" customHeight="false" outlineLevel="0" collapsed="false">
      <c r="A396" s="2" t="s">
        <v>439</v>
      </c>
      <c r="B396" s="2" t="s">
        <v>47</v>
      </c>
      <c r="C396" s="2" t="s">
        <v>20</v>
      </c>
      <c r="D396" s="2" t="s">
        <v>12</v>
      </c>
      <c r="E396" s="5" t="n">
        <v>260000</v>
      </c>
      <c r="F396" s="5" t="n">
        <v>143000</v>
      </c>
      <c r="G396" s="5" t="n">
        <v>85800</v>
      </c>
      <c r="H396" s="5" t="n">
        <f aca="false">TRUE()</f>
        <v>1</v>
      </c>
      <c r="I396" s="6" t="n">
        <f aca="false">VLOOKUP(D396,Assumptions!$H$4:$I$5,2,FALSE())</f>
        <v>1</v>
      </c>
      <c r="J396" s="6" t="n">
        <f aca="false">MATCH(C396,Assumptions!$K$4:$K$6,0)</f>
        <v>3</v>
      </c>
      <c r="K396" s="6" t="n">
        <f aca="false">INDEX(Assumptions!$L$4:$L$6,J396)</f>
        <v>0.55</v>
      </c>
      <c r="L396" s="6" t="n">
        <f aca="false">IF(H396,ROUND(E396*K396,2),Assumptions!$B$11)</f>
        <v>143000</v>
      </c>
      <c r="M396" s="7" t="n">
        <f aca="false">ABS(F396-L396)</f>
        <v>0</v>
      </c>
      <c r="N396" s="6" t="n">
        <f aca="false">INT(E396/Assumptions!$B$12)</f>
        <v>2</v>
      </c>
    </row>
    <row r="397" customFormat="false" ht="15" hidden="false" customHeight="false" outlineLevel="0" collapsed="false">
      <c r="A397" s="2" t="s">
        <v>440</v>
      </c>
      <c r="B397" s="2" t="s">
        <v>47</v>
      </c>
      <c r="C397" s="2" t="s">
        <v>13</v>
      </c>
      <c r="D397" s="2" t="s">
        <v>12</v>
      </c>
      <c r="E397" s="5" t="n">
        <v>222000</v>
      </c>
      <c r="F397" s="5" t="n">
        <v>137640</v>
      </c>
      <c r="G397" s="5" t="n">
        <v>82584</v>
      </c>
      <c r="H397" s="5" t="n">
        <f aca="false">TRUE()</f>
        <v>1</v>
      </c>
      <c r="I397" s="6" t="n">
        <f aca="false">VLOOKUP(D397,Assumptions!$H$4:$I$5,2,FALSE())</f>
        <v>1</v>
      </c>
      <c r="J397" s="6" t="n">
        <f aca="false">MATCH(C397,Assumptions!$K$4:$K$6,0)</f>
        <v>1</v>
      </c>
      <c r="K397" s="6" t="n">
        <f aca="false">INDEX(Assumptions!$L$4:$L$6,J397)</f>
        <v>0.62</v>
      </c>
      <c r="L397" s="6" t="n">
        <f aca="false">IF(H397,ROUND(E397*K397,2),Assumptions!$B$11)</f>
        <v>137640</v>
      </c>
      <c r="M397" s="7" t="n">
        <f aca="false">ABS(F397-L397)</f>
        <v>0</v>
      </c>
      <c r="N397" s="6" t="n">
        <f aca="false">INT(E397/Assumptions!$B$12)</f>
        <v>2</v>
      </c>
    </row>
    <row r="398" customFormat="false" ht="15" hidden="false" customHeight="false" outlineLevel="0" collapsed="false">
      <c r="A398" s="2" t="s">
        <v>441</v>
      </c>
      <c r="B398" s="2" t="s">
        <v>47</v>
      </c>
      <c r="C398" s="2" t="s">
        <v>17</v>
      </c>
      <c r="D398" s="2" t="s">
        <v>12</v>
      </c>
      <c r="E398" s="5" t="n">
        <v>235000</v>
      </c>
      <c r="F398" s="5" t="n">
        <v>164500</v>
      </c>
      <c r="G398" s="5" t="n">
        <v>98700</v>
      </c>
      <c r="H398" s="5" t="n">
        <f aca="false">TRUE()</f>
        <v>1</v>
      </c>
      <c r="I398" s="6" t="n">
        <f aca="false">VLOOKUP(D398,Assumptions!$H$4:$I$5,2,FALSE())</f>
        <v>1</v>
      </c>
      <c r="J398" s="6" t="n">
        <f aca="false">MATCH(C398,Assumptions!$K$4:$K$6,0)</f>
        <v>2</v>
      </c>
      <c r="K398" s="6" t="n">
        <f aca="false">INDEX(Assumptions!$L$4:$L$6,J398)</f>
        <v>0.7</v>
      </c>
      <c r="L398" s="6" t="n">
        <f aca="false">IF(H398,ROUND(E398*K398,2),Assumptions!$B$11)</f>
        <v>164500</v>
      </c>
      <c r="M398" s="7" t="n">
        <f aca="false">ABS(F398-L398)</f>
        <v>0</v>
      </c>
      <c r="N398" s="6" t="n">
        <f aca="false">INT(E398/Assumptions!$B$12)</f>
        <v>2</v>
      </c>
    </row>
    <row r="399" customFormat="false" ht="15" hidden="false" customHeight="false" outlineLevel="0" collapsed="false">
      <c r="A399" s="2" t="s">
        <v>442</v>
      </c>
      <c r="B399" s="2" t="s">
        <v>47</v>
      </c>
      <c r="C399" s="2" t="s">
        <v>20</v>
      </c>
      <c r="D399" s="2" t="s">
        <v>16</v>
      </c>
      <c r="E399" s="5" t="n">
        <v>302000</v>
      </c>
      <c r="F399" s="5" t="n">
        <v>166100</v>
      </c>
      <c r="G399" s="5" t="n">
        <v>99660</v>
      </c>
      <c r="H399" s="5" t="n">
        <f aca="false">TRUE()</f>
        <v>1</v>
      </c>
      <c r="I399" s="6" t="n">
        <f aca="false">VLOOKUP(D399,Assumptions!$H$4:$I$5,2,FALSE())</f>
        <v>1.15</v>
      </c>
      <c r="J399" s="6" t="n">
        <f aca="false">MATCH(C399,Assumptions!$K$4:$K$6,0)</f>
        <v>3</v>
      </c>
      <c r="K399" s="6" t="n">
        <f aca="false">INDEX(Assumptions!$L$4:$L$6,J399)</f>
        <v>0.55</v>
      </c>
      <c r="L399" s="6" t="n">
        <f aca="false">IF(H399,ROUND(E399*K399,2),Assumptions!$B$11)</f>
        <v>166100</v>
      </c>
      <c r="M399" s="7" t="n">
        <f aca="false">ABS(F399-L399)</f>
        <v>0</v>
      </c>
      <c r="N399" s="6" t="n">
        <f aca="false">INT(E399/Assumptions!$B$12)</f>
        <v>3</v>
      </c>
    </row>
    <row r="400" customFormat="false" ht="15" hidden="false" customHeight="false" outlineLevel="0" collapsed="false">
      <c r="A400" s="2" t="s">
        <v>443</v>
      </c>
      <c r="B400" s="2" t="s">
        <v>47</v>
      </c>
      <c r="C400" s="2" t="s">
        <v>13</v>
      </c>
      <c r="D400" s="2" t="s">
        <v>12</v>
      </c>
      <c r="E400" s="5" t="n">
        <v>167000</v>
      </c>
      <c r="F400" s="5" t="n">
        <v>103540</v>
      </c>
      <c r="G400" s="5" t="n">
        <v>62124</v>
      </c>
      <c r="H400" s="5" t="n">
        <f aca="false">TRUE()</f>
        <v>1</v>
      </c>
      <c r="I400" s="6" t="n">
        <f aca="false">VLOOKUP(D400,Assumptions!$H$4:$I$5,2,FALSE())</f>
        <v>1</v>
      </c>
      <c r="J400" s="6" t="n">
        <f aca="false">MATCH(C400,Assumptions!$K$4:$K$6,0)</f>
        <v>1</v>
      </c>
      <c r="K400" s="6" t="n">
        <f aca="false">INDEX(Assumptions!$L$4:$L$6,J400)</f>
        <v>0.62</v>
      </c>
      <c r="L400" s="6" t="n">
        <f aca="false">IF(H400,ROUND(E400*K400,2),Assumptions!$B$11)</f>
        <v>103540</v>
      </c>
      <c r="M400" s="7" t="n">
        <f aca="false">ABS(F400-L400)</f>
        <v>0</v>
      </c>
      <c r="N400" s="6" t="n">
        <f aca="false">INT(E400/Assumptions!$B$12)</f>
        <v>1</v>
      </c>
    </row>
    <row r="401" customFormat="false" ht="15" hidden="false" customHeight="false" outlineLevel="0" collapsed="false">
      <c r="A401" s="2" t="s">
        <v>444</v>
      </c>
      <c r="B401" s="2" t="s">
        <v>47</v>
      </c>
      <c r="C401" s="2" t="s">
        <v>17</v>
      </c>
      <c r="D401" s="2" t="s">
        <v>12</v>
      </c>
      <c r="E401" s="5" t="n">
        <v>443000</v>
      </c>
      <c r="F401" s="5" t="n">
        <v>310100</v>
      </c>
      <c r="G401" s="5" t="n">
        <v>186060</v>
      </c>
      <c r="H401" s="5" t="n">
        <f aca="false">TRUE()</f>
        <v>1</v>
      </c>
      <c r="I401" s="6" t="n">
        <f aca="false">VLOOKUP(D401,Assumptions!$H$4:$I$5,2,FALSE())</f>
        <v>1</v>
      </c>
      <c r="J401" s="6" t="n">
        <f aca="false">MATCH(C401,Assumptions!$K$4:$K$6,0)</f>
        <v>2</v>
      </c>
      <c r="K401" s="6" t="n">
        <f aca="false">INDEX(Assumptions!$L$4:$L$6,J401)</f>
        <v>0.7</v>
      </c>
      <c r="L401" s="6" t="n">
        <f aca="false">IF(H401,ROUND(E401*K401,2),Assumptions!$B$11)</f>
        <v>310100</v>
      </c>
      <c r="M401" s="7" t="n">
        <f aca="false">ABS(F401-L401)</f>
        <v>0</v>
      </c>
      <c r="N401" s="6" t="n">
        <f aca="false">INT(E401/Assumptions!$B$12)</f>
        <v>4</v>
      </c>
    </row>
    <row r="402" customFormat="false" ht="15" hidden="false" customHeight="false" outlineLevel="0" collapsed="false">
      <c r="A402" s="2" t="s">
        <v>445</v>
      </c>
      <c r="B402" s="2" t="s">
        <v>47</v>
      </c>
      <c r="C402" s="2" t="s">
        <v>20</v>
      </c>
      <c r="D402" s="2" t="s">
        <v>12</v>
      </c>
      <c r="E402" s="5" t="n">
        <v>430000</v>
      </c>
      <c r="F402" s="5" t="n">
        <v>236500</v>
      </c>
      <c r="G402" s="5" t="n">
        <v>141900</v>
      </c>
      <c r="H402" s="5" t="n">
        <f aca="false">TRUE()</f>
        <v>1</v>
      </c>
      <c r="I402" s="6" t="n">
        <f aca="false">VLOOKUP(D402,Assumptions!$H$4:$I$5,2,FALSE())</f>
        <v>1</v>
      </c>
      <c r="J402" s="6" t="n">
        <f aca="false">MATCH(C402,Assumptions!$K$4:$K$6,0)</f>
        <v>3</v>
      </c>
      <c r="K402" s="6" t="n">
        <f aca="false">INDEX(Assumptions!$L$4:$L$6,J402)</f>
        <v>0.55</v>
      </c>
      <c r="L402" s="6" t="n">
        <f aca="false">IF(H402,ROUND(E402*K402,2),Assumptions!$B$11)</f>
        <v>236500</v>
      </c>
      <c r="M402" s="7" t="n">
        <f aca="false">ABS(F402-L402)</f>
        <v>0</v>
      </c>
      <c r="N402" s="6" t="n">
        <f aca="false">INT(E402/Assumptions!$B$12)</f>
        <v>4</v>
      </c>
    </row>
    <row r="403" customFormat="false" ht="15" hidden="false" customHeight="false" outlineLevel="0" collapsed="false">
      <c r="A403" s="2" t="s">
        <v>446</v>
      </c>
      <c r="B403" s="2" t="s">
        <v>47</v>
      </c>
      <c r="C403" s="2" t="s">
        <v>13</v>
      </c>
      <c r="D403" s="2" t="s">
        <v>16</v>
      </c>
      <c r="E403" s="5" t="n">
        <v>253000</v>
      </c>
      <c r="F403" s="5" t="n">
        <v>156860</v>
      </c>
      <c r="G403" s="5" t="n">
        <v>94116</v>
      </c>
      <c r="H403" s="5" t="n">
        <f aca="false">TRUE()</f>
        <v>1</v>
      </c>
      <c r="I403" s="6" t="n">
        <f aca="false">VLOOKUP(D403,Assumptions!$H$4:$I$5,2,FALSE())</f>
        <v>1.15</v>
      </c>
      <c r="J403" s="6" t="n">
        <f aca="false">MATCH(C403,Assumptions!$K$4:$K$6,0)</f>
        <v>1</v>
      </c>
      <c r="K403" s="6" t="n">
        <f aca="false">INDEX(Assumptions!$L$4:$L$6,J403)</f>
        <v>0.62</v>
      </c>
      <c r="L403" s="6" t="n">
        <f aca="false">IF(H403,ROUND(E403*K403,2),Assumptions!$B$11)</f>
        <v>156860</v>
      </c>
      <c r="M403" s="7" t="n">
        <f aca="false">ABS(F403-L403)</f>
        <v>0</v>
      </c>
      <c r="N403" s="6" t="n">
        <f aca="false">INT(E403/Assumptions!$B$12)</f>
        <v>2</v>
      </c>
    </row>
    <row r="404" customFormat="false" ht="15" hidden="false" customHeight="false" outlineLevel="0" collapsed="false">
      <c r="A404" s="2" t="s">
        <v>447</v>
      </c>
      <c r="B404" s="2" t="s">
        <v>47</v>
      </c>
      <c r="C404" s="2" t="s">
        <v>17</v>
      </c>
      <c r="D404" s="2" t="s">
        <v>12</v>
      </c>
      <c r="E404" s="5" t="n">
        <v>334000</v>
      </c>
      <c r="F404" s="5" t="n">
        <v>233800</v>
      </c>
      <c r="G404" s="5" t="n">
        <v>140280</v>
      </c>
      <c r="H404" s="5" t="n">
        <f aca="false">TRUE()</f>
        <v>1</v>
      </c>
      <c r="I404" s="6" t="n">
        <f aca="false">VLOOKUP(D404,Assumptions!$H$4:$I$5,2,FALSE())</f>
        <v>1</v>
      </c>
      <c r="J404" s="6" t="n">
        <f aca="false">MATCH(C404,Assumptions!$K$4:$K$6,0)</f>
        <v>2</v>
      </c>
      <c r="K404" s="6" t="n">
        <f aca="false">INDEX(Assumptions!$L$4:$L$6,J404)</f>
        <v>0.7</v>
      </c>
      <c r="L404" s="6" t="n">
        <f aca="false">IF(H404,ROUND(E404*K404,2),Assumptions!$B$11)</f>
        <v>233800</v>
      </c>
      <c r="M404" s="7" t="n">
        <f aca="false">ABS(F404-L404)</f>
        <v>0</v>
      </c>
      <c r="N404" s="6" t="n">
        <f aca="false">INT(E404/Assumptions!$B$12)</f>
        <v>3</v>
      </c>
    </row>
    <row r="405" customFormat="false" ht="15" hidden="false" customHeight="false" outlineLevel="0" collapsed="false">
      <c r="A405" s="2" t="s">
        <v>448</v>
      </c>
      <c r="B405" s="2" t="s">
        <v>47</v>
      </c>
      <c r="C405" s="2" t="s">
        <v>20</v>
      </c>
      <c r="D405" s="2" t="s">
        <v>12</v>
      </c>
      <c r="E405" s="5" t="n">
        <v>261000</v>
      </c>
      <c r="F405" s="5" t="n">
        <v>143550</v>
      </c>
      <c r="G405" s="5" t="n">
        <v>86130</v>
      </c>
      <c r="H405" s="5" t="n">
        <f aca="false">TRUE()</f>
        <v>1</v>
      </c>
      <c r="I405" s="6" t="n">
        <f aca="false">VLOOKUP(D405,Assumptions!$H$4:$I$5,2,FALSE())</f>
        <v>1</v>
      </c>
      <c r="J405" s="6" t="n">
        <f aca="false">MATCH(C405,Assumptions!$K$4:$K$6,0)</f>
        <v>3</v>
      </c>
      <c r="K405" s="6" t="n">
        <f aca="false">INDEX(Assumptions!$L$4:$L$6,J405)</f>
        <v>0.55</v>
      </c>
      <c r="L405" s="6" t="n">
        <f aca="false">IF(H405,ROUND(E405*K405,2),Assumptions!$B$11)</f>
        <v>143550</v>
      </c>
      <c r="M405" s="7" t="n">
        <f aca="false">ABS(F405-L405)</f>
        <v>0</v>
      </c>
      <c r="N405" s="6" t="n">
        <f aca="false">INT(E405/Assumptions!$B$12)</f>
        <v>2</v>
      </c>
    </row>
    <row r="406" customFormat="false" ht="15" hidden="false" customHeight="false" outlineLevel="0" collapsed="false">
      <c r="A406" s="2" t="s">
        <v>449</v>
      </c>
      <c r="B406" s="2" t="s">
        <v>47</v>
      </c>
      <c r="C406" s="2" t="s">
        <v>13</v>
      </c>
      <c r="D406" s="2" t="s">
        <v>12</v>
      </c>
      <c r="E406" s="5" t="n">
        <v>484000</v>
      </c>
      <c r="F406" s="5" t="n">
        <v>300080</v>
      </c>
      <c r="G406" s="5" t="n">
        <v>180048</v>
      </c>
      <c r="H406" s="5" t="n">
        <f aca="false">TRUE()</f>
        <v>1</v>
      </c>
      <c r="I406" s="6" t="n">
        <f aca="false">VLOOKUP(D406,Assumptions!$H$4:$I$5,2,FALSE())</f>
        <v>1</v>
      </c>
      <c r="J406" s="6" t="n">
        <f aca="false">MATCH(C406,Assumptions!$K$4:$K$6,0)</f>
        <v>1</v>
      </c>
      <c r="K406" s="6" t="n">
        <f aca="false">INDEX(Assumptions!$L$4:$L$6,J406)</f>
        <v>0.62</v>
      </c>
      <c r="L406" s="6" t="n">
        <f aca="false">IF(H406,ROUND(E406*K406,2),Assumptions!$B$11)</f>
        <v>300080</v>
      </c>
      <c r="M406" s="7" t="n">
        <f aca="false">ABS(F406-L406)</f>
        <v>0</v>
      </c>
      <c r="N406" s="6" t="n">
        <f aca="false">INT(E406/Assumptions!$B$12)</f>
        <v>4</v>
      </c>
    </row>
    <row r="407" customFormat="false" ht="15" hidden="false" customHeight="false" outlineLevel="0" collapsed="false">
      <c r="A407" s="2" t="s">
        <v>450</v>
      </c>
      <c r="B407" s="2" t="s">
        <v>47</v>
      </c>
      <c r="C407" s="2" t="s">
        <v>17</v>
      </c>
      <c r="D407" s="2" t="s">
        <v>16</v>
      </c>
      <c r="E407" s="5" t="n">
        <v>137000</v>
      </c>
      <c r="F407" s="5" t="n">
        <v>95900</v>
      </c>
      <c r="G407" s="5" t="n">
        <v>57540</v>
      </c>
      <c r="H407" s="5" t="n">
        <f aca="false">TRUE()</f>
        <v>1</v>
      </c>
      <c r="I407" s="6" t="n">
        <f aca="false">VLOOKUP(D407,Assumptions!$H$4:$I$5,2,FALSE())</f>
        <v>1.15</v>
      </c>
      <c r="J407" s="6" t="n">
        <f aca="false">MATCH(C407,Assumptions!$K$4:$K$6,0)</f>
        <v>2</v>
      </c>
      <c r="K407" s="6" t="n">
        <f aca="false">INDEX(Assumptions!$L$4:$L$6,J407)</f>
        <v>0.7</v>
      </c>
      <c r="L407" s="6" t="n">
        <f aca="false">IF(H407,ROUND(E407*K407,2),Assumptions!$B$11)</f>
        <v>95900</v>
      </c>
      <c r="M407" s="7" t="n">
        <f aca="false">ABS(F407-L407)</f>
        <v>0</v>
      </c>
      <c r="N407" s="6" t="n">
        <f aca="false">INT(E407/Assumptions!$B$12)</f>
        <v>1</v>
      </c>
    </row>
    <row r="408" customFormat="false" ht="15" hidden="false" customHeight="false" outlineLevel="0" collapsed="false">
      <c r="A408" s="2" t="s">
        <v>451</v>
      </c>
      <c r="B408" s="2" t="s">
        <v>47</v>
      </c>
      <c r="C408" s="2" t="s">
        <v>20</v>
      </c>
      <c r="D408" s="2" t="s">
        <v>12</v>
      </c>
      <c r="E408" s="5" t="n">
        <v>104000</v>
      </c>
      <c r="F408" s="5" t="n">
        <v>57200</v>
      </c>
      <c r="G408" s="5" t="n">
        <v>34320</v>
      </c>
      <c r="H408" s="5" t="n">
        <f aca="false">TRUE()</f>
        <v>1</v>
      </c>
      <c r="I408" s="6" t="n">
        <f aca="false">VLOOKUP(D408,Assumptions!$H$4:$I$5,2,FALSE())</f>
        <v>1</v>
      </c>
      <c r="J408" s="6" t="n">
        <f aca="false">MATCH(C408,Assumptions!$K$4:$K$6,0)</f>
        <v>3</v>
      </c>
      <c r="K408" s="6" t="n">
        <f aca="false">INDEX(Assumptions!$L$4:$L$6,J408)</f>
        <v>0.55</v>
      </c>
      <c r="L408" s="6" t="n">
        <f aca="false">IF(H408,ROUND(E408*K408,2),Assumptions!$B$11)</f>
        <v>57200</v>
      </c>
      <c r="M408" s="7" t="n">
        <f aca="false">ABS(F408-L408)</f>
        <v>0</v>
      </c>
      <c r="N408" s="6" t="n">
        <f aca="false">INT(E408/Assumptions!$B$12)</f>
        <v>1</v>
      </c>
    </row>
    <row r="409" customFormat="false" ht="15" hidden="false" customHeight="false" outlineLevel="0" collapsed="false">
      <c r="A409" s="2" t="s">
        <v>452</v>
      </c>
      <c r="B409" s="2" t="s">
        <v>47</v>
      </c>
      <c r="C409" s="2" t="s">
        <v>13</v>
      </c>
      <c r="D409" s="2" t="s">
        <v>12</v>
      </c>
      <c r="E409" s="5" t="n">
        <v>334000</v>
      </c>
      <c r="F409" s="5" t="n">
        <v>207080</v>
      </c>
      <c r="G409" s="5" t="n">
        <v>124248</v>
      </c>
      <c r="H409" s="5" t="n">
        <f aca="false">TRUE()</f>
        <v>1</v>
      </c>
      <c r="I409" s="6" t="n">
        <f aca="false">VLOOKUP(D409,Assumptions!$H$4:$I$5,2,FALSE())</f>
        <v>1</v>
      </c>
      <c r="J409" s="6" t="n">
        <f aca="false">MATCH(C409,Assumptions!$K$4:$K$6,0)</f>
        <v>1</v>
      </c>
      <c r="K409" s="6" t="n">
        <f aca="false">INDEX(Assumptions!$L$4:$L$6,J409)</f>
        <v>0.62</v>
      </c>
      <c r="L409" s="6" t="n">
        <f aca="false">IF(H409,ROUND(E409*K409,2),Assumptions!$B$11)</f>
        <v>207080</v>
      </c>
      <c r="M409" s="7" t="n">
        <f aca="false">ABS(F409-L409)</f>
        <v>0</v>
      </c>
      <c r="N409" s="6" t="n">
        <f aca="false">INT(E409/Assumptions!$B$12)</f>
        <v>3</v>
      </c>
    </row>
    <row r="410" customFormat="false" ht="15" hidden="false" customHeight="false" outlineLevel="0" collapsed="false">
      <c r="A410" s="2" t="s">
        <v>453</v>
      </c>
      <c r="B410" s="2" t="s">
        <v>47</v>
      </c>
      <c r="C410" s="2" t="s">
        <v>17</v>
      </c>
      <c r="D410" s="2" t="s">
        <v>12</v>
      </c>
      <c r="E410" s="5" t="n">
        <v>418000</v>
      </c>
      <c r="F410" s="5" t="n">
        <v>292600</v>
      </c>
      <c r="G410" s="5" t="n">
        <v>175560</v>
      </c>
      <c r="H410" s="5" t="n">
        <f aca="false">TRUE()</f>
        <v>1</v>
      </c>
      <c r="I410" s="6" t="n">
        <f aca="false">VLOOKUP(D410,Assumptions!$H$4:$I$5,2,FALSE())</f>
        <v>1</v>
      </c>
      <c r="J410" s="6" t="n">
        <f aca="false">MATCH(C410,Assumptions!$K$4:$K$6,0)</f>
        <v>2</v>
      </c>
      <c r="K410" s="6" t="n">
        <f aca="false">INDEX(Assumptions!$L$4:$L$6,J410)</f>
        <v>0.7</v>
      </c>
      <c r="L410" s="6" t="n">
        <f aca="false">IF(H410,ROUND(E410*K410,2),Assumptions!$B$11)</f>
        <v>292600</v>
      </c>
      <c r="M410" s="7" t="n">
        <f aca="false">ABS(F410-L410)</f>
        <v>0</v>
      </c>
      <c r="N410" s="6" t="n">
        <f aca="false">INT(E410/Assumptions!$B$12)</f>
        <v>4</v>
      </c>
    </row>
    <row r="411" customFormat="false" ht="15" hidden="false" customHeight="false" outlineLevel="0" collapsed="false">
      <c r="A411" s="2" t="s">
        <v>454</v>
      </c>
      <c r="B411" s="2" t="s">
        <v>47</v>
      </c>
      <c r="C411" s="2" t="s">
        <v>20</v>
      </c>
      <c r="D411" s="2" t="s">
        <v>16</v>
      </c>
      <c r="E411" s="5" t="n">
        <v>388000</v>
      </c>
      <c r="F411" s="5" t="n">
        <v>213400</v>
      </c>
      <c r="G411" s="5" t="n">
        <v>128040</v>
      </c>
      <c r="H411" s="5" t="n">
        <f aca="false">FALSE()</f>
        <v>0</v>
      </c>
      <c r="I411" s="6" t="n">
        <f aca="false">VLOOKUP(D411,Assumptions!$H$4:$I$5,2,FALSE())</f>
        <v>1.15</v>
      </c>
      <c r="J411" s="6" t="n">
        <f aca="false">MATCH(C411,Assumptions!$K$4:$K$6,0)</f>
        <v>3</v>
      </c>
      <c r="K411" s="6" t="n">
        <f aca="false">INDEX(Assumptions!$L$4:$L$6,J411)</f>
        <v>0.55</v>
      </c>
      <c r="L411" s="6" t="n">
        <f aca="false">IF(H411,ROUND(E411*K411,2),Assumptions!$B$11)</f>
        <v>0</v>
      </c>
      <c r="M411" s="7" t="n">
        <f aca="false">ABS(F411-L411)</f>
        <v>213400</v>
      </c>
      <c r="N411" s="6" t="n">
        <f aca="false">INT(E411/Assumptions!$B$12)</f>
        <v>3</v>
      </c>
    </row>
    <row r="412" customFormat="false" ht="15" hidden="false" customHeight="false" outlineLevel="0" collapsed="false">
      <c r="A412" s="2" t="s">
        <v>455</v>
      </c>
      <c r="B412" s="2" t="s">
        <v>47</v>
      </c>
      <c r="C412" s="2" t="s">
        <v>13</v>
      </c>
      <c r="D412" s="2" t="s">
        <v>12</v>
      </c>
      <c r="E412" s="5" t="n">
        <v>151000</v>
      </c>
      <c r="F412" s="5" t="n">
        <v>93620</v>
      </c>
      <c r="G412" s="5" t="n">
        <v>56172</v>
      </c>
      <c r="H412" s="5" t="n">
        <f aca="false">TRUE()</f>
        <v>1</v>
      </c>
      <c r="I412" s="6" t="n">
        <f aca="false">VLOOKUP(D412,Assumptions!$H$4:$I$5,2,FALSE())</f>
        <v>1</v>
      </c>
      <c r="J412" s="6" t="n">
        <f aca="false">MATCH(C412,Assumptions!$K$4:$K$6,0)</f>
        <v>1</v>
      </c>
      <c r="K412" s="6" t="n">
        <f aca="false">INDEX(Assumptions!$L$4:$L$6,J412)</f>
        <v>0.62</v>
      </c>
      <c r="L412" s="6" t="n">
        <f aca="false">IF(H412,ROUND(E412*K412,2),Assumptions!$B$11)</f>
        <v>93620</v>
      </c>
      <c r="M412" s="7" t="n">
        <f aca="false">ABS(F412-L412)</f>
        <v>0</v>
      </c>
      <c r="N412" s="6" t="n">
        <f aca="false">INT(E412/Assumptions!$B$12)</f>
        <v>1</v>
      </c>
    </row>
    <row r="413" customFormat="false" ht="15" hidden="false" customHeight="false" outlineLevel="0" collapsed="false">
      <c r="A413" s="2" t="s">
        <v>456</v>
      </c>
      <c r="B413" s="2" t="s">
        <v>47</v>
      </c>
      <c r="C413" s="2" t="s">
        <v>17</v>
      </c>
      <c r="D413" s="2" t="s">
        <v>12</v>
      </c>
      <c r="E413" s="5" t="n">
        <v>137000</v>
      </c>
      <c r="F413" s="5" t="n">
        <v>95900</v>
      </c>
      <c r="G413" s="5" t="n">
        <v>57540</v>
      </c>
      <c r="H413" s="5" t="n">
        <f aca="false">TRUE()</f>
        <v>1</v>
      </c>
      <c r="I413" s="6" t="n">
        <f aca="false">VLOOKUP(D413,Assumptions!$H$4:$I$5,2,FALSE())</f>
        <v>1</v>
      </c>
      <c r="J413" s="6" t="n">
        <f aca="false">MATCH(C413,Assumptions!$K$4:$K$6,0)</f>
        <v>2</v>
      </c>
      <c r="K413" s="6" t="n">
        <f aca="false">INDEX(Assumptions!$L$4:$L$6,J413)</f>
        <v>0.7</v>
      </c>
      <c r="L413" s="6" t="n">
        <f aca="false">IF(H413,ROUND(E413*K413,2),Assumptions!$B$11)</f>
        <v>95900</v>
      </c>
      <c r="M413" s="7" t="n">
        <f aca="false">ABS(F413-L413)</f>
        <v>0</v>
      </c>
      <c r="N413" s="6" t="n">
        <f aca="false">INT(E413/Assumptions!$B$12)</f>
        <v>1</v>
      </c>
    </row>
    <row r="414" customFormat="false" ht="15" hidden="false" customHeight="false" outlineLevel="0" collapsed="false">
      <c r="A414" s="2" t="s">
        <v>457</v>
      </c>
      <c r="B414" s="2" t="s">
        <v>47</v>
      </c>
      <c r="C414" s="2" t="s">
        <v>20</v>
      </c>
      <c r="D414" s="2" t="s">
        <v>12</v>
      </c>
      <c r="E414" s="5" t="n">
        <v>375000</v>
      </c>
      <c r="F414" s="5" t="n">
        <v>206250</v>
      </c>
      <c r="G414" s="5" t="n">
        <v>123750</v>
      </c>
      <c r="H414" s="5" t="n">
        <f aca="false">TRUE()</f>
        <v>1</v>
      </c>
      <c r="I414" s="6" t="n">
        <f aca="false">VLOOKUP(D414,Assumptions!$H$4:$I$5,2,FALSE())</f>
        <v>1</v>
      </c>
      <c r="J414" s="6" t="n">
        <f aca="false">MATCH(C414,Assumptions!$K$4:$K$6,0)</f>
        <v>3</v>
      </c>
      <c r="K414" s="6" t="n">
        <f aca="false">INDEX(Assumptions!$L$4:$L$6,J414)</f>
        <v>0.55</v>
      </c>
      <c r="L414" s="6" t="n">
        <f aca="false">IF(H414,ROUND(E414*K414,2),Assumptions!$B$11)</f>
        <v>206250</v>
      </c>
      <c r="M414" s="7" t="n">
        <f aca="false">ABS(F414-L414)</f>
        <v>0</v>
      </c>
      <c r="N414" s="6" t="n">
        <f aca="false">INT(E414/Assumptions!$B$12)</f>
        <v>3</v>
      </c>
    </row>
    <row r="415" customFormat="false" ht="15" hidden="false" customHeight="false" outlineLevel="0" collapsed="false">
      <c r="A415" s="2" t="s">
        <v>458</v>
      </c>
      <c r="B415" s="2" t="s">
        <v>47</v>
      </c>
      <c r="C415" s="2" t="s">
        <v>13</v>
      </c>
      <c r="D415" s="2" t="s">
        <v>16</v>
      </c>
      <c r="E415" s="5" t="n">
        <v>209000</v>
      </c>
      <c r="F415" s="5" t="n">
        <v>129580</v>
      </c>
      <c r="G415" s="5" t="n">
        <v>77748</v>
      </c>
      <c r="H415" s="5" t="n">
        <f aca="false">TRUE()</f>
        <v>1</v>
      </c>
      <c r="I415" s="6" t="n">
        <f aca="false">VLOOKUP(D415,Assumptions!$H$4:$I$5,2,FALSE())</f>
        <v>1.15</v>
      </c>
      <c r="J415" s="6" t="n">
        <f aca="false">MATCH(C415,Assumptions!$K$4:$K$6,0)</f>
        <v>1</v>
      </c>
      <c r="K415" s="6" t="n">
        <f aca="false">INDEX(Assumptions!$L$4:$L$6,J415)</f>
        <v>0.62</v>
      </c>
      <c r="L415" s="6" t="n">
        <f aca="false">IF(H415,ROUND(E415*K415,2),Assumptions!$B$11)</f>
        <v>129580</v>
      </c>
      <c r="M415" s="7" t="n">
        <f aca="false">ABS(F415-L415)</f>
        <v>0</v>
      </c>
      <c r="N415" s="6" t="n">
        <f aca="false">INT(E415/Assumptions!$B$12)</f>
        <v>2</v>
      </c>
    </row>
    <row r="416" customFormat="false" ht="15" hidden="false" customHeight="false" outlineLevel="0" collapsed="false">
      <c r="A416" s="2" t="s">
        <v>459</v>
      </c>
      <c r="B416" s="2" t="s">
        <v>47</v>
      </c>
      <c r="C416" s="2" t="s">
        <v>17</v>
      </c>
      <c r="D416" s="2" t="s">
        <v>12</v>
      </c>
      <c r="E416" s="5" t="n">
        <v>359000</v>
      </c>
      <c r="F416" s="5" t="n">
        <v>251300</v>
      </c>
      <c r="G416" s="5" t="n">
        <v>150780</v>
      </c>
      <c r="H416" s="5" t="n">
        <f aca="false">TRUE()</f>
        <v>1</v>
      </c>
      <c r="I416" s="6" t="n">
        <f aca="false">VLOOKUP(D416,Assumptions!$H$4:$I$5,2,FALSE())</f>
        <v>1</v>
      </c>
      <c r="J416" s="6" t="n">
        <f aca="false">MATCH(C416,Assumptions!$K$4:$K$6,0)</f>
        <v>2</v>
      </c>
      <c r="K416" s="6" t="n">
        <f aca="false">INDEX(Assumptions!$L$4:$L$6,J416)</f>
        <v>0.7</v>
      </c>
      <c r="L416" s="6" t="n">
        <f aca="false">IF(H416,ROUND(E416*K416,2),Assumptions!$B$11)</f>
        <v>251300</v>
      </c>
      <c r="M416" s="7" t="n">
        <f aca="false">ABS(F416-L416)</f>
        <v>0</v>
      </c>
      <c r="N416" s="6" t="n">
        <f aca="false">INT(E416/Assumptions!$B$12)</f>
        <v>3</v>
      </c>
    </row>
    <row r="417" customFormat="false" ht="15" hidden="false" customHeight="false" outlineLevel="0" collapsed="false">
      <c r="A417" s="2" t="s">
        <v>460</v>
      </c>
      <c r="B417" s="2" t="s">
        <v>47</v>
      </c>
      <c r="C417" s="2" t="s">
        <v>20</v>
      </c>
      <c r="D417" s="2" t="s">
        <v>12</v>
      </c>
      <c r="E417" s="5" t="n">
        <v>235000</v>
      </c>
      <c r="F417" s="5" t="n">
        <v>129250</v>
      </c>
      <c r="G417" s="5" t="n">
        <v>77550</v>
      </c>
      <c r="H417" s="5" t="n">
        <f aca="false">TRUE()</f>
        <v>1</v>
      </c>
      <c r="I417" s="6" t="n">
        <f aca="false">VLOOKUP(D417,Assumptions!$H$4:$I$5,2,FALSE())</f>
        <v>1</v>
      </c>
      <c r="J417" s="6" t="n">
        <f aca="false">MATCH(C417,Assumptions!$K$4:$K$6,0)</f>
        <v>3</v>
      </c>
      <c r="K417" s="6" t="n">
        <f aca="false">INDEX(Assumptions!$L$4:$L$6,J417)</f>
        <v>0.55</v>
      </c>
      <c r="L417" s="6" t="n">
        <f aca="false">IF(H417,ROUND(E417*K417,2),Assumptions!$B$11)</f>
        <v>129250</v>
      </c>
      <c r="M417" s="7" t="n">
        <f aca="false">ABS(F417-L417)</f>
        <v>0</v>
      </c>
      <c r="N417" s="6" t="n">
        <f aca="false">INT(E417/Assumptions!$B$12)</f>
        <v>2</v>
      </c>
    </row>
    <row r="418" customFormat="false" ht="15" hidden="false" customHeight="false" outlineLevel="0" collapsed="false">
      <c r="A418" s="2" t="s">
        <v>461</v>
      </c>
      <c r="B418" s="2" t="s">
        <v>47</v>
      </c>
      <c r="C418" s="2" t="s">
        <v>13</v>
      </c>
      <c r="D418" s="2" t="s">
        <v>12</v>
      </c>
      <c r="E418" s="5" t="n">
        <v>167000</v>
      </c>
      <c r="F418" s="5" t="n">
        <v>103540</v>
      </c>
      <c r="G418" s="5" t="n">
        <v>62124</v>
      </c>
      <c r="H418" s="5" t="n">
        <f aca="false">TRUE()</f>
        <v>1</v>
      </c>
      <c r="I418" s="6" t="n">
        <f aca="false">VLOOKUP(D418,Assumptions!$H$4:$I$5,2,FALSE())</f>
        <v>1</v>
      </c>
      <c r="J418" s="6" t="n">
        <f aca="false">MATCH(C418,Assumptions!$K$4:$K$6,0)</f>
        <v>1</v>
      </c>
      <c r="K418" s="6" t="n">
        <f aca="false">INDEX(Assumptions!$L$4:$L$6,J418)</f>
        <v>0.62</v>
      </c>
      <c r="L418" s="6" t="n">
        <f aca="false">IF(H418,ROUND(E418*K418,2),Assumptions!$B$11)</f>
        <v>103540</v>
      </c>
      <c r="M418" s="7" t="n">
        <f aca="false">ABS(F418-L418)</f>
        <v>0</v>
      </c>
      <c r="N418" s="6" t="n">
        <f aca="false">INT(E418/Assumptions!$B$12)</f>
        <v>1</v>
      </c>
    </row>
    <row r="419" customFormat="false" ht="15" hidden="false" customHeight="false" outlineLevel="0" collapsed="false">
      <c r="A419" s="2" t="s">
        <v>462</v>
      </c>
      <c r="B419" s="2" t="s">
        <v>47</v>
      </c>
      <c r="C419" s="2" t="s">
        <v>17</v>
      </c>
      <c r="D419" s="2" t="s">
        <v>16</v>
      </c>
      <c r="E419" s="5" t="n">
        <v>278000</v>
      </c>
      <c r="F419" s="5" t="n">
        <v>194600</v>
      </c>
      <c r="G419" s="5" t="n">
        <v>116760</v>
      </c>
      <c r="H419" s="5" t="n">
        <f aca="false">TRUE()</f>
        <v>1</v>
      </c>
      <c r="I419" s="6" t="n">
        <f aca="false">VLOOKUP(D419,Assumptions!$H$4:$I$5,2,FALSE())</f>
        <v>1.15</v>
      </c>
      <c r="J419" s="6" t="n">
        <f aca="false">MATCH(C419,Assumptions!$K$4:$K$6,0)</f>
        <v>2</v>
      </c>
      <c r="K419" s="6" t="n">
        <f aca="false">INDEX(Assumptions!$L$4:$L$6,J419)</f>
        <v>0.7</v>
      </c>
      <c r="L419" s="6" t="n">
        <f aca="false">IF(H419,ROUND(E419*K419,2),Assumptions!$B$11)</f>
        <v>194600</v>
      </c>
      <c r="M419" s="7" t="n">
        <f aca="false">ABS(F419-L419)</f>
        <v>0</v>
      </c>
      <c r="N419" s="6" t="n">
        <f aca="false">INT(E419/Assumptions!$B$12)</f>
        <v>2</v>
      </c>
    </row>
    <row r="420" customFormat="false" ht="15" hidden="false" customHeight="false" outlineLevel="0" collapsed="false">
      <c r="A420" s="2" t="s">
        <v>463</v>
      </c>
      <c r="B420" s="2" t="s">
        <v>47</v>
      </c>
      <c r="C420" s="2" t="s">
        <v>20</v>
      </c>
      <c r="D420" s="2" t="s">
        <v>12</v>
      </c>
      <c r="E420" s="5" t="n">
        <v>135000</v>
      </c>
      <c r="F420" s="5" t="n">
        <v>74250</v>
      </c>
      <c r="G420" s="5" t="n">
        <v>44550</v>
      </c>
      <c r="H420" s="5" t="n">
        <f aca="false">TRUE()</f>
        <v>1</v>
      </c>
      <c r="I420" s="6" t="n">
        <f aca="false">VLOOKUP(D420,Assumptions!$H$4:$I$5,2,FALSE())</f>
        <v>1</v>
      </c>
      <c r="J420" s="6" t="n">
        <f aca="false">MATCH(C420,Assumptions!$K$4:$K$6,0)</f>
        <v>3</v>
      </c>
      <c r="K420" s="6" t="n">
        <f aca="false">INDEX(Assumptions!$L$4:$L$6,J420)</f>
        <v>0.55</v>
      </c>
      <c r="L420" s="6" t="n">
        <f aca="false">IF(H420,ROUND(E420*K420,2),Assumptions!$B$11)</f>
        <v>74250</v>
      </c>
      <c r="M420" s="7" t="n">
        <f aca="false">ABS(F420-L420)</f>
        <v>0</v>
      </c>
      <c r="N420" s="6" t="n">
        <f aca="false">INT(E420/Assumptions!$B$12)</f>
        <v>1</v>
      </c>
    </row>
    <row r="421" customFormat="false" ht="15" hidden="false" customHeight="false" outlineLevel="0" collapsed="false">
      <c r="A421" s="2" t="s">
        <v>464</v>
      </c>
      <c r="B421" s="2" t="s">
        <v>47</v>
      </c>
      <c r="C421" s="2" t="s">
        <v>13</v>
      </c>
      <c r="D421" s="2" t="s">
        <v>12</v>
      </c>
      <c r="E421" s="5" t="n">
        <v>225000</v>
      </c>
      <c r="F421" s="5" t="n">
        <v>139500</v>
      </c>
      <c r="G421" s="5" t="n">
        <v>83700</v>
      </c>
      <c r="H421" s="5" t="n">
        <f aca="false">TRUE()</f>
        <v>1</v>
      </c>
      <c r="I421" s="6" t="n">
        <f aca="false">VLOOKUP(D421,Assumptions!$H$4:$I$5,2,FALSE())</f>
        <v>1</v>
      </c>
      <c r="J421" s="6" t="n">
        <f aca="false">MATCH(C421,Assumptions!$K$4:$K$6,0)</f>
        <v>1</v>
      </c>
      <c r="K421" s="6" t="n">
        <f aca="false">INDEX(Assumptions!$L$4:$L$6,J421)</f>
        <v>0.62</v>
      </c>
      <c r="L421" s="6" t="n">
        <f aca="false">IF(H421,ROUND(E421*K421,2),Assumptions!$B$11)</f>
        <v>139500</v>
      </c>
      <c r="M421" s="7" t="n">
        <f aca="false">ABS(F421-L421)</f>
        <v>0</v>
      </c>
      <c r="N421" s="6" t="n">
        <f aca="false">INT(E421/Assumptions!$B$12)</f>
        <v>2</v>
      </c>
    </row>
    <row r="422" customFormat="false" ht="15" hidden="false" customHeight="false" outlineLevel="0" collapsed="false">
      <c r="A422" s="2" t="s">
        <v>465</v>
      </c>
      <c r="B422" s="2" t="s">
        <v>47</v>
      </c>
      <c r="C422" s="2" t="s">
        <v>17</v>
      </c>
      <c r="D422" s="2" t="s">
        <v>12</v>
      </c>
      <c r="E422" s="5" t="n">
        <v>289000</v>
      </c>
      <c r="F422" s="5" t="n">
        <v>202300</v>
      </c>
      <c r="G422" s="5" t="n">
        <v>121380</v>
      </c>
      <c r="H422" s="5" t="n">
        <f aca="false">TRUE()</f>
        <v>1</v>
      </c>
      <c r="I422" s="6" t="n">
        <f aca="false">VLOOKUP(D422,Assumptions!$H$4:$I$5,2,FALSE())</f>
        <v>1</v>
      </c>
      <c r="J422" s="6" t="n">
        <f aca="false">MATCH(C422,Assumptions!$K$4:$K$6,0)</f>
        <v>2</v>
      </c>
      <c r="K422" s="6" t="n">
        <f aca="false">INDEX(Assumptions!$L$4:$L$6,J422)</f>
        <v>0.7</v>
      </c>
      <c r="L422" s="6" t="n">
        <f aca="false">IF(H422,ROUND(E422*K422,2),Assumptions!$B$11)</f>
        <v>202300</v>
      </c>
      <c r="M422" s="7" t="n">
        <f aca="false">ABS(F422-L422)</f>
        <v>0</v>
      </c>
      <c r="N422" s="6" t="n">
        <f aca="false">INT(E422/Assumptions!$B$12)</f>
        <v>2</v>
      </c>
    </row>
    <row r="423" customFormat="false" ht="15" hidden="false" customHeight="false" outlineLevel="0" collapsed="false">
      <c r="A423" s="2" t="s">
        <v>466</v>
      </c>
      <c r="B423" s="2" t="s">
        <v>47</v>
      </c>
      <c r="C423" s="2" t="s">
        <v>20</v>
      </c>
      <c r="D423" s="2" t="s">
        <v>16</v>
      </c>
      <c r="E423" s="5" t="n">
        <v>245000</v>
      </c>
      <c r="F423" s="5" t="n">
        <v>134750</v>
      </c>
      <c r="G423" s="5" t="n">
        <v>80850</v>
      </c>
      <c r="H423" s="5" t="n">
        <f aca="false">TRUE()</f>
        <v>1</v>
      </c>
      <c r="I423" s="6" t="n">
        <f aca="false">VLOOKUP(D423,Assumptions!$H$4:$I$5,2,FALSE())</f>
        <v>1.15</v>
      </c>
      <c r="J423" s="6" t="n">
        <f aca="false">MATCH(C423,Assumptions!$K$4:$K$6,0)</f>
        <v>3</v>
      </c>
      <c r="K423" s="6" t="n">
        <f aca="false">INDEX(Assumptions!$L$4:$L$6,J423)</f>
        <v>0.55</v>
      </c>
      <c r="L423" s="6" t="n">
        <f aca="false">IF(H423,ROUND(E423*K423,2),Assumptions!$B$11)</f>
        <v>134750</v>
      </c>
      <c r="M423" s="7" t="n">
        <f aca="false">ABS(F423-L423)</f>
        <v>0</v>
      </c>
      <c r="N423" s="6" t="n">
        <f aca="false">INT(E423/Assumptions!$B$12)</f>
        <v>2</v>
      </c>
    </row>
    <row r="424" customFormat="false" ht="15" hidden="false" customHeight="false" outlineLevel="0" collapsed="false">
      <c r="A424" s="2" t="s">
        <v>467</v>
      </c>
      <c r="B424" s="2" t="s">
        <v>47</v>
      </c>
      <c r="C424" s="2" t="s">
        <v>13</v>
      </c>
      <c r="D424" s="2" t="s">
        <v>12</v>
      </c>
      <c r="E424" s="5" t="n">
        <v>180000</v>
      </c>
      <c r="F424" s="5" t="n">
        <v>111600</v>
      </c>
      <c r="G424" s="5" t="n">
        <v>66960</v>
      </c>
      <c r="H424" s="5" t="n">
        <f aca="false">TRUE()</f>
        <v>1</v>
      </c>
      <c r="I424" s="6" t="n">
        <f aca="false">VLOOKUP(D424,Assumptions!$H$4:$I$5,2,FALSE())</f>
        <v>1</v>
      </c>
      <c r="J424" s="6" t="n">
        <f aca="false">MATCH(C424,Assumptions!$K$4:$K$6,0)</f>
        <v>1</v>
      </c>
      <c r="K424" s="6" t="n">
        <f aca="false">INDEX(Assumptions!$L$4:$L$6,J424)</f>
        <v>0.62</v>
      </c>
      <c r="L424" s="6" t="n">
        <f aca="false">IF(H424,ROUND(E424*K424,2),Assumptions!$B$11)</f>
        <v>111600</v>
      </c>
      <c r="M424" s="7" t="n">
        <f aca="false">ABS(F424-L424)</f>
        <v>0</v>
      </c>
      <c r="N424" s="6" t="n">
        <f aca="false">INT(E424/Assumptions!$B$12)</f>
        <v>1</v>
      </c>
    </row>
    <row r="425" customFormat="false" ht="15" hidden="false" customHeight="false" outlineLevel="0" collapsed="false">
      <c r="A425" s="2" t="s">
        <v>468</v>
      </c>
      <c r="B425" s="2" t="s">
        <v>47</v>
      </c>
      <c r="C425" s="2" t="s">
        <v>17</v>
      </c>
      <c r="D425" s="2" t="s">
        <v>12</v>
      </c>
      <c r="E425" s="5" t="n">
        <v>324000</v>
      </c>
      <c r="F425" s="5" t="n">
        <v>226800</v>
      </c>
      <c r="G425" s="5" t="n">
        <v>136080</v>
      </c>
      <c r="H425" s="5" t="n">
        <f aca="false">TRUE()</f>
        <v>1</v>
      </c>
      <c r="I425" s="6" t="n">
        <f aca="false">VLOOKUP(D425,Assumptions!$H$4:$I$5,2,FALSE())</f>
        <v>1</v>
      </c>
      <c r="J425" s="6" t="n">
        <f aca="false">MATCH(C425,Assumptions!$K$4:$K$6,0)</f>
        <v>2</v>
      </c>
      <c r="K425" s="6" t="n">
        <f aca="false">INDEX(Assumptions!$L$4:$L$6,J425)</f>
        <v>0.7</v>
      </c>
      <c r="L425" s="6" t="n">
        <f aca="false">IF(H425,ROUND(E425*K425,2),Assumptions!$B$11)</f>
        <v>226800</v>
      </c>
      <c r="M425" s="7" t="n">
        <f aca="false">ABS(F425-L425)</f>
        <v>0</v>
      </c>
      <c r="N425" s="6" t="n">
        <f aca="false">INT(E425/Assumptions!$B$12)</f>
        <v>3</v>
      </c>
    </row>
    <row r="426" customFormat="false" ht="15" hidden="false" customHeight="false" outlineLevel="0" collapsed="false">
      <c r="A426" s="2" t="s">
        <v>469</v>
      </c>
      <c r="B426" s="2" t="s">
        <v>47</v>
      </c>
      <c r="C426" s="2" t="s">
        <v>20</v>
      </c>
      <c r="D426" s="2" t="s">
        <v>12</v>
      </c>
      <c r="E426" s="5" t="n">
        <v>378000</v>
      </c>
      <c r="F426" s="5" t="n">
        <v>207900</v>
      </c>
      <c r="G426" s="5" t="n">
        <v>124740</v>
      </c>
      <c r="H426" s="5" t="n">
        <f aca="false">TRUE()</f>
        <v>1</v>
      </c>
      <c r="I426" s="6" t="n">
        <f aca="false">VLOOKUP(D426,Assumptions!$H$4:$I$5,2,FALSE())</f>
        <v>1</v>
      </c>
      <c r="J426" s="6" t="n">
        <f aca="false">MATCH(C426,Assumptions!$K$4:$K$6,0)</f>
        <v>3</v>
      </c>
      <c r="K426" s="6" t="n">
        <f aca="false">INDEX(Assumptions!$L$4:$L$6,J426)</f>
        <v>0.55</v>
      </c>
      <c r="L426" s="6" t="n">
        <f aca="false">IF(H426,ROUND(E426*K426,2),Assumptions!$B$11)</f>
        <v>207900</v>
      </c>
      <c r="M426" s="7" t="n">
        <f aca="false">ABS(F426-L426)</f>
        <v>0</v>
      </c>
      <c r="N426" s="6" t="n">
        <f aca="false">INT(E426/Assumptions!$B$12)</f>
        <v>3</v>
      </c>
    </row>
    <row r="427" customFormat="false" ht="15" hidden="false" customHeight="false" outlineLevel="0" collapsed="false">
      <c r="A427" s="2" t="s">
        <v>470</v>
      </c>
      <c r="B427" s="2" t="s">
        <v>47</v>
      </c>
      <c r="C427" s="2" t="s">
        <v>13</v>
      </c>
      <c r="D427" s="2" t="s">
        <v>16</v>
      </c>
      <c r="E427" s="5" t="n">
        <v>460000</v>
      </c>
      <c r="F427" s="5" t="n">
        <v>285200</v>
      </c>
      <c r="G427" s="5" t="n">
        <v>171120</v>
      </c>
      <c r="H427" s="5" t="n">
        <f aca="false">TRUE()</f>
        <v>1</v>
      </c>
      <c r="I427" s="6" t="n">
        <f aca="false">VLOOKUP(D427,Assumptions!$H$4:$I$5,2,FALSE())</f>
        <v>1.15</v>
      </c>
      <c r="J427" s="6" t="n">
        <f aca="false">MATCH(C427,Assumptions!$K$4:$K$6,0)</f>
        <v>1</v>
      </c>
      <c r="K427" s="6" t="n">
        <f aca="false">INDEX(Assumptions!$L$4:$L$6,J427)</f>
        <v>0.62</v>
      </c>
      <c r="L427" s="6" t="n">
        <f aca="false">IF(H427,ROUND(E427*K427,2),Assumptions!$B$11)</f>
        <v>285200</v>
      </c>
      <c r="M427" s="7" t="n">
        <f aca="false">ABS(F427-L427)</f>
        <v>0</v>
      </c>
      <c r="N427" s="6" t="n">
        <f aca="false">INT(E427/Assumptions!$B$12)</f>
        <v>4</v>
      </c>
    </row>
    <row r="428" customFormat="false" ht="15" hidden="false" customHeight="false" outlineLevel="0" collapsed="false">
      <c r="A428" s="2" t="s">
        <v>471</v>
      </c>
      <c r="B428" s="2" t="s">
        <v>47</v>
      </c>
      <c r="C428" s="2" t="s">
        <v>17</v>
      </c>
      <c r="D428" s="2" t="s">
        <v>12</v>
      </c>
      <c r="E428" s="5" t="n">
        <v>254000</v>
      </c>
      <c r="F428" s="5" t="n">
        <v>177800</v>
      </c>
      <c r="G428" s="5" t="n">
        <v>106680</v>
      </c>
      <c r="H428" s="5" t="n">
        <f aca="false">FALSE()</f>
        <v>0</v>
      </c>
      <c r="I428" s="6" t="n">
        <f aca="false">VLOOKUP(D428,Assumptions!$H$4:$I$5,2,FALSE())</f>
        <v>1</v>
      </c>
      <c r="J428" s="6" t="n">
        <f aca="false">MATCH(C428,Assumptions!$K$4:$K$6,0)</f>
        <v>2</v>
      </c>
      <c r="K428" s="6" t="n">
        <f aca="false">INDEX(Assumptions!$L$4:$L$6,J428)</f>
        <v>0.7</v>
      </c>
      <c r="L428" s="6" t="n">
        <f aca="false">IF(H428,ROUND(E428*K428,2),Assumptions!$B$11)</f>
        <v>0</v>
      </c>
      <c r="M428" s="7" t="n">
        <f aca="false">ABS(F428-L428)</f>
        <v>177800</v>
      </c>
      <c r="N428" s="6" t="n">
        <f aca="false">INT(E428/Assumptions!$B$12)</f>
        <v>2</v>
      </c>
    </row>
    <row r="429" customFormat="false" ht="15" hidden="false" customHeight="false" outlineLevel="0" collapsed="false">
      <c r="A429" s="2" t="s">
        <v>472</v>
      </c>
      <c r="B429" s="2" t="s">
        <v>47</v>
      </c>
      <c r="C429" s="2" t="s">
        <v>20</v>
      </c>
      <c r="D429" s="2" t="s">
        <v>12</v>
      </c>
      <c r="E429" s="5" t="n">
        <v>413000</v>
      </c>
      <c r="F429" s="5" t="n">
        <v>227150</v>
      </c>
      <c r="G429" s="5" t="n">
        <v>136290</v>
      </c>
      <c r="H429" s="5" t="n">
        <f aca="false">TRUE()</f>
        <v>1</v>
      </c>
      <c r="I429" s="6" t="n">
        <f aca="false">VLOOKUP(D429,Assumptions!$H$4:$I$5,2,FALSE())</f>
        <v>1</v>
      </c>
      <c r="J429" s="6" t="n">
        <f aca="false">MATCH(C429,Assumptions!$K$4:$K$6,0)</f>
        <v>3</v>
      </c>
      <c r="K429" s="6" t="n">
        <f aca="false">INDEX(Assumptions!$L$4:$L$6,J429)</f>
        <v>0.55</v>
      </c>
      <c r="L429" s="6" t="n">
        <f aca="false">IF(H429,ROUND(E429*K429,2),Assumptions!$B$11)</f>
        <v>227150</v>
      </c>
      <c r="M429" s="7" t="n">
        <f aca="false">ABS(F429-L429)</f>
        <v>0</v>
      </c>
      <c r="N429" s="6" t="n">
        <f aca="false">INT(E429/Assumptions!$B$12)</f>
        <v>4</v>
      </c>
    </row>
    <row r="430" customFormat="false" ht="15" hidden="false" customHeight="false" outlineLevel="0" collapsed="false">
      <c r="A430" s="2" t="s">
        <v>473</v>
      </c>
      <c r="B430" s="2" t="s">
        <v>47</v>
      </c>
      <c r="C430" s="2" t="s">
        <v>13</v>
      </c>
      <c r="D430" s="2" t="s">
        <v>12</v>
      </c>
      <c r="E430" s="5" t="n">
        <v>434000</v>
      </c>
      <c r="F430" s="5" t="n">
        <v>269080</v>
      </c>
      <c r="G430" s="5" t="n">
        <v>161448</v>
      </c>
      <c r="H430" s="5" t="n">
        <f aca="false">TRUE()</f>
        <v>1</v>
      </c>
      <c r="I430" s="6" t="n">
        <f aca="false">VLOOKUP(D430,Assumptions!$H$4:$I$5,2,FALSE())</f>
        <v>1</v>
      </c>
      <c r="J430" s="6" t="n">
        <f aca="false">MATCH(C430,Assumptions!$K$4:$K$6,0)</f>
        <v>1</v>
      </c>
      <c r="K430" s="6" t="n">
        <f aca="false">INDEX(Assumptions!$L$4:$L$6,J430)</f>
        <v>0.62</v>
      </c>
      <c r="L430" s="6" t="n">
        <f aca="false">IF(H430,ROUND(E430*K430,2),Assumptions!$B$11)</f>
        <v>269080</v>
      </c>
      <c r="M430" s="7" t="n">
        <f aca="false">ABS(F430-L430)</f>
        <v>0</v>
      </c>
      <c r="N430" s="6" t="n">
        <f aca="false">INT(E430/Assumptions!$B$12)</f>
        <v>4</v>
      </c>
    </row>
    <row r="431" customFormat="false" ht="15" hidden="false" customHeight="false" outlineLevel="0" collapsed="false">
      <c r="A431" s="2" t="s">
        <v>474</v>
      </c>
      <c r="B431" s="2" t="s">
        <v>47</v>
      </c>
      <c r="C431" s="2" t="s">
        <v>17</v>
      </c>
      <c r="D431" s="2" t="s">
        <v>16</v>
      </c>
      <c r="E431" s="5" t="n">
        <v>370000</v>
      </c>
      <c r="F431" s="5" t="n">
        <v>259000</v>
      </c>
      <c r="G431" s="5" t="n">
        <v>155400</v>
      </c>
      <c r="H431" s="5" t="n">
        <f aca="false">TRUE()</f>
        <v>1</v>
      </c>
      <c r="I431" s="6" t="n">
        <f aca="false">VLOOKUP(D431,Assumptions!$H$4:$I$5,2,FALSE())</f>
        <v>1.15</v>
      </c>
      <c r="J431" s="6" t="n">
        <f aca="false">MATCH(C431,Assumptions!$K$4:$K$6,0)</f>
        <v>2</v>
      </c>
      <c r="K431" s="6" t="n">
        <f aca="false">INDEX(Assumptions!$L$4:$L$6,J431)</f>
        <v>0.7</v>
      </c>
      <c r="L431" s="6" t="n">
        <f aca="false">IF(H431,ROUND(E431*K431,2),Assumptions!$B$11)</f>
        <v>259000</v>
      </c>
      <c r="M431" s="7" t="n">
        <f aca="false">ABS(F431-L431)</f>
        <v>0</v>
      </c>
      <c r="N431" s="6" t="n">
        <f aca="false">INT(E431/Assumptions!$B$12)</f>
        <v>3</v>
      </c>
    </row>
    <row r="432" customFormat="false" ht="15" hidden="false" customHeight="false" outlineLevel="0" collapsed="false">
      <c r="A432" s="2" t="s">
        <v>475</v>
      </c>
      <c r="B432" s="2" t="s">
        <v>47</v>
      </c>
      <c r="C432" s="2" t="s">
        <v>20</v>
      </c>
      <c r="D432" s="2" t="s">
        <v>12</v>
      </c>
      <c r="E432" s="5" t="n">
        <v>104000</v>
      </c>
      <c r="F432" s="5" t="n">
        <v>57200</v>
      </c>
      <c r="G432" s="5" t="n">
        <v>34320</v>
      </c>
      <c r="H432" s="5" t="n">
        <f aca="false">TRUE()</f>
        <v>1</v>
      </c>
      <c r="I432" s="6" t="n">
        <f aca="false">VLOOKUP(D432,Assumptions!$H$4:$I$5,2,FALSE())</f>
        <v>1</v>
      </c>
      <c r="J432" s="6" t="n">
        <f aca="false">MATCH(C432,Assumptions!$K$4:$K$6,0)</f>
        <v>3</v>
      </c>
      <c r="K432" s="6" t="n">
        <f aca="false">INDEX(Assumptions!$L$4:$L$6,J432)</f>
        <v>0.55</v>
      </c>
      <c r="L432" s="6" t="n">
        <f aca="false">IF(H432,ROUND(E432*K432,2),Assumptions!$B$11)</f>
        <v>57200</v>
      </c>
      <c r="M432" s="7" t="n">
        <f aca="false">ABS(F432-L432)</f>
        <v>0</v>
      </c>
      <c r="N432" s="6" t="n">
        <f aca="false">INT(E432/Assumptions!$B$12)</f>
        <v>1</v>
      </c>
    </row>
    <row r="433" customFormat="false" ht="15" hidden="false" customHeight="false" outlineLevel="0" collapsed="false">
      <c r="A433" s="2" t="s">
        <v>476</v>
      </c>
      <c r="B433" s="2" t="s">
        <v>47</v>
      </c>
      <c r="C433" s="2" t="s">
        <v>13</v>
      </c>
      <c r="D433" s="2" t="s">
        <v>12</v>
      </c>
      <c r="E433" s="5" t="n">
        <v>441000</v>
      </c>
      <c r="F433" s="5" t="n">
        <v>273420</v>
      </c>
      <c r="G433" s="5" t="n">
        <v>164052</v>
      </c>
      <c r="H433" s="5" t="n">
        <f aca="false">TRUE()</f>
        <v>1</v>
      </c>
      <c r="I433" s="6" t="n">
        <f aca="false">VLOOKUP(D433,Assumptions!$H$4:$I$5,2,FALSE())</f>
        <v>1</v>
      </c>
      <c r="J433" s="6" t="n">
        <f aca="false">MATCH(C433,Assumptions!$K$4:$K$6,0)</f>
        <v>1</v>
      </c>
      <c r="K433" s="6" t="n">
        <f aca="false">INDEX(Assumptions!$L$4:$L$6,J433)</f>
        <v>0.62</v>
      </c>
      <c r="L433" s="6" t="n">
        <f aca="false">IF(H433,ROUND(E433*K433,2),Assumptions!$B$11)</f>
        <v>273420</v>
      </c>
      <c r="M433" s="7" t="n">
        <f aca="false">ABS(F433-L433)</f>
        <v>0</v>
      </c>
      <c r="N433" s="6" t="n">
        <f aca="false">INT(E433/Assumptions!$B$12)</f>
        <v>4</v>
      </c>
    </row>
    <row r="434" customFormat="false" ht="15" hidden="false" customHeight="false" outlineLevel="0" collapsed="false">
      <c r="A434" s="2" t="s">
        <v>477</v>
      </c>
      <c r="B434" s="2" t="s">
        <v>47</v>
      </c>
      <c r="C434" s="2" t="s">
        <v>17</v>
      </c>
      <c r="D434" s="2" t="s">
        <v>12</v>
      </c>
      <c r="E434" s="5" t="n">
        <v>383000</v>
      </c>
      <c r="F434" s="5" t="n">
        <v>268100</v>
      </c>
      <c r="G434" s="5" t="n">
        <v>160860</v>
      </c>
      <c r="H434" s="5" t="n">
        <f aca="false">TRUE()</f>
        <v>1</v>
      </c>
      <c r="I434" s="6" t="n">
        <f aca="false">VLOOKUP(D434,Assumptions!$H$4:$I$5,2,FALSE())</f>
        <v>1</v>
      </c>
      <c r="J434" s="6" t="n">
        <f aca="false">MATCH(C434,Assumptions!$K$4:$K$6,0)</f>
        <v>2</v>
      </c>
      <c r="K434" s="6" t="n">
        <f aca="false">INDEX(Assumptions!$L$4:$L$6,J434)</f>
        <v>0.7</v>
      </c>
      <c r="L434" s="6" t="n">
        <f aca="false">IF(H434,ROUND(E434*K434,2),Assumptions!$B$11)</f>
        <v>268100</v>
      </c>
      <c r="M434" s="7" t="n">
        <f aca="false">ABS(F434-L434)</f>
        <v>0</v>
      </c>
      <c r="N434" s="6" t="n">
        <f aca="false">INT(E434/Assumptions!$B$12)</f>
        <v>3</v>
      </c>
    </row>
    <row r="435" customFormat="false" ht="15" hidden="false" customHeight="false" outlineLevel="0" collapsed="false">
      <c r="A435" s="2" t="s">
        <v>478</v>
      </c>
      <c r="B435" s="2" t="s">
        <v>47</v>
      </c>
      <c r="C435" s="2" t="s">
        <v>20</v>
      </c>
      <c r="D435" s="2" t="s">
        <v>16</v>
      </c>
      <c r="E435" s="5" t="n">
        <v>253000</v>
      </c>
      <c r="F435" s="5" t="n">
        <v>139150</v>
      </c>
      <c r="G435" s="5" t="n">
        <v>83490</v>
      </c>
      <c r="H435" s="5" t="n">
        <f aca="false">TRUE()</f>
        <v>1</v>
      </c>
      <c r="I435" s="6" t="n">
        <f aca="false">VLOOKUP(D435,Assumptions!$H$4:$I$5,2,FALSE())</f>
        <v>1.15</v>
      </c>
      <c r="J435" s="6" t="n">
        <f aca="false">MATCH(C435,Assumptions!$K$4:$K$6,0)</f>
        <v>3</v>
      </c>
      <c r="K435" s="6" t="n">
        <f aca="false">INDEX(Assumptions!$L$4:$L$6,J435)</f>
        <v>0.55</v>
      </c>
      <c r="L435" s="6" t="n">
        <f aca="false">IF(H435,ROUND(E435*K435,2),Assumptions!$B$11)</f>
        <v>139150</v>
      </c>
      <c r="M435" s="7" t="n">
        <f aca="false">ABS(F435-L435)</f>
        <v>0</v>
      </c>
      <c r="N435" s="6" t="n">
        <f aca="false">INT(E435/Assumptions!$B$12)</f>
        <v>2</v>
      </c>
    </row>
    <row r="436" customFormat="false" ht="15" hidden="false" customHeight="false" outlineLevel="0" collapsed="false">
      <c r="A436" s="2" t="s">
        <v>479</v>
      </c>
      <c r="B436" s="2" t="s">
        <v>47</v>
      </c>
      <c r="C436" s="2" t="s">
        <v>13</v>
      </c>
      <c r="D436" s="2" t="s">
        <v>12</v>
      </c>
      <c r="E436" s="5" t="n">
        <v>439000</v>
      </c>
      <c r="F436" s="5" t="n">
        <v>272180</v>
      </c>
      <c r="G436" s="5" t="n">
        <v>163308</v>
      </c>
      <c r="H436" s="5" t="n">
        <f aca="false">TRUE()</f>
        <v>1</v>
      </c>
      <c r="I436" s="6" t="n">
        <f aca="false">VLOOKUP(D436,Assumptions!$H$4:$I$5,2,FALSE())</f>
        <v>1</v>
      </c>
      <c r="J436" s="6" t="n">
        <f aca="false">MATCH(C436,Assumptions!$K$4:$K$6,0)</f>
        <v>1</v>
      </c>
      <c r="K436" s="6" t="n">
        <f aca="false">INDEX(Assumptions!$L$4:$L$6,J436)</f>
        <v>0.62</v>
      </c>
      <c r="L436" s="6" t="n">
        <f aca="false">IF(H436,ROUND(E436*K436,2),Assumptions!$B$11)</f>
        <v>272180</v>
      </c>
      <c r="M436" s="7" t="n">
        <f aca="false">ABS(F436-L436)</f>
        <v>0</v>
      </c>
      <c r="N436" s="6" t="n">
        <f aca="false">INT(E436/Assumptions!$B$12)</f>
        <v>4</v>
      </c>
    </row>
    <row r="437" customFormat="false" ht="15" hidden="false" customHeight="false" outlineLevel="0" collapsed="false">
      <c r="A437" s="2" t="s">
        <v>480</v>
      </c>
      <c r="B437" s="2" t="s">
        <v>47</v>
      </c>
      <c r="C437" s="2" t="s">
        <v>17</v>
      </c>
      <c r="D437" s="2" t="s">
        <v>12</v>
      </c>
      <c r="E437" s="5" t="n">
        <v>153000</v>
      </c>
      <c r="F437" s="5" t="n">
        <v>107100</v>
      </c>
      <c r="G437" s="5" t="n">
        <v>64260</v>
      </c>
      <c r="H437" s="5" t="n">
        <f aca="false">TRUE()</f>
        <v>1</v>
      </c>
      <c r="I437" s="6" t="n">
        <f aca="false">VLOOKUP(D437,Assumptions!$H$4:$I$5,2,FALSE())</f>
        <v>1</v>
      </c>
      <c r="J437" s="6" t="n">
        <f aca="false">MATCH(C437,Assumptions!$K$4:$K$6,0)</f>
        <v>2</v>
      </c>
      <c r="K437" s="6" t="n">
        <f aca="false">INDEX(Assumptions!$L$4:$L$6,J437)</f>
        <v>0.7</v>
      </c>
      <c r="L437" s="6" t="n">
        <f aca="false">IF(H437,ROUND(E437*K437,2),Assumptions!$B$11)</f>
        <v>107100</v>
      </c>
      <c r="M437" s="7" t="n">
        <f aca="false">ABS(F437-L437)</f>
        <v>0</v>
      </c>
      <c r="N437" s="6" t="n">
        <f aca="false">INT(E437/Assumptions!$B$12)</f>
        <v>1</v>
      </c>
    </row>
    <row r="438" customFormat="false" ht="15" hidden="false" customHeight="false" outlineLevel="0" collapsed="false">
      <c r="A438" s="2" t="s">
        <v>481</v>
      </c>
      <c r="B438" s="2" t="s">
        <v>47</v>
      </c>
      <c r="C438" s="2" t="s">
        <v>20</v>
      </c>
      <c r="D438" s="2" t="s">
        <v>12</v>
      </c>
      <c r="E438" s="5" t="n">
        <v>168000</v>
      </c>
      <c r="F438" s="5" t="n">
        <v>92400</v>
      </c>
      <c r="G438" s="5" t="n">
        <v>55440</v>
      </c>
      <c r="H438" s="5" t="n">
        <f aca="false">TRUE()</f>
        <v>1</v>
      </c>
      <c r="I438" s="6" t="n">
        <f aca="false">VLOOKUP(D438,Assumptions!$H$4:$I$5,2,FALSE())</f>
        <v>1</v>
      </c>
      <c r="J438" s="6" t="n">
        <f aca="false">MATCH(C438,Assumptions!$K$4:$K$6,0)</f>
        <v>3</v>
      </c>
      <c r="K438" s="6" t="n">
        <f aca="false">INDEX(Assumptions!$L$4:$L$6,J438)</f>
        <v>0.55</v>
      </c>
      <c r="L438" s="6" t="n">
        <f aca="false">IF(H438,ROUND(E438*K438,2),Assumptions!$B$11)</f>
        <v>92400</v>
      </c>
      <c r="M438" s="7" t="n">
        <f aca="false">ABS(F438-L438)</f>
        <v>0</v>
      </c>
      <c r="N438" s="6" t="n">
        <f aca="false">INT(E438/Assumptions!$B$12)</f>
        <v>1</v>
      </c>
    </row>
    <row r="439" customFormat="false" ht="15" hidden="false" customHeight="false" outlineLevel="0" collapsed="false">
      <c r="A439" s="2" t="s">
        <v>482</v>
      </c>
      <c r="B439" s="2" t="s">
        <v>47</v>
      </c>
      <c r="C439" s="2" t="s">
        <v>13</v>
      </c>
      <c r="D439" s="2" t="s">
        <v>16</v>
      </c>
      <c r="E439" s="5" t="n">
        <v>235000</v>
      </c>
      <c r="F439" s="5" t="n">
        <v>145700</v>
      </c>
      <c r="G439" s="5" t="n">
        <v>87420</v>
      </c>
      <c r="H439" s="5" t="n">
        <f aca="false">TRUE()</f>
        <v>1</v>
      </c>
      <c r="I439" s="6" t="n">
        <f aca="false">VLOOKUP(D439,Assumptions!$H$4:$I$5,2,FALSE())</f>
        <v>1.15</v>
      </c>
      <c r="J439" s="6" t="n">
        <f aca="false">MATCH(C439,Assumptions!$K$4:$K$6,0)</f>
        <v>1</v>
      </c>
      <c r="K439" s="6" t="n">
        <f aca="false">INDEX(Assumptions!$L$4:$L$6,J439)</f>
        <v>0.62</v>
      </c>
      <c r="L439" s="6" t="n">
        <f aca="false">IF(H439,ROUND(E439*K439,2),Assumptions!$B$11)</f>
        <v>145700</v>
      </c>
      <c r="M439" s="7" t="n">
        <f aca="false">ABS(F439-L439)</f>
        <v>0</v>
      </c>
      <c r="N439" s="6" t="n">
        <f aca="false">INT(E439/Assumptions!$B$12)</f>
        <v>2</v>
      </c>
    </row>
    <row r="440" customFormat="false" ht="15" hidden="false" customHeight="false" outlineLevel="0" collapsed="false">
      <c r="A440" s="2" t="s">
        <v>483</v>
      </c>
      <c r="B440" s="2" t="s">
        <v>47</v>
      </c>
      <c r="C440" s="2" t="s">
        <v>17</v>
      </c>
      <c r="D440" s="2" t="s">
        <v>12</v>
      </c>
      <c r="E440" s="5" t="n">
        <v>159000</v>
      </c>
      <c r="F440" s="5" t="n">
        <v>111300</v>
      </c>
      <c r="G440" s="5" t="n">
        <v>66780</v>
      </c>
      <c r="H440" s="5" t="n">
        <f aca="false">TRUE()</f>
        <v>1</v>
      </c>
      <c r="I440" s="6" t="n">
        <f aca="false">VLOOKUP(D440,Assumptions!$H$4:$I$5,2,FALSE())</f>
        <v>1</v>
      </c>
      <c r="J440" s="6" t="n">
        <f aca="false">MATCH(C440,Assumptions!$K$4:$K$6,0)</f>
        <v>2</v>
      </c>
      <c r="K440" s="6" t="n">
        <f aca="false">INDEX(Assumptions!$L$4:$L$6,J440)</f>
        <v>0.7</v>
      </c>
      <c r="L440" s="6" t="n">
        <f aca="false">IF(H440,ROUND(E440*K440,2),Assumptions!$B$11)</f>
        <v>111300</v>
      </c>
      <c r="M440" s="7" t="n">
        <f aca="false">ABS(F440-L440)</f>
        <v>0</v>
      </c>
      <c r="N440" s="6" t="n">
        <f aca="false">INT(E440/Assumptions!$B$12)</f>
        <v>1</v>
      </c>
    </row>
    <row r="441" customFormat="false" ht="15" hidden="false" customHeight="false" outlineLevel="0" collapsed="false">
      <c r="A441" s="2" t="s">
        <v>484</v>
      </c>
      <c r="B441" s="2" t="s">
        <v>47</v>
      </c>
      <c r="C441" s="2" t="s">
        <v>20</v>
      </c>
      <c r="D441" s="2" t="s">
        <v>12</v>
      </c>
      <c r="E441" s="5" t="n">
        <v>154000</v>
      </c>
      <c r="F441" s="5" t="n">
        <v>84700</v>
      </c>
      <c r="G441" s="5" t="n">
        <v>50820</v>
      </c>
      <c r="H441" s="5" t="n">
        <f aca="false">TRUE()</f>
        <v>1</v>
      </c>
      <c r="I441" s="6" t="n">
        <f aca="false">VLOOKUP(D441,Assumptions!$H$4:$I$5,2,FALSE())</f>
        <v>1</v>
      </c>
      <c r="J441" s="6" t="n">
        <f aca="false">MATCH(C441,Assumptions!$K$4:$K$6,0)</f>
        <v>3</v>
      </c>
      <c r="K441" s="6" t="n">
        <f aca="false">INDEX(Assumptions!$L$4:$L$6,J441)</f>
        <v>0.55</v>
      </c>
      <c r="L441" s="6" t="n">
        <f aca="false">IF(H441,ROUND(E441*K441,2),Assumptions!$B$11)</f>
        <v>84700</v>
      </c>
      <c r="M441" s="7" t="n">
        <f aca="false">ABS(F441-L441)</f>
        <v>0</v>
      </c>
      <c r="N441" s="6" t="n">
        <f aca="false">INT(E441/Assumptions!$B$12)</f>
        <v>1</v>
      </c>
    </row>
    <row r="442" customFormat="false" ht="15" hidden="false" customHeight="false" outlineLevel="0" collapsed="false">
      <c r="A442" s="2" t="s">
        <v>485</v>
      </c>
      <c r="B442" s="2" t="s">
        <v>47</v>
      </c>
      <c r="C442" s="2" t="s">
        <v>13</v>
      </c>
      <c r="D442" s="2" t="s">
        <v>12</v>
      </c>
      <c r="E442" s="5" t="n">
        <v>480000</v>
      </c>
      <c r="F442" s="5" t="n">
        <v>297600</v>
      </c>
      <c r="G442" s="5" t="n">
        <v>178560</v>
      </c>
      <c r="H442" s="5" t="n">
        <f aca="false">TRUE()</f>
        <v>1</v>
      </c>
      <c r="I442" s="6" t="n">
        <f aca="false">VLOOKUP(D442,Assumptions!$H$4:$I$5,2,FALSE())</f>
        <v>1</v>
      </c>
      <c r="J442" s="6" t="n">
        <f aca="false">MATCH(C442,Assumptions!$K$4:$K$6,0)</f>
        <v>1</v>
      </c>
      <c r="K442" s="6" t="n">
        <f aca="false">INDEX(Assumptions!$L$4:$L$6,J442)</f>
        <v>0.62</v>
      </c>
      <c r="L442" s="6" t="n">
        <f aca="false">IF(H442,ROUND(E442*K442,2),Assumptions!$B$11)</f>
        <v>297600</v>
      </c>
      <c r="M442" s="7" t="n">
        <f aca="false">ABS(F442-L442)</f>
        <v>0</v>
      </c>
      <c r="N442" s="6" t="n">
        <f aca="false">INT(E442/Assumptions!$B$12)</f>
        <v>4</v>
      </c>
    </row>
    <row r="443" customFormat="false" ht="15" hidden="false" customHeight="false" outlineLevel="0" collapsed="false">
      <c r="A443" s="2" t="s">
        <v>486</v>
      </c>
      <c r="B443" s="2" t="s">
        <v>47</v>
      </c>
      <c r="C443" s="2" t="s">
        <v>17</v>
      </c>
      <c r="D443" s="2" t="s">
        <v>16</v>
      </c>
      <c r="E443" s="5" t="n">
        <v>383000</v>
      </c>
      <c r="F443" s="5" t="n">
        <v>268100</v>
      </c>
      <c r="G443" s="5" t="n">
        <v>160860</v>
      </c>
      <c r="H443" s="5" t="n">
        <f aca="false">TRUE()</f>
        <v>1</v>
      </c>
      <c r="I443" s="6" t="n">
        <f aca="false">VLOOKUP(D443,Assumptions!$H$4:$I$5,2,FALSE())</f>
        <v>1.15</v>
      </c>
      <c r="J443" s="6" t="n">
        <f aca="false">MATCH(C443,Assumptions!$K$4:$K$6,0)</f>
        <v>2</v>
      </c>
      <c r="K443" s="6" t="n">
        <f aca="false">INDEX(Assumptions!$L$4:$L$6,J443)</f>
        <v>0.7</v>
      </c>
      <c r="L443" s="6" t="n">
        <f aca="false">IF(H443,ROUND(E443*K443,2),Assumptions!$B$11)</f>
        <v>268100</v>
      </c>
      <c r="M443" s="7" t="n">
        <f aca="false">ABS(F443-L443)</f>
        <v>0</v>
      </c>
      <c r="N443" s="6" t="n">
        <f aca="false">INT(E443/Assumptions!$B$12)</f>
        <v>3</v>
      </c>
    </row>
    <row r="444" customFormat="false" ht="15" hidden="false" customHeight="false" outlineLevel="0" collapsed="false">
      <c r="A444" s="2" t="s">
        <v>487</v>
      </c>
      <c r="B444" s="2" t="s">
        <v>47</v>
      </c>
      <c r="C444" s="2" t="s">
        <v>20</v>
      </c>
      <c r="D444" s="2" t="s">
        <v>12</v>
      </c>
      <c r="E444" s="5" t="n">
        <v>179000</v>
      </c>
      <c r="F444" s="5" t="n">
        <v>98450</v>
      </c>
      <c r="G444" s="5" t="n">
        <v>59070</v>
      </c>
      <c r="H444" s="5" t="n">
        <f aca="false">TRUE()</f>
        <v>1</v>
      </c>
      <c r="I444" s="6" t="n">
        <f aca="false">VLOOKUP(D444,Assumptions!$H$4:$I$5,2,FALSE())</f>
        <v>1</v>
      </c>
      <c r="J444" s="6" t="n">
        <f aca="false">MATCH(C444,Assumptions!$K$4:$K$6,0)</f>
        <v>3</v>
      </c>
      <c r="K444" s="6" t="n">
        <f aca="false">INDEX(Assumptions!$L$4:$L$6,J444)</f>
        <v>0.55</v>
      </c>
      <c r="L444" s="6" t="n">
        <f aca="false">IF(H444,ROUND(E444*K444,2),Assumptions!$B$11)</f>
        <v>98450</v>
      </c>
      <c r="M444" s="7" t="n">
        <f aca="false">ABS(F444-L444)</f>
        <v>0</v>
      </c>
      <c r="N444" s="6" t="n">
        <f aca="false">INT(E444/Assumptions!$B$12)</f>
        <v>1</v>
      </c>
    </row>
    <row r="445" customFormat="false" ht="15" hidden="false" customHeight="false" outlineLevel="0" collapsed="false">
      <c r="A445" s="2" t="s">
        <v>488</v>
      </c>
      <c r="B445" s="2" t="s">
        <v>47</v>
      </c>
      <c r="C445" s="2" t="s">
        <v>13</v>
      </c>
      <c r="D445" s="2" t="s">
        <v>12</v>
      </c>
      <c r="E445" s="5" t="n">
        <v>239000</v>
      </c>
      <c r="F445" s="5" t="n">
        <v>148180</v>
      </c>
      <c r="G445" s="5" t="n">
        <v>88908</v>
      </c>
      <c r="H445" s="5" t="n">
        <f aca="false">FALSE()</f>
        <v>0</v>
      </c>
      <c r="I445" s="6" t="n">
        <f aca="false">VLOOKUP(D445,Assumptions!$H$4:$I$5,2,FALSE())</f>
        <v>1</v>
      </c>
      <c r="J445" s="6" t="n">
        <f aca="false">MATCH(C445,Assumptions!$K$4:$K$6,0)</f>
        <v>1</v>
      </c>
      <c r="K445" s="6" t="n">
        <f aca="false">INDEX(Assumptions!$L$4:$L$6,J445)</f>
        <v>0.62</v>
      </c>
      <c r="L445" s="6" t="n">
        <f aca="false">IF(H445,ROUND(E445*K445,2),Assumptions!$B$11)</f>
        <v>0</v>
      </c>
      <c r="M445" s="7" t="n">
        <f aca="false">ABS(F445-L445)</f>
        <v>148180</v>
      </c>
      <c r="N445" s="6" t="n">
        <f aca="false">INT(E445/Assumptions!$B$12)</f>
        <v>2</v>
      </c>
    </row>
    <row r="446" customFormat="false" ht="15" hidden="false" customHeight="false" outlineLevel="0" collapsed="false">
      <c r="A446" s="2" t="s">
        <v>489</v>
      </c>
      <c r="B446" s="2" t="s">
        <v>47</v>
      </c>
      <c r="C446" s="2" t="s">
        <v>17</v>
      </c>
      <c r="D446" s="2" t="s">
        <v>12</v>
      </c>
      <c r="E446" s="5" t="n">
        <v>244000</v>
      </c>
      <c r="F446" s="5" t="n">
        <v>170800</v>
      </c>
      <c r="G446" s="5" t="n">
        <v>102480</v>
      </c>
      <c r="H446" s="5" t="n">
        <f aca="false">TRUE()</f>
        <v>1</v>
      </c>
      <c r="I446" s="6" t="n">
        <f aca="false">VLOOKUP(D446,Assumptions!$H$4:$I$5,2,FALSE())</f>
        <v>1</v>
      </c>
      <c r="J446" s="6" t="n">
        <f aca="false">MATCH(C446,Assumptions!$K$4:$K$6,0)</f>
        <v>2</v>
      </c>
      <c r="K446" s="6" t="n">
        <f aca="false">INDEX(Assumptions!$L$4:$L$6,J446)</f>
        <v>0.7</v>
      </c>
      <c r="L446" s="6" t="n">
        <f aca="false">IF(H446,ROUND(E446*K446,2),Assumptions!$B$11)</f>
        <v>170800</v>
      </c>
      <c r="M446" s="7" t="n">
        <f aca="false">ABS(F446-L446)</f>
        <v>0</v>
      </c>
      <c r="N446" s="6" t="n">
        <f aca="false">INT(E446/Assumptions!$B$12)</f>
        <v>2</v>
      </c>
    </row>
    <row r="447" customFormat="false" ht="15" hidden="false" customHeight="false" outlineLevel="0" collapsed="false">
      <c r="A447" s="2" t="s">
        <v>490</v>
      </c>
      <c r="B447" s="2" t="s">
        <v>47</v>
      </c>
      <c r="C447" s="2" t="s">
        <v>20</v>
      </c>
      <c r="D447" s="2" t="s">
        <v>16</v>
      </c>
      <c r="E447" s="5" t="n">
        <v>409000</v>
      </c>
      <c r="F447" s="5" t="n">
        <v>224950</v>
      </c>
      <c r="G447" s="5" t="n">
        <v>134970</v>
      </c>
      <c r="H447" s="5" t="n">
        <f aca="false">TRUE()</f>
        <v>1</v>
      </c>
      <c r="I447" s="6" t="n">
        <f aca="false">VLOOKUP(D447,Assumptions!$H$4:$I$5,2,FALSE())</f>
        <v>1.15</v>
      </c>
      <c r="J447" s="6" t="n">
        <f aca="false">MATCH(C447,Assumptions!$K$4:$K$6,0)</f>
        <v>3</v>
      </c>
      <c r="K447" s="6" t="n">
        <f aca="false">INDEX(Assumptions!$L$4:$L$6,J447)</f>
        <v>0.55</v>
      </c>
      <c r="L447" s="6" t="n">
        <f aca="false">IF(H447,ROUND(E447*K447,2),Assumptions!$B$11)</f>
        <v>224950</v>
      </c>
      <c r="M447" s="7" t="n">
        <f aca="false">ABS(F447-L447)</f>
        <v>0</v>
      </c>
      <c r="N447" s="6" t="n">
        <f aca="false">INT(E447/Assumptions!$B$12)</f>
        <v>4</v>
      </c>
    </row>
    <row r="448" customFormat="false" ht="15" hidden="false" customHeight="false" outlineLevel="0" collapsed="false">
      <c r="A448" s="2" t="s">
        <v>491</v>
      </c>
      <c r="B448" s="2" t="s">
        <v>47</v>
      </c>
      <c r="C448" s="2" t="s">
        <v>13</v>
      </c>
      <c r="D448" s="2" t="s">
        <v>12</v>
      </c>
      <c r="E448" s="5" t="n">
        <v>207000</v>
      </c>
      <c r="F448" s="5" t="n">
        <v>128340</v>
      </c>
      <c r="G448" s="5" t="n">
        <v>77004</v>
      </c>
      <c r="H448" s="5" t="n">
        <f aca="false">TRUE()</f>
        <v>1</v>
      </c>
      <c r="I448" s="6" t="n">
        <f aca="false">VLOOKUP(D448,Assumptions!$H$4:$I$5,2,FALSE())</f>
        <v>1</v>
      </c>
      <c r="J448" s="6" t="n">
        <f aca="false">MATCH(C448,Assumptions!$K$4:$K$6,0)</f>
        <v>1</v>
      </c>
      <c r="K448" s="6" t="n">
        <f aca="false">INDEX(Assumptions!$L$4:$L$6,J448)</f>
        <v>0.62</v>
      </c>
      <c r="L448" s="6" t="n">
        <f aca="false">IF(H448,ROUND(E448*K448,2),Assumptions!$B$11)</f>
        <v>128340</v>
      </c>
      <c r="M448" s="7" t="n">
        <f aca="false">ABS(F448-L448)</f>
        <v>0</v>
      </c>
      <c r="N448" s="6" t="n">
        <f aca="false">INT(E448/Assumptions!$B$12)</f>
        <v>2</v>
      </c>
    </row>
    <row r="449" customFormat="false" ht="15" hidden="false" customHeight="false" outlineLevel="0" collapsed="false">
      <c r="A449" s="2" t="s">
        <v>492</v>
      </c>
      <c r="B449" s="2" t="s">
        <v>47</v>
      </c>
      <c r="C449" s="2" t="s">
        <v>17</v>
      </c>
      <c r="D449" s="2" t="s">
        <v>12</v>
      </c>
      <c r="E449" s="5" t="n">
        <v>467000</v>
      </c>
      <c r="F449" s="5" t="n">
        <v>326900</v>
      </c>
      <c r="G449" s="5" t="n">
        <v>196140</v>
      </c>
      <c r="H449" s="5" t="n">
        <f aca="false">TRUE()</f>
        <v>1</v>
      </c>
      <c r="I449" s="6" t="n">
        <f aca="false">VLOOKUP(D449,Assumptions!$H$4:$I$5,2,FALSE())</f>
        <v>1</v>
      </c>
      <c r="J449" s="6" t="n">
        <f aca="false">MATCH(C449,Assumptions!$K$4:$K$6,0)</f>
        <v>2</v>
      </c>
      <c r="K449" s="6" t="n">
        <f aca="false">INDEX(Assumptions!$L$4:$L$6,J449)</f>
        <v>0.7</v>
      </c>
      <c r="L449" s="6" t="n">
        <f aca="false">IF(H449,ROUND(E449*K449,2),Assumptions!$B$11)</f>
        <v>326900</v>
      </c>
      <c r="M449" s="7" t="n">
        <f aca="false">ABS(F449-L449)</f>
        <v>0</v>
      </c>
      <c r="N449" s="6" t="n">
        <f aca="false">INT(E449/Assumptions!$B$12)</f>
        <v>4</v>
      </c>
    </row>
    <row r="450" customFormat="false" ht="15" hidden="false" customHeight="false" outlineLevel="0" collapsed="false">
      <c r="A450" s="2" t="s">
        <v>493</v>
      </c>
      <c r="B450" s="2" t="s">
        <v>47</v>
      </c>
      <c r="C450" s="2" t="s">
        <v>20</v>
      </c>
      <c r="D450" s="2" t="s">
        <v>12</v>
      </c>
      <c r="E450" s="5" t="n">
        <v>275000</v>
      </c>
      <c r="F450" s="5" t="n">
        <v>151250</v>
      </c>
      <c r="G450" s="5" t="n">
        <v>90750</v>
      </c>
      <c r="H450" s="5" t="n">
        <f aca="false">TRUE()</f>
        <v>1</v>
      </c>
      <c r="I450" s="6" t="n">
        <f aca="false">VLOOKUP(D450,Assumptions!$H$4:$I$5,2,FALSE())</f>
        <v>1</v>
      </c>
      <c r="J450" s="6" t="n">
        <f aca="false">MATCH(C450,Assumptions!$K$4:$K$6,0)</f>
        <v>3</v>
      </c>
      <c r="K450" s="6" t="n">
        <f aca="false">INDEX(Assumptions!$L$4:$L$6,J450)</f>
        <v>0.55</v>
      </c>
      <c r="L450" s="6" t="n">
        <f aca="false">IF(H450,ROUND(E450*K450,2),Assumptions!$B$11)</f>
        <v>151250</v>
      </c>
      <c r="M450" s="7" t="n">
        <f aca="false">ABS(F450-L450)</f>
        <v>0</v>
      </c>
      <c r="N450" s="6" t="n">
        <f aca="false">INT(E450/Assumptions!$B$12)</f>
        <v>2</v>
      </c>
    </row>
    <row r="451" customFormat="false" ht="15" hidden="false" customHeight="false" outlineLevel="0" collapsed="false">
      <c r="A451" s="2" t="s">
        <v>494</v>
      </c>
      <c r="B451" s="2" t="s">
        <v>47</v>
      </c>
      <c r="C451" s="2" t="s">
        <v>13</v>
      </c>
      <c r="D451" s="2" t="s">
        <v>16</v>
      </c>
      <c r="E451" s="5" t="n">
        <v>204000</v>
      </c>
      <c r="F451" s="5" t="n">
        <v>126480</v>
      </c>
      <c r="G451" s="5" t="n">
        <v>75888</v>
      </c>
      <c r="H451" s="5" t="n">
        <f aca="false">TRUE()</f>
        <v>1</v>
      </c>
      <c r="I451" s="6" t="n">
        <f aca="false">VLOOKUP(D451,Assumptions!$H$4:$I$5,2,FALSE())</f>
        <v>1.15</v>
      </c>
      <c r="J451" s="6" t="n">
        <f aca="false">MATCH(C451,Assumptions!$K$4:$K$6,0)</f>
        <v>1</v>
      </c>
      <c r="K451" s="6" t="n">
        <f aca="false">INDEX(Assumptions!$L$4:$L$6,J451)</f>
        <v>0.62</v>
      </c>
      <c r="L451" s="6" t="n">
        <f aca="false">IF(H451,ROUND(E451*K451,2),Assumptions!$B$11)</f>
        <v>126480</v>
      </c>
      <c r="M451" s="7" t="n">
        <f aca="false">ABS(F451-L451)</f>
        <v>0</v>
      </c>
      <c r="N451" s="6" t="n">
        <f aca="false">INT(E451/Assumptions!$B$12)</f>
        <v>2</v>
      </c>
    </row>
    <row r="452" customFormat="false" ht="15" hidden="false" customHeight="false" outlineLevel="0" collapsed="false">
      <c r="A452" s="2" t="s">
        <v>495</v>
      </c>
      <c r="B452" s="2" t="s">
        <v>47</v>
      </c>
      <c r="C452" s="2" t="s">
        <v>17</v>
      </c>
      <c r="D452" s="2" t="s">
        <v>12</v>
      </c>
      <c r="E452" s="5" t="n">
        <v>451000</v>
      </c>
      <c r="F452" s="5" t="n">
        <v>315700</v>
      </c>
      <c r="G452" s="5" t="n">
        <v>189420</v>
      </c>
      <c r="H452" s="5" t="n">
        <f aca="false">TRUE()</f>
        <v>1</v>
      </c>
      <c r="I452" s="6" t="n">
        <f aca="false">VLOOKUP(D452,Assumptions!$H$4:$I$5,2,FALSE())</f>
        <v>1</v>
      </c>
      <c r="J452" s="6" t="n">
        <f aca="false">MATCH(C452,Assumptions!$K$4:$K$6,0)</f>
        <v>2</v>
      </c>
      <c r="K452" s="6" t="n">
        <f aca="false">INDEX(Assumptions!$L$4:$L$6,J452)</f>
        <v>0.7</v>
      </c>
      <c r="L452" s="6" t="n">
        <f aca="false">IF(H452,ROUND(E452*K452,2),Assumptions!$B$11)</f>
        <v>315700</v>
      </c>
      <c r="M452" s="7" t="n">
        <f aca="false">ABS(F452-L452)</f>
        <v>0</v>
      </c>
      <c r="N452" s="6" t="n">
        <f aca="false">INT(E452/Assumptions!$B$12)</f>
        <v>4</v>
      </c>
    </row>
    <row r="453" customFormat="false" ht="15" hidden="false" customHeight="false" outlineLevel="0" collapsed="false">
      <c r="A453" s="2" t="s">
        <v>496</v>
      </c>
      <c r="B453" s="2" t="s">
        <v>47</v>
      </c>
      <c r="C453" s="2" t="s">
        <v>20</v>
      </c>
      <c r="D453" s="2" t="s">
        <v>12</v>
      </c>
      <c r="E453" s="5" t="n">
        <v>424000</v>
      </c>
      <c r="F453" s="5" t="n">
        <v>233200</v>
      </c>
      <c r="G453" s="5" t="n">
        <v>139920</v>
      </c>
      <c r="H453" s="5" t="n">
        <f aca="false">TRUE()</f>
        <v>1</v>
      </c>
      <c r="I453" s="6" t="n">
        <f aca="false">VLOOKUP(D453,Assumptions!$H$4:$I$5,2,FALSE())</f>
        <v>1</v>
      </c>
      <c r="J453" s="6" t="n">
        <f aca="false">MATCH(C453,Assumptions!$K$4:$K$6,0)</f>
        <v>3</v>
      </c>
      <c r="K453" s="6" t="n">
        <f aca="false">INDEX(Assumptions!$L$4:$L$6,J453)</f>
        <v>0.55</v>
      </c>
      <c r="L453" s="6" t="n">
        <f aca="false">IF(H453,ROUND(E453*K453,2),Assumptions!$B$11)</f>
        <v>233200</v>
      </c>
      <c r="M453" s="7" t="n">
        <f aca="false">ABS(F453-L453)</f>
        <v>0</v>
      </c>
      <c r="N453" s="6" t="n">
        <f aca="false">INT(E453/Assumptions!$B$12)</f>
        <v>4</v>
      </c>
    </row>
    <row r="454" customFormat="false" ht="15" hidden="false" customHeight="false" outlineLevel="0" collapsed="false">
      <c r="A454" s="2" t="s">
        <v>497</v>
      </c>
      <c r="B454" s="2" t="s">
        <v>47</v>
      </c>
      <c r="C454" s="2" t="s">
        <v>13</v>
      </c>
      <c r="D454" s="2" t="s">
        <v>12</v>
      </c>
      <c r="E454" s="5" t="n">
        <v>235000</v>
      </c>
      <c r="F454" s="5" t="n">
        <v>145700</v>
      </c>
      <c r="G454" s="5" t="n">
        <v>87420</v>
      </c>
      <c r="H454" s="5" t="n">
        <f aca="false">TRUE()</f>
        <v>1</v>
      </c>
      <c r="I454" s="6" t="n">
        <f aca="false">VLOOKUP(D454,Assumptions!$H$4:$I$5,2,FALSE())</f>
        <v>1</v>
      </c>
      <c r="J454" s="6" t="n">
        <f aca="false">MATCH(C454,Assumptions!$K$4:$K$6,0)</f>
        <v>1</v>
      </c>
      <c r="K454" s="6" t="n">
        <f aca="false">INDEX(Assumptions!$L$4:$L$6,J454)</f>
        <v>0.62</v>
      </c>
      <c r="L454" s="6" t="n">
        <f aca="false">IF(H454,ROUND(E454*K454,2),Assumptions!$B$11)</f>
        <v>145700</v>
      </c>
      <c r="M454" s="7" t="n">
        <f aca="false">ABS(F454-L454)</f>
        <v>0</v>
      </c>
      <c r="N454" s="6" t="n">
        <f aca="false">INT(E454/Assumptions!$B$12)</f>
        <v>2</v>
      </c>
    </row>
    <row r="455" customFormat="false" ht="15" hidden="false" customHeight="false" outlineLevel="0" collapsed="false">
      <c r="A455" s="2" t="s">
        <v>498</v>
      </c>
      <c r="B455" s="2" t="s">
        <v>47</v>
      </c>
      <c r="C455" s="2" t="s">
        <v>17</v>
      </c>
      <c r="D455" s="2" t="s">
        <v>16</v>
      </c>
      <c r="E455" s="5" t="n">
        <v>358000</v>
      </c>
      <c r="F455" s="5" t="n">
        <v>250600</v>
      </c>
      <c r="G455" s="5" t="n">
        <v>150360</v>
      </c>
      <c r="H455" s="5" t="n">
        <f aca="false">TRUE()</f>
        <v>1</v>
      </c>
      <c r="I455" s="6" t="n">
        <f aca="false">VLOOKUP(D455,Assumptions!$H$4:$I$5,2,FALSE())</f>
        <v>1.15</v>
      </c>
      <c r="J455" s="6" t="n">
        <f aca="false">MATCH(C455,Assumptions!$K$4:$K$6,0)</f>
        <v>2</v>
      </c>
      <c r="K455" s="6" t="n">
        <f aca="false">INDEX(Assumptions!$L$4:$L$6,J455)</f>
        <v>0.7</v>
      </c>
      <c r="L455" s="6" t="n">
        <f aca="false">IF(H455,ROUND(E455*K455,2),Assumptions!$B$11)</f>
        <v>250600</v>
      </c>
      <c r="M455" s="7" t="n">
        <f aca="false">ABS(F455-L455)</f>
        <v>0</v>
      </c>
      <c r="N455" s="6" t="n">
        <f aca="false">INT(E455/Assumptions!$B$12)</f>
        <v>3</v>
      </c>
    </row>
    <row r="456" customFormat="false" ht="15" hidden="false" customHeight="false" outlineLevel="0" collapsed="false">
      <c r="A456" s="2" t="s">
        <v>499</v>
      </c>
      <c r="B456" s="2" t="s">
        <v>47</v>
      </c>
      <c r="C456" s="2" t="s">
        <v>20</v>
      </c>
      <c r="D456" s="2" t="s">
        <v>12</v>
      </c>
      <c r="E456" s="5" t="n">
        <v>350000</v>
      </c>
      <c r="F456" s="5" t="n">
        <v>192500</v>
      </c>
      <c r="G456" s="5" t="n">
        <v>115500</v>
      </c>
      <c r="H456" s="5" t="n">
        <f aca="false">TRUE()</f>
        <v>1</v>
      </c>
      <c r="I456" s="6" t="n">
        <f aca="false">VLOOKUP(D456,Assumptions!$H$4:$I$5,2,FALSE())</f>
        <v>1</v>
      </c>
      <c r="J456" s="6" t="n">
        <f aca="false">MATCH(C456,Assumptions!$K$4:$K$6,0)</f>
        <v>3</v>
      </c>
      <c r="K456" s="6" t="n">
        <f aca="false">INDEX(Assumptions!$L$4:$L$6,J456)</f>
        <v>0.55</v>
      </c>
      <c r="L456" s="6" t="n">
        <f aca="false">IF(H456,ROUND(E456*K456,2),Assumptions!$B$11)</f>
        <v>192500</v>
      </c>
      <c r="M456" s="7" t="n">
        <f aca="false">ABS(F456-L456)</f>
        <v>0</v>
      </c>
      <c r="N456" s="6" t="n">
        <f aca="false">INT(E456/Assumptions!$B$12)</f>
        <v>3</v>
      </c>
    </row>
    <row r="457" customFormat="false" ht="15" hidden="false" customHeight="false" outlineLevel="0" collapsed="false">
      <c r="A457" s="2" t="s">
        <v>500</v>
      </c>
      <c r="B457" s="2" t="s">
        <v>47</v>
      </c>
      <c r="C457" s="2" t="s">
        <v>13</v>
      </c>
      <c r="D457" s="2" t="s">
        <v>12</v>
      </c>
      <c r="E457" s="5" t="n">
        <v>228000</v>
      </c>
      <c r="F457" s="5" t="n">
        <v>141360</v>
      </c>
      <c r="G457" s="5" t="n">
        <v>84816</v>
      </c>
      <c r="H457" s="5" t="n">
        <f aca="false">TRUE()</f>
        <v>1</v>
      </c>
      <c r="I457" s="6" t="n">
        <f aca="false">VLOOKUP(D457,Assumptions!$H$4:$I$5,2,FALSE())</f>
        <v>1</v>
      </c>
      <c r="J457" s="6" t="n">
        <f aca="false">MATCH(C457,Assumptions!$K$4:$K$6,0)</f>
        <v>1</v>
      </c>
      <c r="K457" s="6" t="n">
        <f aca="false">INDEX(Assumptions!$L$4:$L$6,J457)</f>
        <v>0.62</v>
      </c>
      <c r="L457" s="6" t="n">
        <f aca="false">IF(H457,ROUND(E457*K457,2),Assumptions!$B$11)</f>
        <v>141360</v>
      </c>
      <c r="M457" s="7" t="n">
        <f aca="false">ABS(F457-L457)</f>
        <v>0</v>
      </c>
      <c r="N457" s="6" t="n">
        <f aca="false">INT(E457/Assumptions!$B$12)</f>
        <v>2</v>
      </c>
    </row>
    <row r="458" customFormat="false" ht="15" hidden="false" customHeight="false" outlineLevel="0" collapsed="false">
      <c r="A458" s="2" t="s">
        <v>501</v>
      </c>
      <c r="B458" s="2" t="s">
        <v>47</v>
      </c>
      <c r="C458" s="2" t="s">
        <v>17</v>
      </c>
      <c r="D458" s="2" t="s">
        <v>12</v>
      </c>
      <c r="E458" s="5" t="n">
        <v>126000</v>
      </c>
      <c r="F458" s="5" t="n">
        <v>88200</v>
      </c>
      <c r="G458" s="5" t="n">
        <v>52920</v>
      </c>
      <c r="H458" s="5" t="n">
        <f aca="false">TRUE()</f>
        <v>1</v>
      </c>
      <c r="I458" s="6" t="n">
        <f aca="false">VLOOKUP(D458,Assumptions!$H$4:$I$5,2,FALSE())</f>
        <v>1</v>
      </c>
      <c r="J458" s="6" t="n">
        <f aca="false">MATCH(C458,Assumptions!$K$4:$K$6,0)</f>
        <v>2</v>
      </c>
      <c r="K458" s="6" t="n">
        <f aca="false">INDEX(Assumptions!$L$4:$L$6,J458)</f>
        <v>0.7</v>
      </c>
      <c r="L458" s="6" t="n">
        <f aca="false">IF(H458,ROUND(E458*K458,2),Assumptions!$B$11)</f>
        <v>88200</v>
      </c>
      <c r="M458" s="7" t="n">
        <f aca="false">ABS(F458-L458)</f>
        <v>0</v>
      </c>
      <c r="N458" s="6" t="n">
        <f aca="false">INT(E458/Assumptions!$B$12)</f>
        <v>1</v>
      </c>
    </row>
    <row r="459" customFormat="false" ht="15" hidden="false" customHeight="false" outlineLevel="0" collapsed="false">
      <c r="A459" s="2" t="s">
        <v>502</v>
      </c>
      <c r="B459" s="2" t="s">
        <v>47</v>
      </c>
      <c r="C459" s="2" t="s">
        <v>20</v>
      </c>
      <c r="D459" s="2" t="s">
        <v>16</v>
      </c>
      <c r="E459" s="5" t="n">
        <v>147000</v>
      </c>
      <c r="F459" s="5" t="n">
        <v>80850</v>
      </c>
      <c r="G459" s="5" t="n">
        <v>48510</v>
      </c>
      <c r="H459" s="5" t="n">
        <f aca="false">TRUE()</f>
        <v>1</v>
      </c>
      <c r="I459" s="6" t="n">
        <f aca="false">VLOOKUP(D459,Assumptions!$H$4:$I$5,2,FALSE())</f>
        <v>1.15</v>
      </c>
      <c r="J459" s="6" t="n">
        <f aca="false">MATCH(C459,Assumptions!$K$4:$K$6,0)</f>
        <v>3</v>
      </c>
      <c r="K459" s="6" t="n">
        <f aca="false">INDEX(Assumptions!$L$4:$L$6,J459)</f>
        <v>0.55</v>
      </c>
      <c r="L459" s="6" t="n">
        <f aca="false">IF(H459,ROUND(E459*K459,2),Assumptions!$B$11)</f>
        <v>80850</v>
      </c>
      <c r="M459" s="7" t="n">
        <f aca="false">ABS(F459-L459)</f>
        <v>0</v>
      </c>
      <c r="N459" s="6" t="n">
        <f aca="false">INT(E459/Assumptions!$B$12)</f>
        <v>1</v>
      </c>
    </row>
    <row r="460" customFormat="false" ht="15" hidden="false" customHeight="false" outlineLevel="0" collapsed="false">
      <c r="A460" s="2" t="s">
        <v>503</v>
      </c>
      <c r="B460" s="2" t="s">
        <v>47</v>
      </c>
      <c r="C460" s="2" t="s">
        <v>13</v>
      </c>
      <c r="D460" s="2" t="s">
        <v>12</v>
      </c>
      <c r="E460" s="5" t="n">
        <v>424000</v>
      </c>
      <c r="F460" s="5" t="n">
        <v>262880</v>
      </c>
      <c r="G460" s="5" t="n">
        <v>157728</v>
      </c>
      <c r="H460" s="5" t="n">
        <f aca="false">TRUE()</f>
        <v>1</v>
      </c>
      <c r="I460" s="6" t="n">
        <f aca="false">VLOOKUP(D460,Assumptions!$H$4:$I$5,2,FALSE())</f>
        <v>1</v>
      </c>
      <c r="J460" s="6" t="n">
        <f aca="false">MATCH(C460,Assumptions!$K$4:$K$6,0)</f>
        <v>1</v>
      </c>
      <c r="K460" s="6" t="n">
        <f aca="false">INDEX(Assumptions!$L$4:$L$6,J460)</f>
        <v>0.62</v>
      </c>
      <c r="L460" s="6" t="n">
        <f aca="false">IF(H460,ROUND(E460*K460,2),Assumptions!$B$11)</f>
        <v>262880</v>
      </c>
      <c r="M460" s="7" t="n">
        <f aca="false">ABS(F460-L460)</f>
        <v>0</v>
      </c>
      <c r="N460" s="6" t="n">
        <f aca="false">INT(E460/Assumptions!$B$12)</f>
        <v>4</v>
      </c>
    </row>
    <row r="461" customFormat="false" ht="15" hidden="false" customHeight="false" outlineLevel="0" collapsed="false">
      <c r="A461" s="2" t="s">
        <v>504</v>
      </c>
      <c r="B461" s="2" t="s">
        <v>47</v>
      </c>
      <c r="C461" s="2" t="s">
        <v>17</v>
      </c>
      <c r="D461" s="2" t="s">
        <v>12</v>
      </c>
      <c r="E461" s="5" t="n">
        <v>316000</v>
      </c>
      <c r="F461" s="5" t="n">
        <v>221200</v>
      </c>
      <c r="G461" s="5" t="n">
        <v>132720</v>
      </c>
      <c r="H461" s="5" t="n">
        <f aca="false">TRUE()</f>
        <v>1</v>
      </c>
      <c r="I461" s="6" t="n">
        <f aca="false">VLOOKUP(D461,Assumptions!$H$4:$I$5,2,FALSE())</f>
        <v>1</v>
      </c>
      <c r="J461" s="6" t="n">
        <f aca="false">MATCH(C461,Assumptions!$K$4:$K$6,0)</f>
        <v>2</v>
      </c>
      <c r="K461" s="6" t="n">
        <f aca="false">INDEX(Assumptions!$L$4:$L$6,J461)</f>
        <v>0.7</v>
      </c>
      <c r="L461" s="6" t="n">
        <f aca="false">IF(H461,ROUND(E461*K461,2),Assumptions!$B$11)</f>
        <v>221200</v>
      </c>
      <c r="M461" s="7" t="n">
        <f aca="false">ABS(F461-L461)</f>
        <v>0</v>
      </c>
      <c r="N461" s="6" t="n">
        <f aca="false">INT(E461/Assumptions!$B$12)</f>
        <v>3</v>
      </c>
    </row>
    <row r="462" customFormat="false" ht="15" hidden="false" customHeight="false" outlineLevel="0" collapsed="false">
      <c r="A462" s="2" t="s">
        <v>505</v>
      </c>
      <c r="B462" s="2" t="s">
        <v>47</v>
      </c>
      <c r="C462" s="2" t="s">
        <v>20</v>
      </c>
      <c r="D462" s="2" t="s">
        <v>12</v>
      </c>
      <c r="E462" s="5" t="n">
        <v>241000</v>
      </c>
      <c r="F462" s="5" t="n">
        <v>132550</v>
      </c>
      <c r="G462" s="5" t="n">
        <v>79530</v>
      </c>
      <c r="H462" s="5" t="n">
        <f aca="false">FALSE()</f>
        <v>0</v>
      </c>
      <c r="I462" s="6" t="n">
        <f aca="false">VLOOKUP(D462,Assumptions!$H$4:$I$5,2,FALSE())</f>
        <v>1</v>
      </c>
      <c r="J462" s="6" t="n">
        <f aca="false">MATCH(C462,Assumptions!$K$4:$K$6,0)</f>
        <v>3</v>
      </c>
      <c r="K462" s="6" t="n">
        <f aca="false">INDEX(Assumptions!$L$4:$L$6,J462)</f>
        <v>0.55</v>
      </c>
      <c r="L462" s="6" t="n">
        <f aca="false">IF(H462,ROUND(E462*K462,2),Assumptions!$B$11)</f>
        <v>0</v>
      </c>
      <c r="M462" s="7" t="n">
        <f aca="false">ABS(F462-L462)</f>
        <v>132550</v>
      </c>
      <c r="N462" s="6" t="n">
        <f aca="false">INT(E462/Assumptions!$B$12)</f>
        <v>2</v>
      </c>
    </row>
    <row r="463" customFormat="false" ht="15" hidden="false" customHeight="false" outlineLevel="0" collapsed="false">
      <c r="A463" s="2" t="s">
        <v>506</v>
      </c>
      <c r="B463" s="2" t="s">
        <v>47</v>
      </c>
      <c r="C463" s="2" t="s">
        <v>13</v>
      </c>
      <c r="D463" s="2" t="s">
        <v>16</v>
      </c>
      <c r="E463" s="5" t="n">
        <v>122000</v>
      </c>
      <c r="F463" s="5" t="n">
        <v>75640</v>
      </c>
      <c r="G463" s="5" t="n">
        <v>45384</v>
      </c>
      <c r="H463" s="5" t="n">
        <f aca="false">TRUE()</f>
        <v>1</v>
      </c>
      <c r="I463" s="6" t="n">
        <f aca="false">VLOOKUP(D463,Assumptions!$H$4:$I$5,2,FALSE())</f>
        <v>1.15</v>
      </c>
      <c r="J463" s="6" t="n">
        <f aca="false">MATCH(C463,Assumptions!$K$4:$K$6,0)</f>
        <v>1</v>
      </c>
      <c r="K463" s="6" t="n">
        <f aca="false">INDEX(Assumptions!$L$4:$L$6,J463)</f>
        <v>0.62</v>
      </c>
      <c r="L463" s="6" t="n">
        <f aca="false">IF(H463,ROUND(E463*K463,2),Assumptions!$B$11)</f>
        <v>75640</v>
      </c>
      <c r="M463" s="7" t="n">
        <f aca="false">ABS(F463-L463)</f>
        <v>0</v>
      </c>
      <c r="N463" s="6" t="n">
        <f aca="false">INT(E463/Assumptions!$B$12)</f>
        <v>1</v>
      </c>
    </row>
    <row r="464" customFormat="false" ht="15" hidden="false" customHeight="false" outlineLevel="0" collapsed="false">
      <c r="A464" s="2" t="s">
        <v>507</v>
      </c>
      <c r="B464" s="2" t="s">
        <v>47</v>
      </c>
      <c r="C464" s="2" t="s">
        <v>17</v>
      </c>
      <c r="D464" s="2" t="s">
        <v>12</v>
      </c>
      <c r="E464" s="5" t="n">
        <v>101000</v>
      </c>
      <c r="F464" s="5" t="n">
        <v>70700</v>
      </c>
      <c r="G464" s="5" t="n">
        <v>42420</v>
      </c>
      <c r="H464" s="5" t="n">
        <f aca="false">TRUE()</f>
        <v>1</v>
      </c>
      <c r="I464" s="6" t="n">
        <f aca="false">VLOOKUP(D464,Assumptions!$H$4:$I$5,2,FALSE())</f>
        <v>1</v>
      </c>
      <c r="J464" s="6" t="n">
        <f aca="false">MATCH(C464,Assumptions!$K$4:$K$6,0)</f>
        <v>2</v>
      </c>
      <c r="K464" s="6" t="n">
        <f aca="false">INDEX(Assumptions!$L$4:$L$6,J464)</f>
        <v>0.7</v>
      </c>
      <c r="L464" s="6" t="n">
        <f aca="false">IF(H464,ROUND(E464*K464,2),Assumptions!$B$11)</f>
        <v>70700</v>
      </c>
      <c r="M464" s="7" t="n">
        <f aca="false">ABS(F464-L464)</f>
        <v>0</v>
      </c>
      <c r="N464" s="6" t="n">
        <f aca="false">INT(E464/Assumptions!$B$12)</f>
        <v>1</v>
      </c>
    </row>
    <row r="465" customFormat="false" ht="15" hidden="false" customHeight="false" outlineLevel="0" collapsed="false">
      <c r="A465" s="2" t="s">
        <v>508</v>
      </c>
      <c r="B465" s="2" t="s">
        <v>47</v>
      </c>
      <c r="C465" s="2" t="s">
        <v>20</v>
      </c>
      <c r="D465" s="2" t="s">
        <v>12</v>
      </c>
      <c r="E465" s="5" t="n">
        <v>270000</v>
      </c>
      <c r="F465" s="5" t="n">
        <v>148500</v>
      </c>
      <c r="G465" s="5" t="n">
        <v>89100</v>
      </c>
      <c r="H465" s="5" t="n">
        <f aca="false">TRUE()</f>
        <v>1</v>
      </c>
      <c r="I465" s="6" t="n">
        <f aca="false">VLOOKUP(D465,Assumptions!$H$4:$I$5,2,FALSE())</f>
        <v>1</v>
      </c>
      <c r="J465" s="6" t="n">
        <f aca="false">MATCH(C465,Assumptions!$K$4:$K$6,0)</f>
        <v>3</v>
      </c>
      <c r="K465" s="6" t="n">
        <f aca="false">INDEX(Assumptions!$L$4:$L$6,J465)</f>
        <v>0.55</v>
      </c>
      <c r="L465" s="6" t="n">
        <f aca="false">IF(H465,ROUND(E465*K465,2),Assumptions!$B$11)</f>
        <v>148500</v>
      </c>
      <c r="M465" s="7" t="n">
        <f aca="false">ABS(F465-L465)</f>
        <v>0</v>
      </c>
      <c r="N465" s="6" t="n">
        <f aca="false">INT(E465/Assumptions!$B$12)</f>
        <v>2</v>
      </c>
    </row>
    <row r="466" customFormat="false" ht="15" hidden="false" customHeight="false" outlineLevel="0" collapsed="false">
      <c r="A466" s="2" t="s">
        <v>509</v>
      </c>
      <c r="B466" s="2" t="s">
        <v>47</v>
      </c>
      <c r="C466" s="2" t="s">
        <v>13</v>
      </c>
      <c r="D466" s="2" t="s">
        <v>12</v>
      </c>
      <c r="E466" s="5" t="n">
        <v>494000</v>
      </c>
      <c r="F466" s="5" t="n">
        <v>306280</v>
      </c>
      <c r="G466" s="5" t="n">
        <v>183768</v>
      </c>
      <c r="H466" s="5" t="n">
        <f aca="false">TRUE()</f>
        <v>1</v>
      </c>
      <c r="I466" s="6" t="n">
        <f aca="false">VLOOKUP(D466,Assumptions!$H$4:$I$5,2,FALSE())</f>
        <v>1</v>
      </c>
      <c r="J466" s="6" t="n">
        <f aca="false">MATCH(C466,Assumptions!$K$4:$K$6,0)</f>
        <v>1</v>
      </c>
      <c r="K466" s="6" t="n">
        <f aca="false">INDEX(Assumptions!$L$4:$L$6,J466)</f>
        <v>0.62</v>
      </c>
      <c r="L466" s="6" t="n">
        <f aca="false">IF(H466,ROUND(E466*K466,2),Assumptions!$B$11)</f>
        <v>306280</v>
      </c>
      <c r="M466" s="7" t="n">
        <f aca="false">ABS(F466-L466)</f>
        <v>0</v>
      </c>
      <c r="N466" s="6" t="n">
        <f aca="false">INT(E466/Assumptions!$B$12)</f>
        <v>4</v>
      </c>
    </row>
    <row r="467" customFormat="false" ht="15" hidden="false" customHeight="false" outlineLevel="0" collapsed="false">
      <c r="A467" s="2" t="s">
        <v>510</v>
      </c>
      <c r="B467" s="2" t="s">
        <v>47</v>
      </c>
      <c r="C467" s="2" t="s">
        <v>17</v>
      </c>
      <c r="D467" s="2" t="s">
        <v>16</v>
      </c>
      <c r="E467" s="5" t="n">
        <v>166000</v>
      </c>
      <c r="F467" s="5" t="n">
        <v>116200</v>
      </c>
      <c r="G467" s="5" t="n">
        <v>69720</v>
      </c>
      <c r="H467" s="5" t="n">
        <f aca="false">TRUE()</f>
        <v>1</v>
      </c>
      <c r="I467" s="6" t="n">
        <f aca="false">VLOOKUP(D467,Assumptions!$H$4:$I$5,2,FALSE())</f>
        <v>1.15</v>
      </c>
      <c r="J467" s="6" t="n">
        <f aca="false">MATCH(C467,Assumptions!$K$4:$K$6,0)</f>
        <v>2</v>
      </c>
      <c r="K467" s="6" t="n">
        <f aca="false">INDEX(Assumptions!$L$4:$L$6,J467)</f>
        <v>0.7</v>
      </c>
      <c r="L467" s="6" t="n">
        <f aca="false">IF(H467,ROUND(E467*K467,2),Assumptions!$B$11)</f>
        <v>116200</v>
      </c>
      <c r="M467" s="7" t="n">
        <f aca="false">ABS(F467-L467)</f>
        <v>0</v>
      </c>
      <c r="N467" s="6" t="n">
        <f aca="false">INT(E467/Assumptions!$B$12)</f>
        <v>1</v>
      </c>
    </row>
    <row r="468" customFormat="false" ht="15" hidden="false" customHeight="false" outlineLevel="0" collapsed="false">
      <c r="A468" s="2" t="s">
        <v>511</v>
      </c>
      <c r="B468" s="2" t="s">
        <v>47</v>
      </c>
      <c r="C468" s="2" t="s">
        <v>20</v>
      </c>
      <c r="D468" s="2" t="s">
        <v>12</v>
      </c>
      <c r="E468" s="5" t="n">
        <v>426000</v>
      </c>
      <c r="F468" s="5" t="n">
        <v>234300</v>
      </c>
      <c r="G468" s="5" t="n">
        <v>140580</v>
      </c>
      <c r="H468" s="5" t="n">
        <f aca="false">TRUE()</f>
        <v>1</v>
      </c>
      <c r="I468" s="6" t="n">
        <f aca="false">VLOOKUP(D468,Assumptions!$H$4:$I$5,2,FALSE())</f>
        <v>1</v>
      </c>
      <c r="J468" s="6" t="n">
        <f aca="false">MATCH(C468,Assumptions!$K$4:$K$6,0)</f>
        <v>3</v>
      </c>
      <c r="K468" s="6" t="n">
        <f aca="false">INDEX(Assumptions!$L$4:$L$6,J468)</f>
        <v>0.55</v>
      </c>
      <c r="L468" s="6" t="n">
        <f aca="false">IF(H468,ROUND(E468*K468,2),Assumptions!$B$11)</f>
        <v>234300</v>
      </c>
      <c r="M468" s="7" t="n">
        <f aca="false">ABS(F468-L468)</f>
        <v>0</v>
      </c>
      <c r="N468" s="6" t="n">
        <f aca="false">INT(E468/Assumptions!$B$12)</f>
        <v>4</v>
      </c>
    </row>
    <row r="469" customFormat="false" ht="15" hidden="false" customHeight="false" outlineLevel="0" collapsed="false">
      <c r="A469" s="2" t="s">
        <v>512</v>
      </c>
      <c r="B469" s="2" t="s">
        <v>47</v>
      </c>
      <c r="C469" s="2" t="s">
        <v>13</v>
      </c>
      <c r="D469" s="2" t="s">
        <v>12</v>
      </c>
      <c r="E469" s="5" t="n">
        <v>234000</v>
      </c>
      <c r="F469" s="5" t="n">
        <v>145080</v>
      </c>
      <c r="G469" s="5" t="n">
        <v>87048</v>
      </c>
      <c r="H469" s="5" t="n">
        <f aca="false">TRUE()</f>
        <v>1</v>
      </c>
      <c r="I469" s="6" t="n">
        <f aca="false">VLOOKUP(D469,Assumptions!$H$4:$I$5,2,FALSE())</f>
        <v>1</v>
      </c>
      <c r="J469" s="6" t="n">
        <f aca="false">MATCH(C469,Assumptions!$K$4:$K$6,0)</f>
        <v>1</v>
      </c>
      <c r="K469" s="6" t="n">
        <f aca="false">INDEX(Assumptions!$L$4:$L$6,J469)</f>
        <v>0.62</v>
      </c>
      <c r="L469" s="6" t="n">
        <f aca="false">IF(H469,ROUND(E469*K469,2),Assumptions!$B$11)</f>
        <v>145080</v>
      </c>
      <c r="M469" s="7" t="n">
        <f aca="false">ABS(F469-L469)</f>
        <v>0</v>
      </c>
      <c r="N469" s="6" t="n">
        <f aca="false">INT(E469/Assumptions!$B$12)</f>
        <v>2</v>
      </c>
    </row>
    <row r="470" customFormat="false" ht="15" hidden="false" customHeight="false" outlineLevel="0" collapsed="false">
      <c r="A470" s="2" t="s">
        <v>513</v>
      </c>
      <c r="B470" s="2" t="s">
        <v>47</v>
      </c>
      <c r="C470" s="2" t="s">
        <v>17</v>
      </c>
      <c r="D470" s="2" t="s">
        <v>12</v>
      </c>
      <c r="E470" s="5" t="n">
        <v>182000</v>
      </c>
      <c r="F470" s="5" t="n">
        <v>127400</v>
      </c>
      <c r="G470" s="5" t="n">
        <v>76440</v>
      </c>
      <c r="H470" s="5" t="n">
        <f aca="false">TRUE()</f>
        <v>1</v>
      </c>
      <c r="I470" s="6" t="n">
        <f aca="false">VLOOKUP(D470,Assumptions!$H$4:$I$5,2,FALSE())</f>
        <v>1</v>
      </c>
      <c r="J470" s="6" t="n">
        <f aca="false">MATCH(C470,Assumptions!$K$4:$K$6,0)</f>
        <v>2</v>
      </c>
      <c r="K470" s="6" t="n">
        <f aca="false">INDEX(Assumptions!$L$4:$L$6,J470)</f>
        <v>0.7</v>
      </c>
      <c r="L470" s="6" t="n">
        <f aca="false">IF(H470,ROUND(E470*K470,2),Assumptions!$B$11)</f>
        <v>127400</v>
      </c>
      <c r="M470" s="7" t="n">
        <f aca="false">ABS(F470-L470)</f>
        <v>0</v>
      </c>
      <c r="N470" s="6" t="n">
        <f aca="false">INT(E470/Assumptions!$B$12)</f>
        <v>1</v>
      </c>
    </row>
    <row r="471" customFormat="false" ht="15" hidden="false" customHeight="false" outlineLevel="0" collapsed="false">
      <c r="A471" s="2" t="s">
        <v>514</v>
      </c>
      <c r="B471" s="2" t="s">
        <v>47</v>
      </c>
      <c r="C471" s="2" t="s">
        <v>20</v>
      </c>
      <c r="D471" s="2" t="s">
        <v>16</v>
      </c>
      <c r="E471" s="5" t="n">
        <v>479000</v>
      </c>
      <c r="F471" s="5" t="n">
        <v>263450</v>
      </c>
      <c r="G471" s="5" t="n">
        <v>158070</v>
      </c>
      <c r="H471" s="5" t="n">
        <f aca="false">TRUE()</f>
        <v>1</v>
      </c>
      <c r="I471" s="6" t="n">
        <f aca="false">VLOOKUP(D471,Assumptions!$H$4:$I$5,2,FALSE())</f>
        <v>1.15</v>
      </c>
      <c r="J471" s="6" t="n">
        <f aca="false">MATCH(C471,Assumptions!$K$4:$K$6,0)</f>
        <v>3</v>
      </c>
      <c r="K471" s="6" t="n">
        <f aca="false">INDEX(Assumptions!$L$4:$L$6,J471)</f>
        <v>0.55</v>
      </c>
      <c r="L471" s="6" t="n">
        <f aca="false">IF(H471,ROUND(E471*K471,2),Assumptions!$B$11)</f>
        <v>263450</v>
      </c>
      <c r="M471" s="7" t="n">
        <f aca="false">ABS(F471-L471)</f>
        <v>0</v>
      </c>
      <c r="N471" s="6" t="n">
        <f aca="false">INT(E471/Assumptions!$B$12)</f>
        <v>4</v>
      </c>
    </row>
    <row r="472" customFormat="false" ht="15" hidden="false" customHeight="false" outlineLevel="0" collapsed="false">
      <c r="A472" s="2" t="s">
        <v>515</v>
      </c>
      <c r="B472" s="2" t="s">
        <v>47</v>
      </c>
      <c r="C472" s="2" t="s">
        <v>13</v>
      </c>
      <c r="D472" s="2" t="s">
        <v>12</v>
      </c>
      <c r="E472" s="5" t="n">
        <v>326000</v>
      </c>
      <c r="F472" s="5" t="n">
        <v>202120</v>
      </c>
      <c r="G472" s="5" t="n">
        <v>121272</v>
      </c>
      <c r="H472" s="5" t="n">
        <f aca="false">TRUE()</f>
        <v>1</v>
      </c>
      <c r="I472" s="6" t="n">
        <f aca="false">VLOOKUP(D472,Assumptions!$H$4:$I$5,2,FALSE())</f>
        <v>1</v>
      </c>
      <c r="J472" s="6" t="n">
        <f aca="false">MATCH(C472,Assumptions!$K$4:$K$6,0)</f>
        <v>1</v>
      </c>
      <c r="K472" s="6" t="n">
        <f aca="false">INDEX(Assumptions!$L$4:$L$6,J472)</f>
        <v>0.62</v>
      </c>
      <c r="L472" s="6" t="n">
        <f aca="false">IF(H472,ROUND(E472*K472,2),Assumptions!$B$11)</f>
        <v>202120</v>
      </c>
      <c r="M472" s="7" t="n">
        <f aca="false">ABS(F472-L472)</f>
        <v>0</v>
      </c>
      <c r="N472" s="6" t="n">
        <f aca="false">INT(E472/Assumptions!$B$12)</f>
        <v>3</v>
      </c>
    </row>
    <row r="473" customFormat="false" ht="15" hidden="false" customHeight="false" outlineLevel="0" collapsed="false">
      <c r="A473" s="2" t="s">
        <v>516</v>
      </c>
      <c r="B473" s="2" t="s">
        <v>47</v>
      </c>
      <c r="C473" s="2" t="s">
        <v>17</v>
      </c>
      <c r="D473" s="2" t="s">
        <v>12</v>
      </c>
      <c r="E473" s="5" t="n">
        <v>382000</v>
      </c>
      <c r="F473" s="5" t="n">
        <v>267400</v>
      </c>
      <c r="G473" s="5" t="n">
        <v>160440</v>
      </c>
      <c r="H473" s="5" t="n">
        <f aca="false">TRUE()</f>
        <v>1</v>
      </c>
      <c r="I473" s="6" t="n">
        <f aca="false">VLOOKUP(D473,Assumptions!$H$4:$I$5,2,FALSE())</f>
        <v>1</v>
      </c>
      <c r="J473" s="6" t="n">
        <f aca="false">MATCH(C473,Assumptions!$K$4:$K$6,0)</f>
        <v>2</v>
      </c>
      <c r="K473" s="6" t="n">
        <f aca="false">INDEX(Assumptions!$L$4:$L$6,J473)</f>
        <v>0.7</v>
      </c>
      <c r="L473" s="6" t="n">
        <f aca="false">IF(H473,ROUND(E473*K473,2),Assumptions!$B$11)</f>
        <v>267400</v>
      </c>
      <c r="M473" s="7" t="n">
        <f aca="false">ABS(F473-L473)</f>
        <v>0</v>
      </c>
      <c r="N473" s="6" t="n">
        <f aca="false">INT(E473/Assumptions!$B$12)</f>
        <v>3</v>
      </c>
    </row>
    <row r="474" customFormat="false" ht="15" hidden="false" customHeight="false" outlineLevel="0" collapsed="false">
      <c r="A474" s="2" t="s">
        <v>517</v>
      </c>
      <c r="B474" s="2" t="s">
        <v>47</v>
      </c>
      <c r="C474" s="2" t="s">
        <v>20</v>
      </c>
      <c r="D474" s="2" t="s">
        <v>12</v>
      </c>
      <c r="E474" s="5" t="n">
        <v>461000</v>
      </c>
      <c r="F474" s="5" t="n">
        <v>253550</v>
      </c>
      <c r="G474" s="5" t="n">
        <v>152130</v>
      </c>
      <c r="H474" s="5" t="n">
        <f aca="false">TRUE()</f>
        <v>1</v>
      </c>
      <c r="I474" s="6" t="n">
        <f aca="false">VLOOKUP(D474,Assumptions!$H$4:$I$5,2,FALSE())</f>
        <v>1</v>
      </c>
      <c r="J474" s="6" t="n">
        <f aca="false">MATCH(C474,Assumptions!$K$4:$K$6,0)</f>
        <v>3</v>
      </c>
      <c r="K474" s="6" t="n">
        <f aca="false">INDEX(Assumptions!$L$4:$L$6,J474)</f>
        <v>0.55</v>
      </c>
      <c r="L474" s="6" t="n">
        <f aca="false">IF(H474,ROUND(E474*K474,2),Assumptions!$B$11)</f>
        <v>253550</v>
      </c>
      <c r="M474" s="7" t="n">
        <f aca="false">ABS(F474-L474)</f>
        <v>0</v>
      </c>
      <c r="N474" s="6" t="n">
        <f aca="false">INT(E474/Assumptions!$B$12)</f>
        <v>4</v>
      </c>
    </row>
    <row r="475" customFormat="false" ht="15" hidden="false" customHeight="false" outlineLevel="0" collapsed="false">
      <c r="A475" s="2" t="s">
        <v>518</v>
      </c>
      <c r="B475" s="2" t="s">
        <v>47</v>
      </c>
      <c r="C475" s="2" t="s">
        <v>13</v>
      </c>
      <c r="D475" s="2" t="s">
        <v>16</v>
      </c>
      <c r="E475" s="5" t="n">
        <v>318000</v>
      </c>
      <c r="F475" s="5" t="n">
        <v>197160</v>
      </c>
      <c r="G475" s="5" t="n">
        <v>118296</v>
      </c>
      <c r="H475" s="5" t="n">
        <f aca="false">TRUE()</f>
        <v>1</v>
      </c>
      <c r="I475" s="6" t="n">
        <f aca="false">VLOOKUP(D475,Assumptions!$H$4:$I$5,2,FALSE())</f>
        <v>1.15</v>
      </c>
      <c r="J475" s="6" t="n">
        <f aca="false">MATCH(C475,Assumptions!$K$4:$K$6,0)</f>
        <v>1</v>
      </c>
      <c r="K475" s="6" t="n">
        <f aca="false">INDEX(Assumptions!$L$4:$L$6,J475)</f>
        <v>0.62</v>
      </c>
      <c r="L475" s="6" t="n">
        <f aca="false">IF(H475,ROUND(E475*K475,2),Assumptions!$B$11)</f>
        <v>197160</v>
      </c>
      <c r="M475" s="7" t="n">
        <f aca="false">ABS(F475-L475)</f>
        <v>0</v>
      </c>
      <c r="N475" s="6" t="n">
        <f aca="false">INT(E475/Assumptions!$B$12)</f>
        <v>3</v>
      </c>
    </row>
    <row r="476" customFormat="false" ht="15" hidden="false" customHeight="false" outlineLevel="0" collapsed="false">
      <c r="A476" s="2" t="s">
        <v>519</v>
      </c>
      <c r="B476" s="2" t="s">
        <v>47</v>
      </c>
      <c r="C476" s="2" t="s">
        <v>17</v>
      </c>
      <c r="D476" s="2" t="s">
        <v>12</v>
      </c>
      <c r="E476" s="5" t="n">
        <v>387000</v>
      </c>
      <c r="F476" s="5" t="n">
        <v>270900</v>
      </c>
      <c r="G476" s="5" t="n">
        <v>162540</v>
      </c>
      <c r="H476" s="5" t="n">
        <f aca="false">TRUE()</f>
        <v>1</v>
      </c>
      <c r="I476" s="6" t="n">
        <f aca="false">VLOOKUP(D476,Assumptions!$H$4:$I$5,2,FALSE())</f>
        <v>1</v>
      </c>
      <c r="J476" s="6" t="n">
        <f aca="false">MATCH(C476,Assumptions!$K$4:$K$6,0)</f>
        <v>2</v>
      </c>
      <c r="K476" s="6" t="n">
        <f aca="false">INDEX(Assumptions!$L$4:$L$6,J476)</f>
        <v>0.7</v>
      </c>
      <c r="L476" s="6" t="n">
        <f aca="false">IF(H476,ROUND(E476*K476,2),Assumptions!$B$11)</f>
        <v>270900</v>
      </c>
      <c r="M476" s="7" t="n">
        <f aca="false">ABS(F476-L476)</f>
        <v>0</v>
      </c>
      <c r="N476" s="6" t="n">
        <f aca="false">INT(E476/Assumptions!$B$12)</f>
        <v>3</v>
      </c>
    </row>
    <row r="477" customFormat="false" ht="15" hidden="false" customHeight="false" outlineLevel="0" collapsed="false">
      <c r="A477" s="2" t="s">
        <v>520</v>
      </c>
      <c r="B477" s="2" t="s">
        <v>47</v>
      </c>
      <c r="C477" s="2" t="s">
        <v>20</v>
      </c>
      <c r="D477" s="2" t="s">
        <v>12</v>
      </c>
      <c r="E477" s="5" t="n">
        <v>104000</v>
      </c>
      <c r="F477" s="5" t="n">
        <v>57200</v>
      </c>
      <c r="G477" s="5" t="n">
        <v>34320</v>
      </c>
      <c r="H477" s="5" t="n">
        <f aca="false">TRUE()</f>
        <v>1</v>
      </c>
      <c r="I477" s="6" t="n">
        <f aca="false">VLOOKUP(D477,Assumptions!$H$4:$I$5,2,FALSE())</f>
        <v>1</v>
      </c>
      <c r="J477" s="6" t="n">
        <f aca="false">MATCH(C477,Assumptions!$K$4:$K$6,0)</f>
        <v>3</v>
      </c>
      <c r="K477" s="6" t="n">
        <f aca="false">INDEX(Assumptions!$L$4:$L$6,J477)</f>
        <v>0.55</v>
      </c>
      <c r="L477" s="6" t="n">
        <f aca="false">IF(H477,ROUND(E477*K477,2),Assumptions!$B$11)</f>
        <v>57200</v>
      </c>
      <c r="M477" s="7" t="n">
        <f aca="false">ABS(F477-L477)</f>
        <v>0</v>
      </c>
      <c r="N477" s="6" t="n">
        <f aca="false">INT(E477/Assumptions!$B$12)</f>
        <v>1</v>
      </c>
    </row>
    <row r="478" customFormat="false" ht="15" hidden="false" customHeight="false" outlineLevel="0" collapsed="false">
      <c r="A478" s="2" t="s">
        <v>521</v>
      </c>
      <c r="B478" s="2" t="s">
        <v>47</v>
      </c>
      <c r="C478" s="2" t="s">
        <v>13</v>
      </c>
      <c r="D478" s="2" t="s">
        <v>12</v>
      </c>
      <c r="E478" s="5" t="n">
        <v>157000</v>
      </c>
      <c r="F478" s="5" t="n">
        <v>97340</v>
      </c>
      <c r="G478" s="5" t="n">
        <v>58404</v>
      </c>
      <c r="H478" s="5" t="n">
        <f aca="false">TRUE()</f>
        <v>1</v>
      </c>
      <c r="I478" s="6" t="n">
        <f aca="false">VLOOKUP(D478,Assumptions!$H$4:$I$5,2,FALSE())</f>
        <v>1</v>
      </c>
      <c r="J478" s="6" t="n">
        <f aca="false">MATCH(C478,Assumptions!$K$4:$K$6,0)</f>
        <v>1</v>
      </c>
      <c r="K478" s="6" t="n">
        <f aca="false">INDEX(Assumptions!$L$4:$L$6,J478)</f>
        <v>0.62</v>
      </c>
      <c r="L478" s="6" t="n">
        <f aca="false">IF(H478,ROUND(E478*K478,2),Assumptions!$B$11)</f>
        <v>97340</v>
      </c>
      <c r="M478" s="7" t="n">
        <f aca="false">ABS(F478-L478)</f>
        <v>0</v>
      </c>
      <c r="N478" s="6" t="n">
        <f aca="false">INT(E478/Assumptions!$B$12)</f>
        <v>1</v>
      </c>
    </row>
    <row r="479" customFormat="false" ht="15" hidden="false" customHeight="false" outlineLevel="0" collapsed="false">
      <c r="A479" s="2" t="s">
        <v>522</v>
      </c>
      <c r="B479" s="2" t="s">
        <v>47</v>
      </c>
      <c r="C479" s="2" t="s">
        <v>17</v>
      </c>
      <c r="D479" s="2" t="s">
        <v>16</v>
      </c>
      <c r="E479" s="5" t="n">
        <v>138000</v>
      </c>
      <c r="F479" s="5" t="n">
        <v>96600</v>
      </c>
      <c r="G479" s="5" t="n">
        <v>57960</v>
      </c>
      <c r="H479" s="5" t="n">
        <f aca="false">FALSE()</f>
        <v>0</v>
      </c>
      <c r="I479" s="6" t="n">
        <f aca="false">VLOOKUP(D479,Assumptions!$H$4:$I$5,2,FALSE())</f>
        <v>1.15</v>
      </c>
      <c r="J479" s="6" t="n">
        <f aca="false">MATCH(C479,Assumptions!$K$4:$K$6,0)</f>
        <v>2</v>
      </c>
      <c r="K479" s="6" t="n">
        <f aca="false">INDEX(Assumptions!$L$4:$L$6,J479)</f>
        <v>0.7</v>
      </c>
      <c r="L479" s="6" t="n">
        <f aca="false">IF(H479,ROUND(E479*K479,2),Assumptions!$B$11)</f>
        <v>0</v>
      </c>
      <c r="M479" s="7" t="n">
        <f aca="false">ABS(F479-L479)</f>
        <v>96600</v>
      </c>
      <c r="N479" s="6" t="n">
        <f aca="false">INT(E479/Assumptions!$B$12)</f>
        <v>1</v>
      </c>
    </row>
    <row r="480" customFormat="false" ht="15" hidden="false" customHeight="false" outlineLevel="0" collapsed="false">
      <c r="A480" s="2" t="s">
        <v>523</v>
      </c>
      <c r="B480" s="2" t="s">
        <v>47</v>
      </c>
      <c r="C480" s="2" t="s">
        <v>20</v>
      </c>
      <c r="D480" s="2" t="s">
        <v>12</v>
      </c>
      <c r="E480" s="5" t="n">
        <v>453000</v>
      </c>
      <c r="F480" s="5" t="n">
        <v>249150</v>
      </c>
      <c r="G480" s="5" t="n">
        <v>149490</v>
      </c>
      <c r="H480" s="5" t="n">
        <f aca="false">TRUE()</f>
        <v>1</v>
      </c>
      <c r="I480" s="6" t="n">
        <f aca="false">VLOOKUP(D480,Assumptions!$H$4:$I$5,2,FALSE())</f>
        <v>1</v>
      </c>
      <c r="J480" s="6" t="n">
        <f aca="false">MATCH(C480,Assumptions!$K$4:$K$6,0)</f>
        <v>3</v>
      </c>
      <c r="K480" s="6" t="n">
        <f aca="false">INDEX(Assumptions!$L$4:$L$6,J480)</f>
        <v>0.55</v>
      </c>
      <c r="L480" s="6" t="n">
        <f aca="false">IF(H480,ROUND(E480*K480,2),Assumptions!$B$11)</f>
        <v>249150</v>
      </c>
      <c r="M480" s="7" t="n">
        <f aca="false">ABS(F480-L480)</f>
        <v>0</v>
      </c>
      <c r="N480" s="6" t="n">
        <f aca="false">INT(E480/Assumptions!$B$12)</f>
        <v>4</v>
      </c>
    </row>
    <row r="481" customFormat="false" ht="15" hidden="false" customHeight="false" outlineLevel="0" collapsed="false">
      <c r="A481" s="2" t="s">
        <v>524</v>
      </c>
      <c r="B481" s="2" t="s">
        <v>47</v>
      </c>
      <c r="C481" s="2" t="s">
        <v>13</v>
      </c>
      <c r="D481" s="2" t="s">
        <v>12</v>
      </c>
      <c r="E481" s="5" t="n">
        <v>176000</v>
      </c>
      <c r="F481" s="5" t="n">
        <v>109120</v>
      </c>
      <c r="G481" s="5" t="n">
        <v>65472</v>
      </c>
      <c r="H481" s="5" t="n">
        <f aca="false">TRUE()</f>
        <v>1</v>
      </c>
      <c r="I481" s="6" t="n">
        <f aca="false">VLOOKUP(D481,Assumptions!$H$4:$I$5,2,FALSE())</f>
        <v>1</v>
      </c>
      <c r="J481" s="6" t="n">
        <f aca="false">MATCH(C481,Assumptions!$K$4:$K$6,0)</f>
        <v>1</v>
      </c>
      <c r="K481" s="6" t="n">
        <f aca="false">INDEX(Assumptions!$L$4:$L$6,J481)</f>
        <v>0.62</v>
      </c>
      <c r="L481" s="6" t="n">
        <f aca="false">IF(H481,ROUND(E481*K481,2),Assumptions!$B$11)</f>
        <v>109120</v>
      </c>
      <c r="M481" s="7" t="n">
        <f aca="false">ABS(F481-L481)</f>
        <v>0</v>
      </c>
      <c r="N481" s="6" t="n">
        <f aca="false">INT(E481/Assumptions!$B$12)</f>
        <v>1</v>
      </c>
    </row>
    <row r="482" customFormat="false" ht="15" hidden="false" customHeight="false" outlineLevel="0" collapsed="false">
      <c r="A482" s="2" t="s">
        <v>525</v>
      </c>
      <c r="B482" s="2" t="s">
        <v>47</v>
      </c>
      <c r="C482" s="2" t="s">
        <v>17</v>
      </c>
      <c r="D482" s="2" t="s">
        <v>12</v>
      </c>
      <c r="E482" s="5" t="n">
        <v>379000</v>
      </c>
      <c r="F482" s="5" t="n">
        <v>265300</v>
      </c>
      <c r="G482" s="5" t="n">
        <v>159180</v>
      </c>
      <c r="H482" s="5" t="n">
        <f aca="false">TRUE()</f>
        <v>1</v>
      </c>
      <c r="I482" s="6" t="n">
        <f aca="false">VLOOKUP(D482,Assumptions!$H$4:$I$5,2,FALSE())</f>
        <v>1</v>
      </c>
      <c r="J482" s="6" t="n">
        <f aca="false">MATCH(C482,Assumptions!$K$4:$K$6,0)</f>
        <v>2</v>
      </c>
      <c r="K482" s="6" t="n">
        <f aca="false">INDEX(Assumptions!$L$4:$L$6,J482)</f>
        <v>0.7</v>
      </c>
      <c r="L482" s="6" t="n">
        <f aca="false">IF(H482,ROUND(E482*K482,2),Assumptions!$B$11)</f>
        <v>265300</v>
      </c>
      <c r="M482" s="7" t="n">
        <f aca="false">ABS(F482-L482)</f>
        <v>0</v>
      </c>
      <c r="N482" s="6" t="n">
        <f aca="false">INT(E482/Assumptions!$B$12)</f>
        <v>3</v>
      </c>
    </row>
    <row r="483" customFormat="false" ht="15" hidden="false" customHeight="false" outlineLevel="0" collapsed="false">
      <c r="A483" s="2" t="s">
        <v>526</v>
      </c>
      <c r="B483" s="2" t="s">
        <v>47</v>
      </c>
      <c r="C483" s="2" t="s">
        <v>20</v>
      </c>
      <c r="D483" s="2" t="s">
        <v>16</v>
      </c>
      <c r="E483" s="5" t="n">
        <v>118000</v>
      </c>
      <c r="F483" s="5" t="n">
        <v>64900</v>
      </c>
      <c r="G483" s="5" t="n">
        <v>38940</v>
      </c>
      <c r="H483" s="5" t="n">
        <f aca="false">TRUE()</f>
        <v>1</v>
      </c>
      <c r="I483" s="6" t="n">
        <f aca="false">VLOOKUP(D483,Assumptions!$H$4:$I$5,2,FALSE())</f>
        <v>1.15</v>
      </c>
      <c r="J483" s="6" t="n">
        <f aca="false">MATCH(C483,Assumptions!$K$4:$K$6,0)</f>
        <v>3</v>
      </c>
      <c r="K483" s="6" t="n">
        <f aca="false">INDEX(Assumptions!$L$4:$L$6,J483)</f>
        <v>0.55</v>
      </c>
      <c r="L483" s="6" t="n">
        <f aca="false">IF(H483,ROUND(E483*K483,2),Assumptions!$B$11)</f>
        <v>64900</v>
      </c>
      <c r="M483" s="7" t="n">
        <f aca="false">ABS(F483-L483)</f>
        <v>0</v>
      </c>
      <c r="N483" s="6" t="n">
        <f aca="false">INT(E483/Assumptions!$B$12)</f>
        <v>1</v>
      </c>
    </row>
    <row r="484" customFormat="false" ht="15" hidden="false" customHeight="false" outlineLevel="0" collapsed="false">
      <c r="A484" s="2" t="s">
        <v>527</v>
      </c>
      <c r="B484" s="2" t="s">
        <v>47</v>
      </c>
      <c r="C484" s="2" t="s">
        <v>13</v>
      </c>
      <c r="D484" s="2" t="s">
        <v>12</v>
      </c>
      <c r="E484" s="5" t="n">
        <v>289000</v>
      </c>
      <c r="F484" s="5" t="n">
        <v>179180</v>
      </c>
      <c r="G484" s="5" t="n">
        <v>107508</v>
      </c>
      <c r="H484" s="5" t="n">
        <f aca="false">TRUE()</f>
        <v>1</v>
      </c>
      <c r="I484" s="6" t="n">
        <f aca="false">VLOOKUP(D484,Assumptions!$H$4:$I$5,2,FALSE())</f>
        <v>1</v>
      </c>
      <c r="J484" s="6" t="n">
        <f aca="false">MATCH(C484,Assumptions!$K$4:$K$6,0)</f>
        <v>1</v>
      </c>
      <c r="K484" s="6" t="n">
        <f aca="false">INDEX(Assumptions!$L$4:$L$6,J484)</f>
        <v>0.62</v>
      </c>
      <c r="L484" s="6" t="n">
        <f aca="false">IF(H484,ROUND(E484*K484,2),Assumptions!$B$11)</f>
        <v>179180</v>
      </c>
      <c r="M484" s="7" t="n">
        <f aca="false">ABS(F484-L484)</f>
        <v>0</v>
      </c>
      <c r="N484" s="6" t="n">
        <f aca="false">INT(E484/Assumptions!$B$12)</f>
        <v>2</v>
      </c>
    </row>
    <row r="485" customFormat="false" ht="15" hidden="false" customHeight="false" outlineLevel="0" collapsed="false">
      <c r="A485" s="2" t="s">
        <v>528</v>
      </c>
      <c r="B485" s="2" t="s">
        <v>47</v>
      </c>
      <c r="C485" s="2" t="s">
        <v>17</v>
      </c>
      <c r="D485" s="2" t="s">
        <v>12</v>
      </c>
      <c r="E485" s="5" t="n">
        <v>398000</v>
      </c>
      <c r="F485" s="5" t="n">
        <v>278600</v>
      </c>
      <c r="G485" s="5" t="n">
        <v>167160</v>
      </c>
      <c r="H485" s="5" t="n">
        <f aca="false">TRUE()</f>
        <v>1</v>
      </c>
      <c r="I485" s="6" t="n">
        <f aca="false">VLOOKUP(D485,Assumptions!$H$4:$I$5,2,FALSE())</f>
        <v>1</v>
      </c>
      <c r="J485" s="6" t="n">
        <f aca="false">MATCH(C485,Assumptions!$K$4:$K$6,0)</f>
        <v>2</v>
      </c>
      <c r="K485" s="6" t="n">
        <f aca="false">INDEX(Assumptions!$L$4:$L$6,J485)</f>
        <v>0.7</v>
      </c>
      <c r="L485" s="6" t="n">
        <f aca="false">IF(H485,ROUND(E485*K485,2),Assumptions!$B$11)</f>
        <v>278600</v>
      </c>
      <c r="M485" s="7" t="n">
        <f aca="false">ABS(F485-L485)</f>
        <v>0</v>
      </c>
      <c r="N485" s="6" t="n">
        <f aca="false">INT(E485/Assumptions!$B$12)</f>
        <v>3</v>
      </c>
    </row>
    <row r="486" customFormat="false" ht="15" hidden="false" customHeight="false" outlineLevel="0" collapsed="false">
      <c r="A486" s="2" t="s">
        <v>529</v>
      </c>
      <c r="B486" s="2" t="s">
        <v>47</v>
      </c>
      <c r="C486" s="2" t="s">
        <v>20</v>
      </c>
      <c r="D486" s="2" t="s">
        <v>12</v>
      </c>
      <c r="E486" s="5" t="n">
        <v>382000</v>
      </c>
      <c r="F486" s="5" t="n">
        <v>210100</v>
      </c>
      <c r="G486" s="5" t="n">
        <v>126060</v>
      </c>
      <c r="H486" s="5" t="n">
        <f aca="false">TRUE()</f>
        <v>1</v>
      </c>
      <c r="I486" s="6" t="n">
        <f aca="false">VLOOKUP(D486,Assumptions!$H$4:$I$5,2,FALSE())</f>
        <v>1</v>
      </c>
      <c r="J486" s="6" t="n">
        <f aca="false">MATCH(C486,Assumptions!$K$4:$K$6,0)</f>
        <v>3</v>
      </c>
      <c r="K486" s="6" t="n">
        <f aca="false">INDEX(Assumptions!$L$4:$L$6,J486)</f>
        <v>0.55</v>
      </c>
      <c r="L486" s="6" t="n">
        <f aca="false">IF(H486,ROUND(E486*K486,2),Assumptions!$B$11)</f>
        <v>210100</v>
      </c>
      <c r="M486" s="7" t="n">
        <f aca="false">ABS(F486-L486)</f>
        <v>0</v>
      </c>
      <c r="N486" s="6" t="n">
        <f aca="false">INT(E486/Assumptions!$B$12)</f>
        <v>3</v>
      </c>
    </row>
    <row r="487" customFormat="false" ht="15" hidden="false" customHeight="false" outlineLevel="0" collapsed="false">
      <c r="A487" s="2" t="s">
        <v>530</v>
      </c>
      <c r="B487" s="2" t="s">
        <v>47</v>
      </c>
      <c r="C487" s="2" t="s">
        <v>13</v>
      </c>
      <c r="D487" s="2" t="s">
        <v>16</v>
      </c>
      <c r="E487" s="5" t="n">
        <v>175000</v>
      </c>
      <c r="F487" s="5" t="n">
        <v>108500</v>
      </c>
      <c r="G487" s="5" t="n">
        <v>65100</v>
      </c>
      <c r="H487" s="5" t="n">
        <f aca="false">TRUE()</f>
        <v>1</v>
      </c>
      <c r="I487" s="6" t="n">
        <f aca="false">VLOOKUP(D487,Assumptions!$H$4:$I$5,2,FALSE())</f>
        <v>1.15</v>
      </c>
      <c r="J487" s="6" t="n">
        <f aca="false">MATCH(C487,Assumptions!$K$4:$K$6,0)</f>
        <v>1</v>
      </c>
      <c r="K487" s="6" t="n">
        <f aca="false">INDEX(Assumptions!$L$4:$L$6,J487)</f>
        <v>0.62</v>
      </c>
      <c r="L487" s="6" t="n">
        <f aca="false">IF(H487,ROUND(E487*K487,2),Assumptions!$B$11)</f>
        <v>108500</v>
      </c>
      <c r="M487" s="7" t="n">
        <f aca="false">ABS(F487-L487)</f>
        <v>0</v>
      </c>
      <c r="N487" s="6" t="n">
        <f aca="false">INT(E487/Assumptions!$B$12)</f>
        <v>1</v>
      </c>
    </row>
    <row r="488" customFormat="false" ht="15" hidden="false" customHeight="false" outlineLevel="0" collapsed="false">
      <c r="A488" s="2" t="s">
        <v>531</v>
      </c>
      <c r="B488" s="2" t="s">
        <v>47</v>
      </c>
      <c r="C488" s="2" t="s">
        <v>17</v>
      </c>
      <c r="D488" s="2" t="s">
        <v>12</v>
      </c>
      <c r="E488" s="5" t="n">
        <v>320000</v>
      </c>
      <c r="F488" s="5" t="n">
        <v>224000</v>
      </c>
      <c r="G488" s="5" t="n">
        <v>134400</v>
      </c>
      <c r="H488" s="5" t="n">
        <f aca="false">TRUE()</f>
        <v>1</v>
      </c>
      <c r="I488" s="6" t="n">
        <f aca="false">VLOOKUP(D488,Assumptions!$H$4:$I$5,2,FALSE())</f>
        <v>1</v>
      </c>
      <c r="J488" s="6" t="n">
        <f aca="false">MATCH(C488,Assumptions!$K$4:$K$6,0)</f>
        <v>2</v>
      </c>
      <c r="K488" s="6" t="n">
        <f aca="false">INDEX(Assumptions!$L$4:$L$6,J488)</f>
        <v>0.7</v>
      </c>
      <c r="L488" s="6" t="n">
        <f aca="false">IF(H488,ROUND(E488*K488,2),Assumptions!$B$11)</f>
        <v>224000</v>
      </c>
      <c r="M488" s="7" t="n">
        <f aca="false">ABS(F488-L488)</f>
        <v>0</v>
      </c>
      <c r="N488" s="6" t="n">
        <f aca="false">INT(E488/Assumptions!$B$12)</f>
        <v>3</v>
      </c>
    </row>
    <row r="489" customFormat="false" ht="15" hidden="false" customHeight="false" outlineLevel="0" collapsed="false">
      <c r="A489" s="2" t="s">
        <v>532</v>
      </c>
      <c r="B489" s="2" t="s">
        <v>47</v>
      </c>
      <c r="C489" s="2" t="s">
        <v>20</v>
      </c>
      <c r="D489" s="2" t="s">
        <v>12</v>
      </c>
      <c r="E489" s="5" t="n">
        <v>165000</v>
      </c>
      <c r="F489" s="5" t="n">
        <v>90750</v>
      </c>
      <c r="G489" s="5" t="n">
        <v>54450</v>
      </c>
      <c r="H489" s="5" t="n">
        <f aca="false">TRUE()</f>
        <v>1</v>
      </c>
      <c r="I489" s="6" t="n">
        <f aca="false">VLOOKUP(D489,Assumptions!$H$4:$I$5,2,FALSE())</f>
        <v>1</v>
      </c>
      <c r="J489" s="6" t="n">
        <f aca="false">MATCH(C489,Assumptions!$K$4:$K$6,0)</f>
        <v>3</v>
      </c>
      <c r="K489" s="6" t="n">
        <f aca="false">INDEX(Assumptions!$L$4:$L$6,J489)</f>
        <v>0.55</v>
      </c>
      <c r="L489" s="6" t="n">
        <f aca="false">IF(H489,ROUND(E489*K489,2),Assumptions!$B$11)</f>
        <v>90750</v>
      </c>
      <c r="M489" s="7" t="n">
        <f aca="false">ABS(F489-L489)</f>
        <v>0</v>
      </c>
      <c r="N489" s="6" t="n">
        <f aca="false">INT(E489/Assumptions!$B$12)</f>
        <v>1</v>
      </c>
    </row>
    <row r="490" customFormat="false" ht="15" hidden="false" customHeight="false" outlineLevel="0" collapsed="false">
      <c r="A490" s="2" t="s">
        <v>533</v>
      </c>
      <c r="B490" s="2" t="s">
        <v>47</v>
      </c>
      <c r="C490" s="2" t="s">
        <v>13</v>
      </c>
      <c r="D490" s="2" t="s">
        <v>12</v>
      </c>
      <c r="E490" s="5" t="n">
        <v>121000</v>
      </c>
      <c r="F490" s="5" t="n">
        <v>75020</v>
      </c>
      <c r="G490" s="5" t="n">
        <v>45012</v>
      </c>
      <c r="H490" s="5" t="n">
        <f aca="false">TRUE()</f>
        <v>1</v>
      </c>
      <c r="I490" s="6" t="n">
        <f aca="false">VLOOKUP(D490,Assumptions!$H$4:$I$5,2,FALSE())</f>
        <v>1</v>
      </c>
      <c r="J490" s="6" t="n">
        <f aca="false">MATCH(C490,Assumptions!$K$4:$K$6,0)</f>
        <v>1</v>
      </c>
      <c r="K490" s="6" t="n">
        <f aca="false">INDEX(Assumptions!$L$4:$L$6,J490)</f>
        <v>0.62</v>
      </c>
      <c r="L490" s="6" t="n">
        <f aca="false">IF(H490,ROUND(E490*K490,2),Assumptions!$B$11)</f>
        <v>75020</v>
      </c>
      <c r="M490" s="7" t="n">
        <f aca="false">ABS(F490-L490)</f>
        <v>0</v>
      </c>
      <c r="N490" s="6" t="n">
        <f aca="false">INT(E490/Assumptions!$B$12)</f>
        <v>1</v>
      </c>
    </row>
    <row r="491" customFormat="false" ht="15" hidden="false" customHeight="false" outlineLevel="0" collapsed="false">
      <c r="A491" s="2" t="s">
        <v>534</v>
      </c>
      <c r="B491" s="2" t="s">
        <v>47</v>
      </c>
      <c r="C491" s="2" t="s">
        <v>17</v>
      </c>
      <c r="D491" s="2" t="s">
        <v>16</v>
      </c>
      <c r="E491" s="5" t="n">
        <v>257000</v>
      </c>
      <c r="F491" s="5" t="n">
        <v>179900</v>
      </c>
      <c r="G491" s="5" t="n">
        <v>107940</v>
      </c>
      <c r="H491" s="5" t="n">
        <f aca="false">TRUE()</f>
        <v>1</v>
      </c>
      <c r="I491" s="6" t="n">
        <f aca="false">VLOOKUP(D491,Assumptions!$H$4:$I$5,2,FALSE())</f>
        <v>1.15</v>
      </c>
      <c r="J491" s="6" t="n">
        <f aca="false">MATCH(C491,Assumptions!$K$4:$K$6,0)</f>
        <v>2</v>
      </c>
      <c r="K491" s="6" t="n">
        <f aca="false">INDEX(Assumptions!$L$4:$L$6,J491)</f>
        <v>0.7</v>
      </c>
      <c r="L491" s="6" t="n">
        <f aca="false">IF(H491,ROUND(E491*K491,2),Assumptions!$B$11)</f>
        <v>179900</v>
      </c>
      <c r="M491" s="7" t="n">
        <f aca="false">ABS(F491-L491)</f>
        <v>0</v>
      </c>
      <c r="N491" s="6" t="n">
        <f aca="false">INT(E491/Assumptions!$B$12)</f>
        <v>2</v>
      </c>
    </row>
    <row r="492" customFormat="false" ht="15" hidden="false" customHeight="false" outlineLevel="0" collapsed="false">
      <c r="A492" s="2" t="s">
        <v>535</v>
      </c>
      <c r="B492" s="2" t="s">
        <v>47</v>
      </c>
      <c r="C492" s="2" t="s">
        <v>20</v>
      </c>
      <c r="D492" s="2" t="s">
        <v>12</v>
      </c>
      <c r="E492" s="5" t="n">
        <v>286000</v>
      </c>
      <c r="F492" s="5" t="n">
        <v>157300</v>
      </c>
      <c r="G492" s="5" t="n">
        <v>94380</v>
      </c>
      <c r="H492" s="5" t="n">
        <f aca="false">TRUE()</f>
        <v>1</v>
      </c>
      <c r="I492" s="6" t="n">
        <f aca="false">VLOOKUP(D492,Assumptions!$H$4:$I$5,2,FALSE())</f>
        <v>1</v>
      </c>
      <c r="J492" s="6" t="n">
        <f aca="false">MATCH(C492,Assumptions!$K$4:$K$6,0)</f>
        <v>3</v>
      </c>
      <c r="K492" s="6" t="n">
        <f aca="false">INDEX(Assumptions!$L$4:$L$6,J492)</f>
        <v>0.55</v>
      </c>
      <c r="L492" s="6" t="n">
        <f aca="false">IF(H492,ROUND(E492*K492,2),Assumptions!$B$11)</f>
        <v>157300</v>
      </c>
      <c r="M492" s="7" t="n">
        <f aca="false">ABS(F492-L492)</f>
        <v>0</v>
      </c>
      <c r="N492" s="6" t="n">
        <f aca="false">INT(E492/Assumptions!$B$12)</f>
        <v>2</v>
      </c>
    </row>
    <row r="493" customFormat="false" ht="15" hidden="false" customHeight="false" outlineLevel="0" collapsed="false">
      <c r="A493" s="2" t="s">
        <v>536</v>
      </c>
      <c r="B493" s="2" t="s">
        <v>47</v>
      </c>
      <c r="C493" s="2" t="s">
        <v>13</v>
      </c>
      <c r="D493" s="2" t="s">
        <v>12</v>
      </c>
      <c r="E493" s="5" t="n">
        <v>120000</v>
      </c>
      <c r="F493" s="5" t="n">
        <v>74400</v>
      </c>
      <c r="G493" s="5" t="n">
        <v>44640</v>
      </c>
      <c r="H493" s="5" t="n">
        <f aca="false">TRUE()</f>
        <v>1</v>
      </c>
      <c r="I493" s="6" t="n">
        <f aca="false">VLOOKUP(D493,Assumptions!$H$4:$I$5,2,FALSE())</f>
        <v>1</v>
      </c>
      <c r="J493" s="6" t="n">
        <f aca="false">MATCH(C493,Assumptions!$K$4:$K$6,0)</f>
        <v>1</v>
      </c>
      <c r="K493" s="6" t="n">
        <f aca="false">INDEX(Assumptions!$L$4:$L$6,J493)</f>
        <v>0.62</v>
      </c>
      <c r="L493" s="6" t="n">
        <f aca="false">IF(H493,ROUND(E493*K493,2),Assumptions!$B$11)</f>
        <v>74400</v>
      </c>
      <c r="M493" s="7" t="n">
        <f aca="false">ABS(F493-L493)</f>
        <v>0</v>
      </c>
      <c r="N493" s="6" t="n">
        <f aca="false">INT(E493/Assumptions!$B$12)</f>
        <v>1</v>
      </c>
    </row>
    <row r="494" customFormat="false" ht="15" hidden="false" customHeight="false" outlineLevel="0" collapsed="false">
      <c r="A494" s="2" t="s">
        <v>537</v>
      </c>
      <c r="B494" s="2" t="s">
        <v>47</v>
      </c>
      <c r="C494" s="2" t="s">
        <v>17</v>
      </c>
      <c r="D494" s="2" t="s">
        <v>12</v>
      </c>
      <c r="E494" s="5" t="n">
        <v>283000</v>
      </c>
      <c r="F494" s="5" t="n">
        <v>198100</v>
      </c>
      <c r="G494" s="5" t="n">
        <v>118860</v>
      </c>
      <c r="H494" s="5" t="n">
        <f aca="false">TRUE()</f>
        <v>1</v>
      </c>
      <c r="I494" s="6" t="n">
        <f aca="false">VLOOKUP(D494,Assumptions!$H$4:$I$5,2,FALSE())</f>
        <v>1</v>
      </c>
      <c r="J494" s="6" t="n">
        <f aca="false">MATCH(C494,Assumptions!$K$4:$K$6,0)</f>
        <v>2</v>
      </c>
      <c r="K494" s="6" t="n">
        <f aca="false">INDEX(Assumptions!$L$4:$L$6,J494)</f>
        <v>0.7</v>
      </c>
      <c r="L494" s="6" t="n">
        <f aca="false">IF(H494,ROUND(E494*K494,2),Assumptions!$B$11)</f>
        <v>198100</v>
      </c>
      <c r="M494" s="7" t="n">
        <f aca="false">ABS(F494-L494)</f>
        <v>0</v>
      </c>
      <c r="N494" s="6" t="n">
        <f aca="false">INT(E494/Assumptions!$B$12)</f>
        <v>2</v>
      </c>
    </row>
    <row r="495" customFormat="false" ht="15" hidden="false" customHeight="false" outlineLevel="0" collapsed="false">
      <c r="A495" s="2" t="s">
        <v>538</v>
      </c>
      <c r="B495" s="2" t="s">
        <v>47</v>
      </c>
      <c r="C495" s="2" t="s">
        <v>20</v>
      </c>
      <c r="D495" s="2" t="s">
        <v>16</v>
      </c>
      <c r="E495" s="5" t="n">
        <v>207000</v>
      </c>
      <c r="F495" s="5" t="n">
        <v>113850</v>
      </c>
      <c r="G495" s="5" t="n">
        <v>68310</v>
      </c>
      <c r="H495" s="5" t="n">
        <f aca="false">TRUE()</f>
        <v>1</v>
      </c>
      <c r="I495" s="6" t="n">
        <f aca="false">VLOOKUP(D495,Assumptions!$H$4:$I$5,2,FALSE())</f>
        <v>1.15</v>
      </c>
      <c r="J495" s="6" t="n">
        <f aca="false">MATCH(C495,Assumptions!$K$4:$K$6,0)</f>
        <v>3</v>
      </c>
      <c r="K495" s="6" t="n">
        <f aca="false">INDEX(Assumptions!$L$4:$L$6,J495)</f>
        <v>0.55</v>
      </c>
      <c r="L495" s="6" t="n">
        <f aca="false">IF(H495,ROUND(E495*K495,2),Assumptions!$B$11)</f>
        <v>113850</v>
      </c>
      <c r="M495" s="7" t="n">
        <f aca="false">ABS(F495-L495)</f>
        <v>0</v>
      </c>
      <c r="N495" s="6" t="n">
        <f aca="false">INT(E495/Assumptions!$B$12)</f>
        <v>2</v>
      </c>
    </row>
    <row r="496" customFormat="false" ht="15" hidden="false" customHeight="false" outlineLevel="0" collapsed="false">
      <c r="A496" s="2" t="s">
        <v>539</v>
      </c>
      <c r="B496" s="2" t="s">
        <v>47</v>
      </c>
      <c r="C496" s="2" t="s">
        <v>13</v>
      </c>
      <c r="D496" s="2" t="s">
        <v>12</v>
      </c>
      <c r="E496" s="5" t="n">
        <v>449000</v>
      </c>
      <c r="F496" s="5" t="n">
        <v>278380</v>
      </c>
      <c r="G496" s="5" t="n">
        <v>167028</v>
      </c>
      <c r="H496" s="5" t="n">
        <f aca="false">FALSE()</f>
        <v>0</v>
      </c>
      <c r="I496" s="6" t="n">
        <f aca="false">VLOOKUP(D496,Assumptions!$H$4:$I$5,2,FALSE())</f>
        <v>1</v>
      </c>
      <c r="J496" s="6" t="n">
        <f aca="false">MATCH(C496,Assumptions!$K$4:$K$6,0)</f>
        <v>1</v>
      </c>
      <c r="K496" s="6" t="n">
        <f aca="false">INDEX(Assumptions!$L$4:$L$6,J496)</f>
        <v>0.62</v>
      </c>
      <c r="L496" s="6" t="n">
        <f aca="false">IF(H496,ROUND(E496*K496,2),Assumptions!$B$11)</f>
        <v>0</v>
      </c>
      <c r="M496" s="7" t="n">
        <f aca="false">ABS(F496-L496)</f>
        <v>278380</v>
      </c>
      <c r="N496" s="6" t="n">
        <f aca="false">INT(E496/Assumptions!$B$12)</f>
        <v>4</v>
      </c>
    </row>
    <row r="497" customFormat="false" ht="15" hidden="false" customHeight="false" outlineLevel="0" collapsed="false">
      <c r="A497" s="2" t="s">
        <v>540</v>
      </c>
      <c r="B497" s="2" t="s">
        <v>47</v>
      </c>
      <c r="C497" s="2" t="s">
        <v>17</v>
      </c>
      <c r="D497" s="2" t="s">
        <v>12</v>
      </c>
      <c r="E497" s="5" t="n">
        <v>227000</v>
      </c>
      <c r="F497" s="5" t="n">
        <v>158900</v>
      </c>
      <c r="G497" s="5" t="n">
        <v>95340</v>
      </c>
      <c r="H497" s="5" t="n">
        <f aca="false">TRUE()</f>
        <v>1</v>
      </c>
      <c r="I497" s="6" t="n">
        <f aca="false">VLOOKUP(D497,Assumptions!$H$4:$I$5,2,FALSE())</f>
        <v>1</v>
      </c>
      <c r="J497" s="6" t="n">
        <f aca="false">MATCH(C497,Assumptions!$K$4:$K$6,0)</f>
        <v>2</v>
      </c>
      <c r="K497" s="6" t="n">
        <f aca="false">INDEX(Assumptions!$L$4:$L$6,J497)</f>
        <v>0.7</v>
      </c>
      <c r="L497" s="6" t="n">
        <f aca="false">IF(H497,ROUND(E497*K497,2),Assumptions!$B$11)</f>
        <v>158900</v>
      </c>
      <c r="M497" s="7" t="n">
        <f aca="false">ABS(F497-L497)</f>
        <v>0</v>
      </c>
      <c r="N497" s="6" t="n">
        <f aca="false">INT(E497/Assumptions!$B$12)</f>
        <v>2</v>
      </c>
    </row>
    <row r="498" customFormat="false" ht="15" hidden="false" customHeight="false" outlineLevel="0" collapsed="false">
      <c r="A498" s="2" t="s">
        <v>541</v>
      </c>
      <c r="B498" s="2" t="s">
        <v>47</v>
      </c>
      <c r="C498" s="2" t="s">
        <v>20</v>
      </c>
      <c r="D498" s="2" t="s">
        <v>12</v>
      </c>
      <c r="E498" s="5" t="n">
        <v>441000</v>
      </c>
      <c r="F498" s="5" t="n">
        <v>242550</v>
      </c>
      <c r="G498" s="5" t="n">
        <v>145530</v>
      </c>
      <c r="H498" s="5" t="n">
        <f aca="false">TRUE()</f>
        <v>1</v>
      </c>
      <c r="I498" s="6" t="n">
        <f aca="false">VLOOKUP(D498,Assumptions!$H$4:$I$5,2,FALSE())</f>
        <v>1</v>
      </c>
      <c r="J498" s="6" t="n">
        <f aca="false">MATCH(C498,Assumptions!$K$4:$K$6,0)</f>
        <v>3</v>
      </c>
      <c r="K498" s="6" t="n">
        <f aca="false">INDEX(Assumptions!$L$4:$L$6,J498)</f>
        <v>0.55</v>
      </c>
      <c r="L498" s="6" t="n">
        <f aca="false">IF(H498,ROUND(E498*K498,2),Assumptions!$B$11)</f>
        <v>242550</v>
      </c>
      <c r="M498" s="7" t="n">
        <f aca="false">ABS(F498-L498)</f>
        <v>0</v>
      </c>
      <c r="N498" s="6" t="n">
        <f aca="false">INT(E498/Assumptions!$B$12)</f>
        <v>4</v>
      </c>
    </row>
    <row r="499" customFormat="false" ht="15" hidden="false" customHeight="false" outlineLevel="0" collapsed="false">
      <c r="A499" s="2" t="s">
        <v>542</v>
      </c>
      <c r="B499" s="2" t="s">
        <v>47</v>
      </c>
      <c r="C499" s="2" t="s">
        <v>13</v>
      </c>
      <c r="D499" s="2" t="s">
        <v>16</v>
      </c>
      <c r="E499" s="5" t="n">
        <v>152000</v>
      </c>
      <c r="F499" s="5" t="n">
        <v>94240</v>
      </c>
      <c r="G499" s="5" t="n">
        <v>56544</v>
      </c>
      <c r="H499" s="5" t="n">
        <f aca="false">TRUE()</f>
        <v>1</v>
      </c>
      <c r="I499" s="6" t="n">
        <f aca="false">VLOOKUP(D499,Assumptions!$H$4:$I$5,2,FALSE())</f>
        <v>1.15</v>
      </c>
      <c r="J499" s="6" t="n">
        <f aca="false">MATCH(C499,Assumptions!$K$4:$K$6,0)</f>
        <v>1</v>
      </c>
      <c r="K499" s="6" t="n">
        <f aca="false">INDEX(Assumptions!$L$4:$L$6,J499)</f>
        <v>0.62</v>
      </c>
      <c r="L499" s="6" t="n">
        <f aca="false">IF(H499,ROUND(E499*K499,2),Assumptions!$B$11)</f>
        <v>94240</v>
      </c>
      <c r="M499" s="7" t="n">
        <f aca="false">ABS(F499-L499)</f>
        <v>0</v>
      </c>
      <c r="N499" s="6" t="n">
        <f aca="false">INT(E499/Assumptions!$B$12)</f>
        <v>1</v>
      </c>
    </row>
    <row r="500" customFormat="false" ht="15" hidden="false" customHeight="false" outlineLevel="0" collapsed="false">
      <c r="A500" s="2" t="s">
        <v>543</v>
      </c>
      <c r="B500" s="2" t="s">
        <v>47</v>
      </c>
      <c r="C500" s="2" t="s">
        <v>17</v>
      </c>
      <c r="D500" s="2" t="s">
        <v>12</v>
      </c>
      <c r="E500" s="5" t="n">
        <v>281000</v>
      </c>
      <c r="F500" s="5" t="n">
        <v>196700</v>
      </c>
      <c r="G500" s="5" t="n">
        <v>118020</v>
      </c>
      <c r="H500" s="5" t="n">
        <f aca="false">TRUE()</f>
        <v>1</v>
      </c>
      <c r="I500" s="6" t="n">
        <f aca="false">VLOOKUP(D500,Assumptions!$H$4:$I$5,2,FALSE())</f>
        <v>1</v>
      </c>
      <c r="J500" s="6" t="n">
        <f aca="false">MATCH(C500,Assumptions!$K$4:$K$6,0)</f>
        <v>2</v>
      </c>
      <c r="K500" s="6" t="n">
        <f aca="false">INDEX(Assumptions!$L$4:$L$6,J500)</f>
        <v>0.7</v>
      </c>
      <c r="L500" s="6" t="n">
        <f aca="false">IF(H500,ROUND(E500*K500,2),Assumptions!$B$11)</f>
        <v>196700</v>
      </c>
      <c r="M500" s="7" t="n">
        <f aca="false">ABS(F500-L500)</f>
        <v>0</v>
      </c>
      <c r="N500" s="6" t="n">
        <f aca="false">INT(E500/Assumptions!$B$12)</f>
        <v>2</v>
      </c>
    </row>
    <row r="501" customFormat="false" ht="15" hidden="false" customHeight="false" outlineLevel="0" collapsed="false">
      <c r="A501" s="2" t="s">
        <v>544</v>
      </c>
      <c r="B501" s="2" t="s">
        <v>47</v>
      </c>
      <c r="C501" s="2" t="s">
        <v>20</v>
      </c>
      <c r="D501" s="2" t="s">
        <v>12</v>
      </c>
      <c r="E501" s="5" t="n">
        <v>499000</v>
      </c>
      <c r="F501" s="5" t="n">
        <v>274450</v>
      </c>
      <c r="G501" s="5" t="n">
        <v>164670</v>
      </c>
      <c r="H501" s="5" t="n">
        <f aca="false">TRUE()</f>
        <v>1</v>
      </c>
      <c r="I501" s="6" t="n">
        <f aca="false">VLOOKUP(D501,Assumptions!$H$4:$I$5,2,FALSE())</f>
        <v>1</v>
      </c>
      <c r="J501" s="6" t="n">
        <f aca="false">MATCH(C501,Assumptions!$K$4:$K$6,0)</f>
        <v>3</v>
      </c>
      <c r="K501" s="6" t="n">
        <f aca="false">INDEX(Assumptions!$L$4:$L$6,J501)</f>
        <v>0.55</v>
      </c>
      <c r="L501" s="6" t="n">
        <f aca="false">IF(H501,ROUND(E501*K501,2),Assumptions!$B$11)</f>
        <v>274450</v>
      </c>
      <c r="M501" s="7" t="n">
        <f aca="false">ABS(F501-L501)</f>
        <v>0</v>
      </c>
      <c r="N501" s="6" t="n">
        <f aca="false">INT(E501/Assumptions!$B$12)</f>
        <v>4</v>
      </c>
    </row>
    <row r="502" customFormat="false" ht="15" hidden="false" customHeight="false" outlineLevel="0" collapsed="false">
      <c r="A502" s="2" t="s">
        <v>545</v>
      </c>
      <c r="B502" s="2" t="s">
        <v>47</v>
      </c>
      <c r="C502" s="2" t="s">
        <v>13</v>
      </c>
      <c r="D502" s="2" t="s">
        <v>12</v>
      </c>
      <c r="E502" s="5" t="n">
        <v>386000</v>
      </c>
      <c r="F502" s="5" t="n">
        <v>239320</v>
      </c>
      <c r="G502" s="5" t="n">
        <v>143592</v>
      </c>
      <c r="H502" s="5" t="n">
        <f aca="false">TRUE()</f>
        <v>1</v>
      </c>
      <c r="I502" s="6" t="n">
        <f aca="false">VLOOKUP(D502,Assumptions!$H$4:$I$5,2,FALSE())</f>
        <v>1</v>
      </c>
      <c r="J502" s="6" t="n">
        <f aca="false">MATCH(C502,Assumptions!$K$4:$K$6,0)</f>
        <v>1</v>
      </c>
      <c r="K502" s="6" t="n">
        <f aca="false">INDEX(Assumptions!$L$4:$L$6,J502)</f>
        <v>0.62</v>
      </c>
      <c r="L502" s="6" t="n">
        <f aca="false">IF(H502,ROUND(E502*K502,2),Assumptions!$B$11)</f>
        <v>239320</v>
      </c>
      <c r="M502" s="7" t="n">
        <f aca="false">ABS(F502-L502)</f>
        <v>0</v>
      </c>
      <c r="N502" s="6" t="n">
        <f aca="false">INT(E502/Assumptions!$B$12)</f>
        <v>3</v>
      </c>
    </row>
    <row r="503" customFormat="false" ht="15" hidden="false" customHeight="false" outlineLevel="0" collapsed="false">
      <c r="A503" s="2" t="s">
        <v>546</v>
      </c>
      <c r="B503" s="2" t="s">
        <v>47</v>
      </c>
      <c r="C503" s="2" t="s">
        <v>17</v>
      </c>
      <c r="D503" s="2" t="s">
        <v>16</v>
      </c>
      <c r="E503" s="5" t="n">
        <v>308000</v>
      </c>
      <c r="F503" s="5" t="n">
        <v>215600</v>
      </c>
      <c r="G503" s="5" t="n">
        <v>129360</v>
      </c>
      <c r="H503" s="5" t="n">
        <f aca="false">TRUE()</f>
        <v>1</v>
      </c>
      <c r="I503" s="6" t="n">
        <f aca="false">VLOOKUP(D503,Assumptions!$H$4:$I$5,2,FALSE())</f>
        <v>1.15</v>
      </c>
      <c r="J503" s="6" t="n">
        <f aca="false">MATCH(C503,Assumptions!$K$4:$K$6,0)</f>
        <v>2</v>
      </c>
      <c r="K503" s="6" t="n">
        <f aca="false">INDEX(Assumptions!$L$4:$L$6,J503)</f>
        <v>0.7</v>
      </c>
      <c r="L503" s="6" t="n">
        <f aca="false">IF(H503,ROUND(E503*K503,2),Assumptions!$B$11)</f>
        <v>215600</v>
      </c>
      <c r="M503" s="7" t="n">
        <f aca="false">ABS(F503-L503)</f>
        <v>0</v>
      </c>
      <c r="N503" s="6" t="n">
        <f aca="false">INT(E503/Assumptions!$B$12)</f>
        <v>3</v>
      </c>
    </row>
    <row r="504" customFormat="false" ht="15" hidden="false" customHeight="false" outlineLevel="0" collapsed="false">
      <c r="A504" s="2" t="s">
        <v>547</v>
      </c>
      <c r="B504" s="2" t="s">
        <v>47</v>
      </c>
      <c r="C504" s="2" t="s">
        <v>20</v>
      </c>
      <c r="D504" s="2" t="s">
        <v>12</v>
      </c>
      <c r="E504" s="5" t="n">
        <v>417000</v>
      </c>
      <c r="F504" s="5" t="n">
        <v>229350</v>
      </c>
      <c r="G504" s="5" t="n">
        <v>137610</v>
      </c>
      <c r="H504" s="5" t="n">
        <f aca="false">TRUE()</f>
        <v>1</v>
      </c>
      <c r="I504" s="6" t="n">
        <f aca="false">VLOOKUP(D504,Assumptions!$H$4:$I$5,2,FALSE())</f>
        <v>1</v>
      </c>
      <c r="J504" s="6" t="n">
        <f aca="false">MATCH(C504,Assumptions!$K$4:$K$6,0)</f>
        <v>3</v>
      </c>
      <c r="K504" s="6" t="n">
        <f aca="false">INDEX(Assumptions!$L$4:$L$6,J504)</f>
        <v>0.55</v>
      </c>
      <c r="L504" s="6" t="n">
        <f aca="false">IF(H504,ROUND(E504*K504,2),Assumptions!$B$11)</f>
        <v>229350</v>
      </c>
      <c r="M504" s="7" t="n">
        <f aca="false">ABS(F504-L504)</f>
        <v>0</v>
      </c>
      <c r="N504" s="6" t="n">
        <f aca="false">INT(E504/Assumptions!$B$12)</f>
        <v>4</v>
      </c>
    </row>
    <row r="505" customFormat="false" ht="15" hidden="false" customHeight="false" outlineLevel="0" collapsed="false">
      <c r="A505" s="2" t="s">
        <v>548</v>
      </c>
      <c r="B505" s="2" t="s">
        <v>47</v>
      </c>
      <c r="C505" s="2" t="s">
        <v>13</v>
      </c>
      <c r="D505" s="2" t="s">
        <v>12</v>
      </c>
      <c r="E505" s="5" t="n">
        <v>483000</v>
      </c>
      <c r="F505" s="5" t="n">
        <v>299460</v>
      </c>
      <c r="G505" s="5" t="n">
        <v>179676</v>
      </c>
      <c r="H505" s="5" t="n">
        <f aca="false">TRUE()</f>
        <v>1</v>
      </c>
      <c r="I505" s="6" t="n">
        <f aca="false">VLOOKUP(D505,Assumptions!$H$4:$I$5,2,FALSE())</f>
        <v>1</v>
      </c>
      <c r="J505" s="6" t="n">
        <f aca="false">MATCH(C505,Assumptions!$K$4:$K$6,0)</f>
        <v>1</v>
      </c>
      <c r="K505" s="6" t="n">
        <f aca="false">INDEX(Assumptions!$L$4:$L$6,J505)</f>
        <v>0.62</v>
      </c>
      <c r="L505" s="6" t="n">
        <f aca="false">IF(H505,ROUND(E505*K505,2),Assumptions!$B$11)</f>
        <v>299460</v>
      </c>
      <c r="M505" s="7" t="n">
        <f aca="false">ABS(F505-L505)</f>
        <v>0</v>
      </c>
      <c r="N505" s="6" t="n">
        <f aca="false">INT(E505/Assumptions!$B$12)</f>
        <v>4</v>
      </c>
    </row>
    <row r="506" customFormat="false" ht="15" hidden="false" customHeight="false" outlineLevel="0" collapsed="false">
      <c r="A506" s="2" t="s">
        <v>549</v>
      </c>
      <c r="B506" s="2" t="s">
        <v>47</v>
      </c>
      <c r="C506" s="2" t="s">
        <v>17</v>
      </c>
      <c r="D506" s="2" t="s">
        <v>12</v>
      </c>
      <c r="E506" s="5" t="n">
        <v>179000</v>
      </c>
      <c r="F506" s="5" t="n">
        <v>125300</v>
      </c>
      <c r="G506" s="5" t="n">
        <v>75180</v>
      </c>
      <c r="H506" s="5" t="n">
        <f aca="false">TRUE()</f>
        <v>1</v>
      </c>
      <c r="I506" s="6" t="n">
        <f aca="false">VLOOKUP(D506,Assumptions!$H$4:$I$5,2,FALSE())</f>
        <v>1</v>
      </c>
      <c r="J506" s="6" t="n">
        <f aca="false">MATCH(C506,Assumptions!$K$4:$K$6,0)</f>
        <v>2</v>
      </c>
      <c r="K506" s="6" t="n">
        <f aca="false">INDEX(Assumptions!$L$4:$L$6,J506)</f>
        <v>0.7</v>
      </c>
      <c r="L506" s="6" t="n">
        <f aca="false">IF(H506,ROUND(E506*K506,2),Assumptions!$B$11)</f>
        <v>125300</v>
      </c>
      <c r="M506" s="7" t="n">
        <f aca="false">ABS(F506-L506)</f>
        <v>0</v>
      </c>
      <c r="N506" s="6" t="n">
        <f aca="false">INT(E506/Assumptions!$B$12)</f>
        <v>1</v>
      </c>
    </row>
    <row r="507" customFormat="false" ht="15" hidden="false" customHeight="false" outlineLevel="0" collapsed="false">
      <c r="A507" s="2" t="s">
        <v>550</v>
      </c>
      <c r="B507" s="2" t="s">
        <v>47</v>
      </c>
      <c r="C507" s="2" t="s">
        <v>20</v>
      </c>
      <c r="D507" s="2" t="s">
        <v>16</v>
      </c>
      <c r="E507" s="5" t="n">
        <v>221000</v>
      </c>
      <c r="F507" s="5" t="n">
        <v>121550</v>
      </c>
      <c r="G507" s="5" t="n">
        <v>72930</v>
      </c>
      <c r="H507" s="5" t="n">
        <f aca="false">TRUE()</f>
        <v>1</v>
      </c>
      <c r="I507" s="6" t="n">
        <f aca="false">VLOOKUP(D507,Assumptions!$H$4:$I$5,2,FALSE())</f>
        <v>1.15</v>
      </c>
      <c r="J507" s="6" t="n">
        <f aca="false">MATCH(C507,Assumptions!$K$4:$K$6,0)</f>
        <v>3</v>
      </c>
      <c r="K507" s="6" t="n">
        <f aca="false">INDEX(Assumptions!$L$4:$L$6,J507)</f>
        <v>0.55</v>
      </c>
      <c r="L507" s="6" t="n">
        <f aca="false">IF(H507,ROUND(E507*K507,2),Assumptions!$B$11)</f>
        <v>121550</v>
      </c>
      <c r="M507" s="7" t="n">
        <f aca="false">ABS(F507-L507)</f>
        <v>0</v>
      </c>
      <c r="N507" s="6" t="n">
        <f aca="false">INT(E507/Assumptions!$B$12)</f>
        <v>2</v>
      </c>
    </row>
    <row r="508" customFormat="false" ht="15" hidden="false" customHeight="false" outlineLevel="0" collapsed="false">
      <c r="A508" s="2" t="s">
        <v>551</v>
      </c>
      <c r="B508" s="2" t="s">
        <v>47</v>
      </c>
      <c r="C508" s="2" t="s">
        <v>13</v>
      </c>
      <c r="D508" s="2" t="s">
        <v>12</v>
      </c>
      <c r="E508" s="5" t="n">
        <v>183000</v>
      </c>
      <c r="F508" s="5" t="n">
        <v>113460</v>
      </c>
      <c r="G508" s="5" t="n">
        <v>68076</v>
      </c>
      <c r="H508" s="5" t="n">
        <f aca="false">TRUE()</f>
        <v>1</v>
      </c>
      <c r="I508" s="6" t="n">
        <f aca="false">VLOOKUP(D508,Assumptions!$H$4:$I$5,2,FALSE())</f>
        <v>1</v>
      </c>
      <c r="J508" s="6" t="n">
        <f aca="false">MATCH(C508,Assumptions!$K$4:$K$6,0)</f>
        <v>1</v>
      </c>
      <c r="K508" s="6" t="n">
        <f aca="false">INDEX(Assumptions!$L$4:$L$6,J508)</f>
        <v>0.62</v>
      </c>
      <c r="L508" s="6" t="n">
        <f aca="false">IF(H508,ROUND(E508*K508,2),Assumptions!$B$11)</f>
        <v>113460</v>
      </c>
      <c r="M508" s="7" t="n">
        <f aca="false">ABS(F508-L508)</f>
        <v>0</v>
      </c>
      <c r="N508" s="6" t="n">
        <f aca="false">INT(E508/Assumptions!$B$12)</f>
        <v>1</v>
      </c>
    </row>
    <row r="509" customFormat="false" ht="15" hidden="false" customHeight="false" outlineLevel="0" collapsed="false">
      <c r="A509" s="2" t="s">
        <v>552</v>
      </c>
      <c r="B509" s="2" t="s">
        <v>47</v>
      </c>
      <c r="C509" s="2" t="s">
        <v>17</v>
      </c>
      <c r="D509" s="2" t="s">
        <v>12</v>
      </c>
      <c r="E509" s="5" t="n">
        <v>190000</v>
      </c>
      <c r="F509" s="5" t="n">
        <v>133000</v>
      </c>
      <c r="G509" s="5" t="n">
        <v>79800</v>
      </c>
      <c r="H509" s="5" t="n">
        <f aca="false">TRUE()</f>
        <v>1</v>
      </c>
      <c r="I509" s="6" t="n">
        <f aca="false">VLOOKUP(D509,Assumptions!$H$4:$I$5,2,FALSE())</f>
        <v>1</v>
      </c>
      <c r="J509" s="6" t="n">
        <f aca="false">MATCH(C509,Assumptions!$K$4:$K$6,0)</f>
        <v>2</v>
      </c>
      <c r="K509" s="6" t="n">
        <f aca="false">INDEX(Assumptions!$L$4:$L$6,J509)</f>
        <v>0.7</v>
      </c>
      <c r="L509" s="6" t="n">
        <f aca="false">IF(H509,ROUND(E509*K509,2),Assumptions!$B$11)</f>
        <v>133000</v>
      </c>
      <c r="M509" s="7" t="n">
        <f aca="false">ABS(F509-L509)</f>
        <v>0</v>
      </c>
      <c r="N509" s="6" t="n">
        <f aca="false">INT(E509/Assumptions!$B$12)</f>
        <v>1</v>
      </c>
    </row>
    <row r="510" customFormat="false" ht="15" hidden="false" customHeight="false" outlineLevel="0" collapsed="false">
      <c r="A510" s="2" t="s">
        <v>553</v>
      </c>
      <c r="B510" s="2" t="s">
        <v>47</v>
      </c>
      <c r="C510" s="2" t="s">
        <v>20</v>
      </c>
      <c r="D510" s="2" t="s">
        <v>12</v>
      </c>
      <c r="E510" s="5" t="n">
        <v>311000</v>
      </c>
      <c r="F510" s="5" t="n">
        <v>171050</v>
      </c>
      <c r="G510" s="5" t="n">
        <v>102630</v>
      </c>
      <c r="H510" s="5" t="n">
        <f aca="false">TRUE()</f>
        <v>1</v>
      </c>
      <c r="I510" s="6" t="n">
        <f aca="false">VLOOKUP(D510,Assumptions!$H$4:$I$5,2,FALSE())</f>
        <v>1</v>
      </c>
      <c r="J510" s="6" t="n">
        <f aca="false">MATCH(C510,Assumptions!$K$4:$K$6,0)</f>
        <v>3</v>
      </c>
      <c r="K510" s="6" t="n">
        <f aca="false">INDEX(Assumptions!$L$4:$L$6,J510)</f>
        <v>0.55</v>
      </c>
      <c r="L510" s="6" t="n">
        <f aca="false">IF(H510,ROUND(E510*K510,2),Assumptions!$B$11)</f>
        <v>171050</v>
      </c>
      <c r="M510" s="7" t="n">
        <f aca="false">ABS(F510-L510)</f>
        <v>0</v>
      </c>
      <c r="N510" s="6" t="n">
        <f aca="false">INT(E510/Assumptions!$B$12)</f>
        <v>3</v>
      </c>
    </row>
    <row r="511" customFormat="false" ht="15" hidden="false" customHeight="false" outlineLevel="0" collapsed="false">
      <c r="A511" s="2" t="s">
        <v>554</v>
      </c>
      <c r="B511" s="2" t="s">
        <v>47</v>
      </c>
      <c r="C511" s="2" t="s">
        <v>13</v>
      </c>
      <c r="D511" s="2" t="s">
        <v>16</v>
      </c>
      <c r="E511" s="5" t="n">
        <v>112000</v>
      </c>
      <c r="F511" s="5" t="n">
        <v>69440</v>
      </c>
      <c r="G511" s="5" t="n">
        <v>41664</v>
      </c>
      <c r="H511" s="5" t="n">
        <f aca="false">TRUE()</f>
        <v>1</v>
      </c>
      <c r="I511" s="6" t="n">
        <f aca="false">VLOOKUP(D511,Assumptions!$H$4:$I$5,2,FALSE())</f>
        <v>1.15</v>
      </c>
      <c r="J511" s="6" t="n">
        <f aca="false">MATCH(C511,Assumptions!$K$4:$K$6,0)</f>
        <v>1</v>
      </c>
      <c r="K511" s="6" t="n">
        <f aca="false">INDEX(Assumptions!$L$4:$L$6,J511)</f>
        <v>0.62</v>
      </c>
      <c r="L511" s="6" t="n">
        <f aca="false">IF(H511,ROUND(E511*K511,2),Assumptions!$B$11)</f>
        <v>69440</v>
      </c>
      <c r="M511" s="7" t="n">
        <f aca="false">ABS(F511-L511)</f>
        <v>0</v>
      </c>
      <c r="N511" s="6" t="n">
        <f aca="false">INT(E511/Assumptions!$B$12)</f>
        <v>1</v>
      </c>
    </row>
    <row r="512" customFormat="false" ht="15" hidden="false" customHeight="false" outlineLevel="0" collapsed="false">
      <c r="A512" s="2" t="s">
        <v>555</v>
      </c>
      <c r="B512" s="2" t="s">
        <v>47</v>
      </c>
      <c r="C512" s="2" t="s">
        <v>17</v>
      </c>
      <c r="D512" s="2" t="s">
        <v>12</v>
      </c>
      <c r="E512" s="5" t="n">
        <v>191000</v>
      </c>
      <c r="F512" s="5" t="n">
        <v>133700</v>
      </c>
      <c r="G512" s="5" t="n">
        <v>80220</v>
      </c>
      <c r="H512" s="5" t="n">
        <f aca="false">TRUE()</f>
        <v>1</v>
      </c>
      <c r="I512" s="6" t="n">
        <f aca="false">VLOOKUP(D512,Assumptions!$H$4:$I$5,2,FALSE())</f>
        <v>1</v>
      </c>
      <c r="J512" s="6" t="n">
        <f aca="false">MATCH(C512,Assumptions!$K$4:$K$6,0)</f>
        <v>2</v>
      </c>
      <c r="K512" s="6" t="n">
        <f aca="false">INDEX(Assumptions!$L$4:$L$6,J512)</f>
        <v>0.7</v>
      </c>
      <c r="L512" s="6" t="n">
        <f aca="false">IF(H512,ROUND(E512*K512,2),Assumptions!$B$11)</f>
        <v>133700</v>
      </c>
      <c r="M512" s="7" t="n">
        <f aca="false">ABS(F512-L512)</f>
        <v>0</v>
      </c>
      <c r="N512" s="6" t="n">
        <f aca="false">INT(E512/Assumptions!$B$12)</f>
        <v>1</v>
      </c>
    </row>
    <row r="513" customFormat="false" ht="15" hidden="false" customHeight="false" outlineLevel="0" collapsed="false">
      <c r="A513" s="2" t="s">
        <v>556</v>
      </c>
      <c r="B513" s="2" t="s">
        <v>47</v>
      </c>
      <c r="C513" s="2" t="s">
        <v>20</v>
      </c>
      <c r="D513" s="2" t="s">
        <v>12</v>
      </c>
      <c r="E513" s="5" t="n">
        <v>477000</v>
      </c>
      <c r="F513" s="5" t="n">
        <v>262350</v>
      </c>
      <c r="G513" s="5" t="n">
        <v>157410</v>
      </c>
      <c r="H513" s="5" t="n">
        <f aca="false">FALSE()</f>
        <v>0</v>
      </c>
      <c r="I513" s="6" t="n">
        <f aca="false">VLOOKUP(D513,Assumptions!$H$4:$I$5,2,FALSE())</f>
        <v>1</v>
      </c>
      <c r="J513" s="6" t="n">
        <f aca="false">MATCH(C513,Assumptions!$K$4:$K$6,0)</f>
        <v>3</v>
      </c>
      <c r="K513" s="6" t="n">
        <f aca="false">INDEX(Assumptions!$L$4:$L$6,J513)</f>
        <v>0.55</v>
      </c>
      <c r="L513" s="6" t="n">
        <f aca="false">IF(H513,ROUND(E513*K513,2),Assumptions!$B$11)</f>
        <v>0</v>
      </c>
      <c r="M513" s="7" t="n">
        <f aca="false">ABS(F513-L513)</f>
        <v>262350</v>
      </c>
      <c r="N513" s="6" t="n">
        <f aca="false">INT(E513/Assumptions!$B$12)</f>
        <v>4</v>
      </c>
    </row>
    <row r="514" customFormat="false" ht="15" hidden="false" customHeight="false" outlineLevel="0" collapsed="false">
      <c r="A514" s="2" t="s">
        <v>557</v>
      </c>
      <c r="B514" s="2" t="s">
        <v>47</v>
      </c>
      <c r="C514" s="2" t="s">
        <v>13</v>
      </c>
      <c r="D514" s="2" t="s">
        <v>12</v>
      </c>
      <c r="E514" s="5" t="n">
        <v>270000</v>
      </c>
      <c r="F514" s="5" t="n">
        <v>167400</v>
      </c>
      <c r="G514" s="5" t="n">
        <v>100440</v>
      </c>
      <c r="H514" s="5" t="n">
        <f aca="false">TRUE()</f>
        <v>1</v>
      </c>
      <c r="I514" s="6" t="n">
        <f aca="false">VLOOKUP(D514,Assumptions!$H$4:$I$5,2,FALSE())</f>
        <v>1</v>
      </c>
      <c r="J514" s="6" t="n">
        <f aca="false">MATCH(C514,Assumptions!$K$4:$K$6,0)</f>
        <v>1</v>
      </c>
      <c r="K514" s="6" t="n">
        <f aca="false">INDEX(Assumptions!$L$4:$L$6,J514)</f>
        <v>0.62</v>
      </c>
      <c r="L514" s="6" t="n">
        <f aca="false">IF(H514,ROUND(E514*K514,2),Assumptions!$B$11)</f>
        <v>167400</v>
      </c>
      <c r="M514" s="7" t="n">
        <f aca="false">ABS(F514-L514)</f>
        <v>0</v>
      </c>
      <c r="N514" s="6" t="n">
        <f aca="false">INT(E514/Assumptions!$B$12)</f>
        <v>2</v>
      </c>
    </row>
    <row r="515" customFormat="false" ht="15" hidden="false" customHeight="false" outlineLevel="0" collapsed="false">
      <c r="A515" s="2" t="s">
        <v>558</v>
      </c>
      <c r="B515" s="2" t="s">
        <v>47</v>
      </c>
      <c r="C515" s="2" t="s">
        <v>17</v>
      </c>
      <c r="D515" s="2" t="s">
        <v>16</v>
      </c>
      <c r="E515" s="5" t="n">
        <v>500000</v>
      </c>
      <c r="F515" s="5" t="n">
        <v>350000</v>
      </c>
      <c r="G515" s="5" t="n">
        <v>210000</v>
      </c>
      <c r="H515" s="5" t="n">
        <f aca="false">TRUE()</f>
        <v>1</v>
      </c>
      <c r="I515" s="6" t="n">
        <f aca="false">VLOOKUP(D515,Assumptions!$H$4:$I$5,2,FALSE())</f>
        <v>1.15</v>
      </c>
      <c r="J515" s="6" t="n">
        <f aca="false">MATCH(C515,Assumptions!$K$4:$K$6,0)</f>
        <v>2</v>
      </c>
      <c r="K515" s="6" t="n">
        <f aca="false">INDEX(Assumptions!$L$4:$L$6,J515)</f>
        <v>0.7</v>
      </c>
      <c r="L515" s="6" t="n">
        <f aca="false">IF(H515,ROUND(E515*K515,2),Assumptions!$B$11)</f>
        <v>350000</v>
      </c>
      <c r="M515" s="7" t="n">
        <f aca="false">ABS(F515-L515)</f>
        <v>0</v>
      </c>
      <c r="N515" s="6" t="n">
        <f aca="false">INT(E515/Assumptions!$B$12)</f>
        <v>5</v>
      </c>
    </row>
    <row r="516" customFormat="false" ht="15" hidden="false" customHeight="false" outlineLevel="0" collapsed="false">
      <c r="A516" s="2" t="s">
        <v>559</v>
      </c>
      <c r="B516" s="2" t="s">
        <v>47</v>
      </c>
      <c r="C516" s="2" t="s">
        <v>20</v>
      </c>
      <c r="D516" s="2" t="s">
        <v>12</v>
      </c>
      <c r="E516" s="5" t="n">
        <v>310000</v>
      </c>
      <c r="F516" s="5" t="n">
        <v>170500</v>
      </c>
      <c r="G516" s="5" t="n">
        <v>102300</v>
      </c>
      <c r="H516" s="5" t="n">
        <f aca="false">TRUE()</f>
        <v>1</v>
      </c>
      <c r="I516" s="6" t="n">
        <f aca="false">VLOOKUP(D516,Assumptions!$H$4:$I$5,2,FALSE())</f>
        <v>1</v>
      </c>
      <c r="J516" s="6" t="n">
        <f aca="false">MATCH(C516,Assumptions!$K$4:$K$6,0)</f>
        <v>3</v>
      </c>
      <c r="K516" s="6" t="n">
        <f aca="false">INDEX(Assumptions!$L$4:$L$6,J516)</f>
        <v>0.55</v>
      </c>
      <c r="L516" s="6" t="n">
        <f aca="false">IF(H516,ROUND(E516*K516,2),Assumptions!$B$11)</f>
        <v>170500</v>
      </c>
      <c r="M516" s="7" t="n">
        <f aca="false">ABS(F516-L516)</f>
        <v>0</v>
      </c>
      <c r="N516" s="6" t="n">
        <f aca="false">INT(E516/Assumptions!$B$12)</f>
        <v>3</v>
      </c>
    </row>
    <row r="517" customFormat="false" ht="15" hidden="false" customHeight="false" outlineLevel="0" collapsed="false">
      <c r="A517" s="2" t="s">
        <v>560</v>
      </c>
      <c r="B517" s="2" t="s">
        <v>47</v>
      </c>
      <c r="C517" s="2" t="s">
        <v>13</v>
      </c>
      <c r="D517" s="2" t="s">
        <v>12</v>
      </c>
      <c r="E517" s="5" t="n">
        <v>442000</v>
      </c>
      <c r="F517" s="5" t="n">
        <v>274040</v>
      </c>
      <c r="G517" s="5" t="n">
        <v>164424</v>
      </c>
      <c r="H517" s="5" t="n">
        <f aca="false">TRUE()</f>
        <v>1</v>
      </c>
      <c r="I517" s="6" t="n">
        <f aca="false">VLOOKUP(D517,Assumptions!$H$4:$I$5,2,FALSE())</f>
        <v>1</v>
      </c>
      <c r="J517" s="6" t="n">
        <f aca="false">MATCH(C517,Assumptions!$K$4:$K$6,0)</f>
        <v>1</v>
      </c>
      <c r="K517" s="6" t="n">
        <f aca="false">INDEX(Assumptions!$L$4:$L$6,J517)</f>
        <v>0.62</v>
      </c>
      <c r="L517" s="6" t="n">
        <f aca="false">IF(H517,ROUND(E517*K517,2),Assumptions!$B$11)</f>
        <v>274040</v>
      </c>
      <c r="M517" s="7" t="n">
        <f aca="false">ABS(F517-L517)</f>
        <v>0</v>
      </c>
      <c r="N517" s="6" t="n">
        <f aca="false">INT(E517/Assumptions!$B$12)</f>
        <v>4</v>
      </c>
    </row>
    <row r="518" customFormat="false" ht="15" hidden="false" customHeight="false" outlineLevel="0" collapsed="false">
      <c r="A518" s="2" t="s">
        <v>561</v>
      </c>
      <c r="B518" s="2" t="s">
        <v>47</v>
      </c>
      <c r="C518" s="2" t="s">
        <v>17</v>
      </c>
      <c r="D518" s="2" t="s">
        <v>12</v>
      </c>
      <c r="E518" s="5" t="n">
        <v>476000</v>
      </c>
      <c r="F518" s="5" t="n">
        <v>333200</v>
      </c>
      <c r="G518" s="5" t="n">
        <v>199920</v>
      </c>
      <c r="H518" s="5" t="n">
        <f aca="false">TRUE()</f>
        <v>1</v>
      </c>
      <c r="I518" s="6" t="n">
        <f aca="false">VLOOKUP(D518,Assumptions!$H$4:$I$5,2,FALSE())</f>
        <v>1</v>
      </c>
      <c r="J518" s="6" t="n">
        <f aca="false">MATCH(C518,Assumptions!$K$4:$K$6,0)</f>
        <v>2</v>
      </c>
      <c r="K518" s="6" t="n">
        <f aca="false">INDEX(Assumptions!$L$4:$L$6,J518)</f>
        <v>0.7</v>
      </c>
      <c r="L518" s="6" t="n">
        <f aca="false">IF(H518,ROUND(E518*K518,2),Assumptions!$B$11)</f>
        <v>333200</v>
      </c>
      <c r="M518" s="7" t="n">
        <f aca="false">ABS(F518-L518)</f>
        <v>0</v>
      </c>
      <c r="N518" s="6" t="n">
        <f aca="false">INT(E518/Assumptions!$B$12)</f>
        <v>4</v>
      </c>
    </row>
    <row r="519" customFormat="false" ht="15" hidden="false" customHeight="false" outlineLevel="0" collapsed="false">
      <c r="A519" s="2" t="s">
        <v>562</v>
      </c>
      <c r="B519" s="2" t="s">
        <v>47</v>
      </c>
      <c r="C519" s="2" t="s">
        <v>20</v>
      </c>
      <c r="D519" s="2" t="s">
        <v>16</v>
      </c>
      <c r="E519" s="5" t="n">
        <v>227000</v>
      </c>
      <c r="F519" s="5" t="n">
        <v>124850</v>
      </c>
      <c r="G519" s="5" t="n">
        <v>74910</v>
      </c>
      <c r="H519" s="5" t="n">
        <f aca="false">TRUE()</f>
        <v>1</v>
      </c>
      <c r="I519" s="6" t="n">
        <f aca="false">VLOOKUP(D519,Assumptions!$H$4:$I$5,2,FALSE())</f>
        <v>1.15</v>
      </c>
      <c r="J519" s="6" t="n">
        <f aca="false">MATCH(C519,Assumptions!$K$4:$K$6,0)</f>
        <v>3</v>
      </c>
      <c r="K519" s="6" t="n">
        <f aca="false">INDEX(Assumptions!$L$4:$L$6,J519)</f>
        <v>0.55</v>
      </c>
      <c r="L519" s="6" t="n">
        <f aca="false">IF(H519,ROUND(E519*K519,2),Assumptions!$B$11)</f>
        <v>124850</v>
      </c>
      <c r="M519" s="7" t="n">
        <f aca="false">ABS(F519-L519)</f>
        <v>0</v>
      </c>
      <c r="N519" s="6" t="n">
        <f aca="false">INT(E519/Assumptions!$B$12)</f>
        <v>2</v>
      </c>
    </row>
    <row r="520" customFormat="false" ht="15" hidden="false" customHeight="false" outlineLevel="0" collapsed="false">
      <c r="A520" s="2" t="s">
        <v>563</v>
      </c>
      <c r="B520" s="2" t="s">
        <v>47</v>
      </c>
      <c r="C520" s="2" t="s">
        <v>13</v>
      </c>
      <c r="D520" s="2" t="s">
        <v>12</v>
      </c>
      <c r="E520" s="5" t="n">
        <v>236000</v>
      </c>
      <c r="F520" s="5" t="n">
        <v>146320</v>
      </c>
      <c r="G520" s="5" t="n">
        <v>87792</v>
      </c>
      <c r="H520" s="5" t="n">
        <f aca="false">TRUE()</f>
        <v>1</v>
      </c>
      <c r="I520" s="6" t="n">
        <f aca="false">VLOOKUP(D520,Assumptions!$H$4:$I$5,2,FALSE())</f>
        <v>1</v>
      </c>
      <c r="J520" s="6" t="n">
        <f aca="false">MATCH(C520,Assumptions!$K$4:$K$6,0)</f>
        <v>1</v>
      </c>
      <c r="K520" s="6" t="n">
        <f aca="false">INDEX(Assumptions!$L$4:$L$6,J520)</f>
        <v>0.62</v>
      </c>
      <c r="L520" s="6" t="n">
        <f aca="false">IF(H520,ROUND(E520*K520,2),Assumptions!$B$11)</f>
        <v>146320</v>
      </c>
      <c r="M520" s="7" t="n">
        <f aca="false">ABS(F520-L520)</f>
        <v>0</v>
      </c>
      <c r="N520" s="6" t="n">
        <f aca="false">INT(E520/Assumptions!$B$12)</f>
        <v>2</v>
      </c>
    </row>
    <row r="521" customFormat="false" ht="15" hidden="false" customHeight="false" outlineLevel="0" collapsed="false">
      <c r="A521" s="2" t="s">
        <v>564</v>
      </c>
      <c r="B521" s="2" t="s">
        <v>47</v>
      </c>
      <c r="C521" s="2" t="s">
        <v>17</v>
      </c>
      <c r="D521" s="2" t="s">
        <v>12</v>
      </c>
      <c r="E521" s="5" t="n">
        <v>181000</v>
      </c>
      <c r="F521" s="5" t="n">
        <v>126700</v>
      </c>
      <c r="G521" s="5" t="n">
        <v>76020</v>
      </c>
      <c r="H521" s="5" t="n">
        <f aca="false">TRUE()</f>
        <v>1</v>
      </c>
      <c r="I521" s="6" t="n">
        <f aca="false">VLOOKUP(D521,Assumptions!$H$4:$I$5,2,FALSE())</f>
        <v>1</v>
      </c>
      <c r="J521" s="6" t="n">
        <f aca="false">MATCH(C521,Assumptions!$K$4:$K$6,0)</f>
        <v>2</v>
      </c>
      <c r="K521" s="6" t="n">
        <f aca="false">INDEX(Assumptions!$L$4:$L$6,J521)</f>
        <v>0.7</v>
      </c>
      <c r="L521" s="6" t="n">
        <f aca="false">IF(H521,ROUND(E521*K521,2),Assumptions!$B$11)</f>
        <v>126700</v>
      </c>
      <c r="M521" s="7" t="n">
        <f aca="false">ABS(F521-L521)</f>
        <v>0</v>
      </c>
      <c r="N521" s="6" t="n">
        <f aca="false">INT(E521/Assumptions!$B$12)</f>
        <v>1</v>
      </c>
    </row>
    <row r="522" customFormat="false" ht="15" hidden="false" customHeight="false" outlineLevel="0" collapsed="false">
      <c r="A522" s="2" t="s">
        <v>565</v>
      </c>
      <c r="B522" s="2" t="s">
        <v>47</v>
      </c>
      <c r="C522" s="2" t="s">
        <v>20</v>
      </c>
      <c r="D522" s="2" t="s">
        <v>12</v>
      </c>
      <c r="E522" s="5" t="n">
        <v>459000</v>
      </c>
      <c r="F522" s="5" t="n">
        <v>252450</v>
      </c>
      <c r="G522" s="5" t="n">
        <v>151470</v>
      </c>
      <c r="H522" s="5" t="n">
        <f aca="false">TRUE()</f>
        <v>1</v>
      </c>
      <c r="I522" s="6" t="n">
        <f aca="false">VLOOKUP(D522,Assumptions!$H$4:$I$5,2,FALSE())</f>
        <v>1</v>
      </c>
      <c r="J522" s="6" t="n">
        <f aca="false">MATCH(C522,Assumptions!$K$4:$K$6,0)</f>
        <v>3</v>
      </c>
      <c r="K522" s="6" t="n">
        <f aca="false">INDEX(Assumptions!$L$4:$L$6,J522)</f>
        <v>0.55</v>
      </c>
      <c r="L522" s="6" t="n">
        <f aca="false">IF(H522,ROUND(E522*K522,2),Assumptions!$B$11)</f>
        <v>252450</v>
      </c>
      <c r="M522" s="7" t="n">
        <f aca="false">ABS(F522-L522)</f>
        <v>0</v>
      </c>
      <c r="N522" s="6" t="n">
        <f aca="false">INT(E522/Assumptions!$B$12)</f>
        <v>4</v>
      </c>
    </row>
    <row r="523" customFormat="false" ht="15" hidden="false" customHeight="false" outlineLevel="0" collapsed="false">
      <c r="A523" s="2" t="s">
        <v>566</v>
      </c>
      <c r="B523" s="2" t="s">
        <v>47</v>
      </c>
      <c r="C523" s="2" t="s">
        <v>13</v>
      </c>
      <c r="D523" s="2" t="s">
        <v>16</v>
      </c>
      <c r="E523" s="5" t="n">
        <v>155000</v>
      </c>
      <c r="F523" s="5" t="n">
        <v>96100</v>
      </c>
      <c r="G523" s="5" t="n">
        <v>57660</v>
      </c>
      <c r="H523" s="5" t="n">
        <f aca="false">TRUE()</f>
        <v>1</v>
      </c>
      <c r="I523" s="6" t="n">
        <f aca="false">VLOOKUP(D523,Assumptions!$H$4:$I$5,2,FALSE())</f>
        <v>1.15</v>
      </c>
      <c r="J523" s="6" t="n">
        <f aca="false">MATCH(C523,Assumptions!$K$4:$K$6,0)</f>
        <v>1</v>
      </c>
      <c r="K523" s="6" t="n">
        <f aca="false">INDEX(Assumptions!$L$4:$L$6,J523)</f>
        <v>0.62</v>
      </c>
      <c r="L523" s="6" t="n">
        <f aca="false">IF(H523,ROUND(E523*K523,2),Assumptions!$B$11)</f>
        <v>96100</v>
      </c>
      <c r="M523" s="7" t="n">
        <f aca="false">ABS(F523-L523)</f>
        <v>0</v>
      </c>
      <c r="N523" s="6" t="n">
        <f aca="false">INT(E523/Assumptions!$B$12)</f>
        <v>1</v>
      </c>
    </row>
    <row r="524" customFormat="false" ht="15" hidden="false" customHeight="false" outlineLevel="0" collapsed="false">
      <c r="A524" s="2" t="s">
        <v>567</v>
      </c>
      <c r="B524" s="2" t="s">
        <v>47</v>
      </c>
      <c r="C524" s="2" t="s">
        <v>17</v>
      </c>
      <c r="D524" s="2" t="s">
        <v>12</v>
      </c>
      <c r="E524" s="5" t="n">
        <v>295000</v>
      </c>
      <c r="F524" s="5" t="n">
        <v>206500</v>
      </c>
      <c r="G524" s="5" t="n">
        <v>123900</v>
      </c>
      <c r="H524" s="5" t="n">
        <f aca="false">TRUE()</f>
        <v>1</v>
      </c>
      <c r="I524" s="6" t="n">
        <f aca="false">VLOOKUP(D524,Assumptions!$H$4:$I$5,2,FALSE())</f>
        <v>1</v>
      </c>
      <c r="J524" s="6" t="n">
        <f aca="false">MATCH(C524,Assumptions!$K$4:$K$6,0)</f>
        <v>2</v>
      </c>
      <c r="K524" s="6" t="n">
        <f aca="false">INDEX(Assumptions!$L$4:$L$6,J524)</f>
        <v>0.7</v>
      </c>
      <c r="L524" s="6" t="n">
        <f aca="false">IF(H524,ROUND(E524*K524,2),Assumptions!$B$11)</f>
        <v>206500</v>
      </c>
      <c r="M524" s="7" t="n">
        <f aca="false">ABS(F524-L524)</f>
        <v>0</v>
      </c>
      <c r="N524" s="6" t="n">
        <f aca="false">INT(E524/Assumptions!$B$12)</f>
        <v>2</v>
      </c>
    </row>
    <row r="525" customFormat="false" ht="15" hidden="false" customHeight="false" outlineLevel="0" collapsed="false">
      <c r="A525" s="2" t="s">
        <v>568</v>
      </c>
      <c r="B525" s="2" t="s">
        <v>47</v>
      </c>
      <c r="C525" s="2" t="s">
        <v>20</v>
      </c>
      <c r="D525" s="2" t="s">
        <v>12</v>
      </c>
      <c r="E525" s="5" t="n">
        <v>119000</v>
      </c>
      <c r="F525" s="5" t="n">
        <v>65450</v>
      </c>
      <c r="G525" s="5" t="n">
        <v>39270</v>
      </c>
      <c r="H525" s="5" t="n">
        <f aca="false">TRUE()</f>
        <v>1</v>
      </c>
      <c r="I525" s="6" t="n">
        <f aca="false">VLOOKUP(D525,Assumptions!$H$4:$I$5,2,FALSE())</f>
        <v>1</v>
      </c>
      <c r="J525" s="6" t="n">
        <f aca="false">MATCH(C525,Assumptions!$K$4:$K$6,0)</f>
        <v>3</v>
      </c>
      <c r="K525" s="6" t="n">
        <f aca="false">INDEX(Assumptions!$L$4:$L$6,J525)</f>
        <v>0.55</v>
      </c>
      <c r="L525" s="6" t="n">
        <f aca="false">IF(H525,ROUND(E525*K525,2),Assumptions!$B$11)</f>
        <v>65450</v>
      </c>
      <c r="M525" s="7" t="n">
        <f aca="false">ABS(F525-L525)</f>
        <v>0</v>
      </c>
      <c r="N525" s="6" t="n">
        <f aca="false">INT(E525/Assumptions!$B$12)</f>
        <v>1</v>
      </c>
    </row>
    <row r="526" customFormat="false" ht="15" hidden="false" customHeight="false" outlineLevel="0" collapsed="false">
      <c r="A526" s="2" t="s">
        <v>569</v>
      </c>
      <c r="B526" s="2" t="s">
        <v>47</v>
      </c>
      <c r="C526" s="2" t="s">
        <v>13</v>
      </c>
      <c r="D526" s="2" t="s">
        <v>12</v>
      </c>
      <c r="E526" s="5" t="n">
        <v>340000</v>
      </c>
      <c r="F526" s="5" t="n">
        <v>210800</v>
      </c>
      <c r="G526" s="5" t="n">
        <v>126480</v>
      </c>
      <c r="H526" s="5" t="n">
        <f aca="false">TRUE()</f>
        <v>1</v>
      </c>
      <c r="I526" s="6" t="n">
        <f aca="false">VLOOKUP(D526,Assumptions!$H$4:$I$5,2,FALSE())</f>
        <v>1</v>
      </c>
      <c r="J526" s="6" t="n">
        <f aca="false">MATCH(C526,Assumptions!$K$4:$K$6,0)</f>
        <v>1</v>
      </c>
      <c r="K526" s="6" t="n">
        <f aca="false">INDEX(Assumptions!$L$4:$L$6,J526)</f>
        <v>0.62</v>
      </c>
      <c r="L526" s="6" t="n">
        <f aca="false">IF(H526,ROUND(E526*K526,2),Assumptions!$B$11)</f>
        <v>210800</v>
      </c>
      <c r="M526" s="7" t="n">
        <f aca="false">ABS(F526-L526)</f>
        <v>0</v>
      </c>
      <c r="N526" s="6" t="n">
        <f aca="false">INT(E526/Assumptions!$B$12)</f>
        <v>3</v>
      </c>
    </row>
    <row r="527" customFormat="false" ht="15" hidden="false" customHeight="false" outlineLevel="0" collapsed="false">
      <c r="A527" s="2" t="s">
        <v>570</v>
      </c>
      <c r="B527" s="2" t="s">
        <v>47</v>
      </c>
      <c r="C527" s="2" t="s">
        <v>17</v>
      </c>
      <c r="D527" s="2" t="s">
        <v>16</v>
      </c>
      <c r="E527" s="5" t="n">
        <v>213000</v>
      </c>
      <c r="F527" s="5" t="n">
        <v>149100</v>
      </c>
      <c r="G527" s="5" t="n">
        <v>89460</v>
      </c>
      <c r="H527" s="5" t="n">
        <f aca="false">TRUE()</f>
        <v>1</v>
      </c>
      <c r="I527" s="6" t="n">
        <f aca="false">VLOOKUP(D527,Assumptions!$H$4:$I$5,2,FALSE())</f>
        <v>1.15</v>
      </c>
      <c r="J527" s="6" t="n">
        <f aca="false">MATCH(C527,Assumptions!$K$4:$K$6,0)</f>
        <v>2</v>
      </c>
      <c r="K527" s="6" t="n">
        <f aca="false">INDEX(Assumptions!$L$4:$L$6,J527)</f>
        <v>0.7</v>
      </c>
      <c r="L527" s="6" t="n">
        <f aca="false">IF(H527,ROUND(E527*K527,2),Assumptions!$B$11)</f>
        <v>149100</v>
      </c>
      <c r="M527" s="7" t="n">
        <f aca="false">ABS(F527-L527)</f>
        <v>0</v>
      </c>
      <c r="N527" s="6" t="n">
        <f aca="false">INT(E527/Assumptions!$B$12)</f>
        <v>2</v>
      </c>
    </row>
    <row r="528" customFormat="false" ht="15" hidden="false" customHeight="false" outlineLevel="0" collapsed="false">
      <c r="A528" s="2" t="s">
        <v>571</v>
      </c>
      <c r="B528" s="2" t="s">
        <v>47</v>
      </c>
      <c r="C528" s="2" t="s">
        <v>20</v>
      </c>
      <c r="D528" s="2" t="s">
        <v>12</v>
      </c>
      <c r="E528" s="5" t="n">
        <v>202000</v>
      </c>
      <c r="F528" s="5" t="n">
        <v>111100</v>
      </c>
      <c r="G528" s="5" t="n">
        <v>66660</v>
      </c>
      <c r="H528" s="5" t="n">
        <f aca="false">TRUE()</f>
        <v>1</v>
      </c>
      <c r="I528" s="6" t="n">
        <f aca="false">VLOOKUP(D528,Assumptions!$H$4:$I$5,2,FALSE())</f>
        <v>1</v>
      </c>
      <c r="J528" s="6" t="n">
        <f aca="false">MATCH(C528,Assumptions!$K$4:$K$6,0)</f>
        <v>3</v>
      </c>
      <c r="K528" s="6" t="n">
        <f aca="false">INDEX(Assumptions!$L$4:$L$6,J528)</f>
        <v>0.55</v>
      </c>
      <c r="L528" s="6" t="n">
        <f aca="false">IF(H528,ROUND(E528*K528,2),Assumptions!$B$11)</f>
        <v>111100</v>
      </c>
      <c r="M528" s="7" t="n">
        <f aca="false">ABS(F528-L528)</f>
        <v>0</v>
      </c>
      <c r="N528" s="6" t="n">
        <f aca="false">INT(E528/Assumptions!$B$12)</f>
        <v>2</v>
      </c>
    </row>
    <row r="529" customFormat="false" ht="15" hidden="false" customHeight="false" outlineLevel="0" collapsed="false">
      <c r="A529" s="2" t="s">
        <v>572</v>
      </c>
      <c r="B529" s="2" t="s">
        <v>47</v>
      </c>
      <c r="C529" s="2" t="s">
        <v>13</v>
      </c>
      <c r="D529" s="2" t="s">
        <v>12</v>
      </c>
      <c r="E529" s="5" t="n">
        <v>335000</v>
      </c>
      <c r="F529" s="5" t="n">
        <v>207700</v>
      </c>
      <c r="G529" s="5" t="n">
        <v>124620</v>
      </c>
      <c r="H529" s="5" t="n">
        <f aca="false">TRUE()</f>
        <v>1</v>
      </c>
      <c r="I529" s="6" t="n">
        <f aca="false">VLOOKUP(D529,Assumptions!$H$4:$I$5,2,FALSE())</f>
        <v>1</v>
      </c>
      <c r="J529" s="6" t="n">
        <f aca="false">MATCH(C529,Assumptions!$K$4:$K$6,0)</f>
        <v>1</v>
      </c>
      <c r="K529" s="6" t="n">
        <f aca="false">INDEX(Assumptions!$L$4:$L$6,J529)</f>
        <v>0.62</v>
      </c>
      <c r="L529" s="6" t="n">
        <f aca="false">IF(H529,ROUND(E529*K529,2),Assumptions!$B$11)</f>
        <v>207700</v>
      </c>
      <c r="M529" s="7" t="n">
        <f aca="false">ABS(F529-L529)</f>
        <v>0</v>
      </c>
      <c r="N529" s="6" t="n">
        <f aca="false">INT(E529/Assumptions!$B$12)</f>
        <v>3</v>
      </c>
    </row>
    <row r="530" customFormat="false" ht="15" hidden="false" customHeight="false" outlineLevel="0" collapsed="false">
      <c r="A530" s="2" t="s">
        <v>573</v>
      </c>
      <c r="B530" s="2" t="s">
        <v>47</v>
      </c>
      <c r="C530" s="2" t="s">
        <v>17</v>
      </c>
      <c r="D530" s="2" t="s">
        <v>12</v>
      </c>
      <c r="E530" s="5" t="n">
        <v>279000</v>
      </c>
      <c r="F530" s="5" t="n">
        <v>195300</v>
      </c>
      <c r="G530" s="5" t="n">
        <v>117180</v>
      </c>
      <c r="H530" s="5" t="n">
        <f aca="false">FALSE()</f>
        <v>0</v>
      </c>
      <c r="I530" s="6" t="n">
        <f aca="false">VLOOKUP(D530,Assumptions!$H$4:$I$5,2,FALSE())</f>
        <v>1</v>
      </c>
      <c r="J530" s="6" t="n">
        <f aca="false">MATCH(C530,Assumptions!$K$4:$K$6,0)</f>
        <v>2</v>
      </c>
      <c r="K530" s="6" t="n">
        <f aca="false">INDEX(Assumptions!$L$4:$L$6,J530)</f>
        <v>0.7</v>
      </c>
      <c r="L530" s="6" t="n">
        <f aca="false">IF(H530,ROUND(E530*K530,2),Assumptions!$B$11)</f>
        <v>0</v>
      </c>
      <c r="M530" s="7" t="n">
        <f aca="false">ABS(F530-L530)</f>
        <v>195300</v>
      </c>
      <c r="N530" s="6" t="n">
        <f aca="false">INT(E530/Assumptions!$B$12)</f>
        <v>2</v>
      </c>
    </row>
    <row r="531" customFormat="false" ht="15" hidden="false" customHeight="false" outlineLevel="0" collapsed="false">
      <c r="A531" s="2" t="s">
        <v>574</v>
      </c>
      <c r="B531" s="2" t="s">
        <v>47</v>
      </c>
      <c r="C531" s="2" t="s">
        <v>20</v>
      </c>
      <c r="D531" s="2" t="s">
        <v>16</v>
      </c>
      <c r="E531" s="5" t="n">
        <v>256000</v>
      </c>
      <c r="F531" s="5" t="n">
        <v>140800</v>
      </c>
      <c r="G531" s="5" t="n">
        <v>84480</v>
      </c>
      <c r="H531" s="5" t="n">
        <f aca="false">TRUE()</f>
        <v>1</v>
      </c>
      <c r="I531" s="6" t="n">
        <f aca="false">VLOOKUP(D531,Assumptions!$H$4:$I$5,2,FALSE())</f>
        <v>1.15</v>
      </c>
      <c r="J531" s="6" t="n">
        <f aca="false">MATCH(C531,Assumptions!$K$4:$K$6,0)</f>
        <v>3</v>
      </c>
      <c r="K531" s="6" t="n">
        <f aca="false">INDEX(Assumptions!$L$4:$L$6,J531)</f>
        <v>0.55</v>
      </c>
      <c r="L531" s="6" t="n">
        <f aca="false">IF(H531,ROUND(E531*K531,2),Assumptions!$B$11)</f>
        <v>140800</v>
      </c>
      <c r="M531" s="7" t="n">
        <f aca="false">ABS(F531-L531)</f>
        <v>0</v>
      </c>
      <c r="N531" s="6" t="n">
        <f aca="false">INT(E531/Assumptions!$B$12)</f>
        <v>2</v>
      </c>
    </row>
    <row r="532" customFormat="false" ht="15" hidden="false" customHeight="false" outlineLevel="0" collapsed="false">
      <c r="A532" s="2" t="s">
        <v>575</v>
      </c>
      <c r="B532" s="2" t="s">
        <v>47</v>
      </c>
      <c r="C532" s="2" t="s">
        <v>13</v>
      </c>
      <c r="D532" s="2" t="s">
        <v>12</v>
      </c>
      <c r="E532" s="5" t="n">
        <v>216000</v>
      </c>
      <c r="F532" s="5" t="n">
        <v>133920</v>
      </c>
      <c r="G532" s="5" t="n">
        <v>80352</v>
      </c>
      <c r="H532" s="5" t="n">
        <f aca="false">TRUE()</f>
        <v>1</v>
      </c>
      <c r="I532" s="6" t="n">
        <f aca="false">VLOOKUP(D532,Assumptions!$H$4:$I$5,2,FALSE())</f>
        <v>1</v>
      </c>
      <c r="J532" s="6" t="n">
        <f aca="false">MATCH(C532,Assumptions!$K$4:$K$6,0)</f>
        <v>1</v>
      </c>
      <c r="K532" s="6" t="n">
        <f aca="false">INDEX(Assumptions!$L$4:$L$6,J532)</f>
        <v>0.62</v>
      </c>
      <c r="L532" s="6" t="n">
        <f aca="false">IF(H532,ROUND(E532*K532,2),Assumptions!$B$11)</f>
        <v>133920</v>
      </c>
      <c r="M532" s="7" t="n">
        <f aca="false">ABS(F532-L532)</f>
        <v>0</v>
      </c>
      <c r="N532" s="6" t="n">
        <f aca="false">INT(E532/Assumptions!$B$12)</f>
        <v>2</v>
      </c>
    </row>
    <row r="533" customFormat="false" ht="15" hidden="false" customHeight="false" outlineLevel="0" collapsed="false">
      <c r="A533" s="2" t="s">
        <v>576</v>
      </c>
      <c r="B533" s="2" t="s">
        <v>47</v>
      </c>
      <c r="C533" s="2" t="s">
        <v>17</v>
      </c>
      <c r="D533" s="2" t="s">
        <v>12</v>
      </c>
      <c r="E533" s="5" t="n">
        <v>214000</v>
      </c>
      <c r="F533" s="5" t="n">
        <v>149800</v>
      </c>
      <c r="G533" s="5" t="n">
        <v>89880</v>
      </c>
      <c r="H533" s="5" t="n">
        <f aca="false">TRUE()</f>
        <v>1</v>
      </c>
      <c r="I533" s="6" t="n">
        <f aca="false">VLOOKUP(D533,Assumptions!$H$4:$I$5,2,FALSE())</f>
        <v>1</v>
      </c>
      <c r="J533" s="6" t="n">
        <f aca="false">MATCH(C533,Assumptions!$K$4:$K$6,0)</f>
        <v>2</v>
      </c>
      <c r="K533" s="6" t="n">
        <f aca="false">INDEX(Assumptions!$L$4:$L$6,J533)</f>
        <v>0.7</v>
      </c>
      <c r="L533" s="6" t="n">
        <f aca="false">IF(H533,ROUND(E533*K533,2),Assumptions!$B$11)</f>
        <v>149800</v>
      </c>
      <c r="M533" s="7" t="n">
        <f aca="false">ABS(F533-L533)</f>
        <v>0</v>
      </c>
      <c r="N533" s="6" t="n">
        <f aca="false">INT(E533/Assumptions!$B$12)</f>
        <v>2</v>
      </c>
    </row>
    <row r="534" customFormat="false" ht="15" hidden="false" customHeight="false" outlineLevel="0" collapsed="false">
      <c r="A534" s="2" t="s">
        <v>577</v>
      </c>
      <c r="B534" s="2" t="s">
        <v>47</v>
      </c>
      <c r="C534" s="2" t="s">
        <v>20</v>
      </c>
      <c r="D534" s="2" t="s">
        <v>12</v>
      </c>
      <c r="E534" s="5" t="n">
        <v>112000</v>
      </c>
      <c r="F534" s="5" t="n">
        <v>61600</v>
      </c>
      <c r="G534" s="5" t="n">
        <v>36960</v>
      </c>
      <c r="H534" s="5" t="n">
        <f aca="false">TRUE()</f>
        <v>1</v>
      </c>
      <c r="I534" s="6" t="n">
        <f aca="false">VLOOKUP(D534,Assumptions!$H$4:$I$5,2,FALSE())</f>
        <v>1</v>
      </c>
      <c r="J534" s="6" t="n">
        <f aca="false">MATCH(C534,Assumptions!$K$4:$K$6,0)</f>
        <v>3</v>
      </c>
      <c r="K534" s="6" t="n">
        <f aca="false">INDEX(Assumptions!$L$4:$L$6,J534)</f>
        <v>0.55</v>
      </c>
      <c r="L534" s="6" t="n">
        <f aca="false">IF(H534,ROUND(E534*K534,2),Assumptions!$B$11)</f>
        <v>61600</v>
      </c>
      <c r="M534" s="7" t="n">
        <f aca="false">ABS(F534-L534)</f>
        <v>0</v>
      </c>
      <c r="N534" s="6" t="n">
        <f aca="false">INT(E534/Assumptions!$B$12)</f>
        <v>1</v>
      </c>
    </row>
    <row r="535" customFormat="false" ht="15" hidden="false" customHeight="false" outlineLevel="0" collapsed="false">
      <c r="A535" s="2" t="s">
        <v>578</v>
      </c>
      <c r="B535" s="2" t="s">
        <v>47</v>
      </c>
      <c r="C535" s="2" t="s">
        <v>13</v>
      </c>
      <c r="D535" s="2" t="s">
        <v>16</v>
      </c>
      <c r="E535" s="5" t="n">
        <v>437000</v>
      </c>
      <c r="F535" s="5" t="n">
        <v>270940</v>
      </c>
      <c r="G535" s="5" t="n">
        <v>162564</v>
      </c>
      <c r="H535" s="5" t="n">
        <f aca="false">TRUE()</f>
        <v>1</v>
      </c>
      <c r="I535" s="6" t="n">
        <f aca="false">VLOOKUP(D535,Assumptions!$H$4:$I$5,2,FALSE())</f>
        <v>1.15</v>
      </c>
      <c r="J535" s="6" t="n">
        <f aca="false">MATCH(C535,Assumptions!$K$4:$K$6,0)</f>
        <v>1</v>
      </c>
      <c r="K535" s="6" t="n">
        <f aca="false">INDEX(Assumptions!$L$4:$L$6,J535)</f>
        <v>0.62</v>
      </c>
      <c r="L535" s="6" t="n">
        <f aca="false">IF(H535,ROUND(E535*K535,2),Assumptions!$B$11)</f>
        <v>270940</v>
      </c>
      <c r="M535" s="7" t="n">
        <f aca="false">ABS(F535-L535)</f>
        <v>0</v>
      </c>
      <c r="N535" s="6" t="n">
        <f aca="false">INT(E535/Assumptions!$B$12)</f>
        <v>4</v>
      </c>
    </row>
    <row r="536" customFormat="false" ht="15" hidden="false" customHeight="false" outlineLevel="0" collapsed="false">
      <c r="A536" s="2" t="s">
        <v>579</v>
      </c>
      <c r="B536" s="2" t="s">
        <v>47</v>
      </c>
      <c r="C536" s="2" t="s">
        <v>17</v>
      </c>
      <c r="D536" s="2" t="s">
        <v>12</v>
      </c>
      <c r="E536" s="5" t="n">
        <v>198000</v>
      </c>
      <c r="F536" s="5" t="n">
        <v>138600</v>
      </c>
      <c r="G536" s="5" t="n">
        <v>83160</v>
      </c>
      <c r="H536" s="5" t="n">
        <f aca="false">TRUE()</f>
        <v>1</v>
      </c>
      <c r="I536" s="6" t="n">
        <f aca="false">VLOOKUP(D536,Assumptions!$H$4:$I$5,2,FALSE())</f>
        <v>1</v>
      </c>
      <c r="J536" s="6" t="n">
        <f aca="false">MATCH(C536,Assumptions!$K$4:$K$6,0)</f>
        <v>2</v>
      </c>
      <c r="K536" s="6" t="n">
        <f aca="false">INDEX(Assumptions!$L$4:$L$6,J536)</f>
        <v>0.7</v>
      </c>
      <c r="L536" s="6" t="n">
        <f aca="false">IF(H536,ROUND(E536*K536,2),Assumptions!$B$11)</f>
        <v>138600</v>
      </c>
      <c r="M536" s="7" t="n">
        <f aca="false">ABS(F536-L536)</f>
        <v>0</v>
      </c>
      <c r="N536" s="6" t="n">
        <f aca="false">INT(E536/Assumptions!$B$12)</f>
        <v>1</v>
      </c>
    </row>
    <row r="537" customFormat="false" ht="15" hidden="false" customHeight="false" outlineLevel="0" collapsed="false">
      <c r="A537" s="2" t="s">
        <v>580</v>
      </c>
      <c r="B537" s="2" t="s">
        <v>47</v>
      </c>
      <c r="C537" s="2" t="s">
        <v>20</v>
      </c>
      <c r="D537" s="2" t="s">
        <v>12</v>
      </c>
      <c r="E537" s="5" t="n">
        <v>304000</v>
      </c>
      <c r="F537" s="5" t="n">
        <v>167200</v>
      </c>
      <c r="G537" s="5" t="n">
        <v>100320</v>
      </c>
      <c r="H537" s="5" t="n">
        <f aca="false">TRUE()</f>
        <v>1</v>
      </c>
      <c r="I537" s="6" t="n">
        <f aca="false">VLOOKUP(D537,Assumptions!$H$4:$I$5,2,FALSE())</f>
        <v>1</v>
      </c>
      <c r="J537" s="6" t="n">
        <f aca="false">MATCH(C537,Assumptions!$K$4:$K$6,0)</f>
        <v>3</v>
      </c>
      <c r="K537" s="6" t="n">
        <f aca="false">INDEX(Assumptions!$L$4:$L$6,J537)</f>
        <v>0.55</v>
      </c>
      <c r="L537" s="6" t="n">
        <f aca="false">IF(H537,ROUND(E537*K537,2),Assumptions!$B$11)</f>
        <v>167200</v>
      </c>
      <c r="M537" s="7" t="n">
        <f aca="false">ABS(F537-L537)</f>
        <v>0</v>
      </c>
      <c r="N537" s="6" t="n">
        <f aca="false">INT(E537/Assumptions!$B$12)</f>
        <v>3</v>
      </c>
    </row>
    <row r="538" customFormat="false" ht="15" hidden="false" customHeight="false" outlineLevel="0" collapsed="false">
      <c r="A538" s="2" t="s">
        <v>581</v>
      </c>
      <c r="B538" s="2" t="s">
        <v>47</v>
      </c>
      <c r="C538" s="2" t="s">
        <v>13</v>
      </c>
      <c r="D538" s="2" t="s">
        <v>12</v>
      </c>
      <c r="E538" s="5" t="n">
        <v>268000</v>
      </c>
      <c r="F538" s="5" t="n">
        <v>166160</v>
      </c>
      <c r="G538" s="5" t="n">
        <v>99696</v>
      </c>
      <c r="H538" s="5" t="n">
        <f aca="false">TRUE()</f>
        <v>1</v>
      </c>
      <c r="I538" s="6" t="n">
        <f aca="false">VLOOKUP(D538,Assumptions!$H$4:$I$5,2,FALSE())</f>
        <v>1</v>
      </c>
      <c r="J538" s="6" t="n">
        <f aca="false">MATCH(C538,Assumptions!$K$4:$K$6,0)</f>
        <v>1</v>
      </c>
      <c r="K538" s="6" t="n">
        <f aca="false">INDEX(Assumptions!$L$4:$L$6,J538)</f>
        <v>0.62</v>
      </c>
      <c r="L538" s="6" t="n">
        <f aca="false">IF(H538,ROUND(E538*K538,2),Assumptions!$B$11)</f>
        <v>166160</v>
      </c>
      <c r="M538" s="7" t="n">
        <f aca="false">ABS(F538-L538)</f>
        <v>0</v>
      </c>
      <c r="N538" s="6" t="n">
        <f aca="false">INT(E538/Assumptions!$B$12)</f>
        <v>2</v>
      </c>
    </row>
    <row r="539" customFormat="false" ht="15" hidden="false" customHeight="false" outlineLevel="0" collapsed="false">
      <c r="A539" s="2" t="s">
        <v>582</v>
      </c>
      <c r="B539" s="2" t="s">
        <v>47</v>
      </c>
      <c r="C539" s="2" t="s">
        <v>17</v>
      </c>
      <c r="D539" s="2" t="s">
        <v>16</v>
      </c>
      <c r="E539" s="5" t="n">
        <v>242000</v>
      </c>
      <c r="F539" s="5" t="n">
        <v>169400</v>
      </c>
      <c r="G539" s="5" t="n">
        <v>101640</v>
      </c>
      <c r="H539" s="5" t="n">
        <f aca="false">TRUE()</f>
        <v>1</v>
      </c>
      <c r="I539" s="6" t="n">
        <f aca="false">VLOOKUP(D539,Assumptions!$H$4:$I$5,2,FALSE())</f>
        <v>1.15</v>
      </c>
      <c r="J539" s="6" t="n">
        <f aca="false">MATCH(C539,Assumptions!$K$4:$K$6,0)</f>
        <v>2</v>
      </c>
      <c r="K539" s="6" t="n">
        <f aca="false">INDEX(Assumptions!$L$4:$L$6,J539)</f>
        <v>0.7</v>
      </c>
      <c r="L539" s="6" t="n">
        <f aca="false">IF(H539,ROUND(E539*K539,2),Assumptions!$B$11)</f>
        <v>169400</v>
      </c>
      <c r="M539" s="7" t="n">
        <f aca="false">ABS(F539-L539)</f>
        <v>0</v>
      </c>
      <c r="N539" s="6" t="n">
        <f aca="false">INT(E539/Assumptions!$B$12)</f>
        <v>2</v>
      </c>
    </row>
    <row r="540" customFormat="false" ht="15" hidden="false" customHeight="false" outlineLevel="0" collapsed="false">
      <c r="A540" s="2" t="s">
        <v>583</v>
      </c>
      <c r="B540" s="2" t="s">
        <v>47</v>
      </c>
      <c r="C540" s="2" t="s">
        <v>20</v>
      </c>
      <c r="D540" s="2" t="s">
        <v>12</v>
      </c>
      <c r="E540" s="5" t="n">
        <v>135000</v>
      </c>
      <c r="F540" s="5" t="n">
        <v>74250</v>
      </c>
      <c r="G540" s="5" t="n">
        <v>44550</v>
      </c>
      <c r="H540" s="5" t="n">
        <f aca="false">TRUE()</f>
        <v>1</v>
      </c>
      <c r="I540" s="6" t="n">
        <f aca="false">VLOOKUP(D540,Assumptions!$H$4:$I$5,2,FALSE())</f>
        <v>1</v>
      </c>
      <c r="J540" s="6" t="n">
        <f aca="false">MATCH(C540,Assumptions!$K$4:$K$6,0)</f>
        <v>3</v>
      </c>
      <c r="K540" s="6" t="n">
        <f aca="false">INDEX(Assumptions!$L$4:$L$6,J540)</f>
        <v>0.55</v>
      </c>
      <c r="L540" s="6" t="n">
        <f aca="false">IF(H540,ROUND(E540*K540,2),Assumptions!$B$11)</f>
        <v>74250</v>
      </c>
      <c r="M540" s="7" t="n">
        <f aca="false">ABS(F540-L540)</f>
        <v>0</v>
      </c>
      <c r="N540" s="6" t="n">
        <f aca="false">INT(E540/Assumptions!$B$12)</f>
        <v>1</v>
      </c>
    </row>
    <row r="541" customFormat="false" ht="15" hidden="false" customHeight="false" outlineLevel="0" collapsed="false">
      <c r="A541" s="2" t="s">
        <v>584</v>
      </c>
      <c r="B541" s="2" t="s">
        <v>47</v>
      </c>
      <c r="C541" s="2" t="s">
        <v>13</v>
      </c>
      <c r="D541" s="2" t="s">
        <v>12</v>
      </c>
      <c r="E541" s="5" t="n">
        <v>495000</v>
      </c>
      <c r="F541" s="5" t="n">
        <v>306900</v>
      </c>
      <c r="G541" s="5" t="n">
        <v>184140</v>
      </c>
      <c r="H541" s="5" t="n">
        <f aca="false">TRUE()</f>
        <v>1</v>
      </c>
      <c r="I541" s="6" t="n">
        <f aca="false">VLOOKUP(D541,Assumptions!$H$4:$I$5,2,FALSE())</f>
        <v>1</v>
      </c>
      <c r="J541" s="6" t="n">
        <f aca="false">MATCH(C541,Assumptions!$K$4:$K$6,0)</f>
        <v>1</v>
      </c>
      <c r="K541" s="6" t="n">
        <f aca="false">INDEX(Assumptions!$L$4:$L$6,J541)</f>
        <v>0.62</v>
      </c>
      <c r="L541" s="6" t="n">
        <f aca="false">IF(H541,ROUND(E541*K541,2),Assumptions!$B$11)</f>
        <v>306900</v>
      </c>
      <c r="M541" s="7" t="n">
        <f aca="false">ABS(F541-L541)</f>
        <v>0</v>
      </c>
      <c r="N541" s="6" t="n">
        <f aca="false">INT(E541/Assumptions!$B$12)</f>
        <v>4</v>
      </c>
    </row>
    <row r="542" customFormat="false" ht="15" hidden="false" customHeight="false" outlineLevel="0" collapsed="false">
      <c r="A542" s="2" t="s">
        <v>585</v>
      </c>
      <c r="B542" s="2" t="s">
        <v>47</v>
      </c>
      <c r="C542" s="2" t="s">
        <v>17</v>
      </c>
      <c r="D542" s="2" t="s">
        <v>12</v>
      </c>
      <c r="E542" s="5" t="n">
        <v>242000</v>
      </c>
      <c r="F542" s="5" t="n">
        <v>169400</v>
      </c>
      <c r="G542" s="5" t="n">
        <v>101640</v>
      </c>
      <c r="H542" s="5" t="n">
        <f aca="false">TRUE()</f>
        <v>1</v>
      </c>
      <c r="I542" s="6" t="n">
        <f aca="false">VLOOKUP(D542,Assumptions!$H$4:$I$5,2,FALSE())</f>
        <v>1</v>
      </c>
      <c r="J542" s="6" t="n">
        <f aca="false">MATCH(C542,Assumptions!$K$4:$K$6,0)</f>
        <v>2</v>
      </c>
      <c r="K542" s="6" t="n">
        <f aca="false">INDEX(Assumptions!$L$4:$L$6,J542)</f>
        <v>0.7</v>
      </c>
      <c r="L542" s="6" t="n">
        <f aca="false">IF(H542,ROUND(E542*K542,2),Assumptions!$B$11)</f>
        <v>169400</v>
      </c>
      <c r="M542" s="7" t="n">
        <f aca="false">ABS(F542-L542)</f>
        <v>0</v>
      </c>
      <c r="N542" s="6" t="n">
        <f aca="false">INT(E542/Assumptions!$B$12)</f>
        <v>2</v>
      </c>
    </row>
    <row r="543" customFormat="false" ht="15" hidden="false" customHeight="false" outlineLevel="0" collapsed="false">
      <c r="A543" s="2" t="s">
        <v>586</v>
      </c>
      <c r="B543" s="2" t="s">
        <v>47</v>
      </c>
      <c r="C543" s="2" t="s">
        <v>20</v>
      </c>
      <c r="D543" s="2" t="s">
        <v>16</v>
      </c>
      <c r="E543" s="5" t="n">
        <v>279000</v>
      </c>
      <c r="F543" s="5" t="n">
        <v>153450</v>
      </c>
      <c r="G543" s="5" t="n">
        <v>92070</v>
      </c>
      <c r="H543" s="5" t="n">
        <f aca="false">TRUE()</f>
        <v>1</v>
      </c>
      <c r="I543" s="6" t="n">
        <f aca="false">VLOOKUP(D543,Assumptions!$H$4:$I$5,2,FALSE())</f>
        <v>1.15</v>
      </c>
      <c r="J543" s="6" t="n">
        <f aca="false">MATCH(C543,Assumptions!$K$4:$K$6,0)</f>
        <v>3</v>
      </c>
      <c r="K543" s="6" t="n">
        <f aca="false">INDEX(Assumptions!$L$4:$L$6,J543)</f>
        <v>0.55</v>
      </c>
      <c r="L543" s="6" t="n">
        <f aca="false">IF(H543,ROUND(E543*K543,2),Assumptions!$B$11)</f>
        <v>153450</v>
      </c>
      <c r="M543" s="7" t="n">
        <f aca="false">ABS(F543-L543)</f>
        <v>0</v>
      </c>
      <c r="N543" s="6" t="n">
        <f aca="false">INT(E543/Assumptions!$B$12)</f>
        <v>2</v>
      </c>
    </row>
    <row r="544" customFormat="false" ht="15" hidden="false" customHeight="false" outlineLevel="0" collapsed="false">
      <c r="A544" s="2" t="s">
        <v>587</v>
      </c>
      <c r="B544" s="2" t="s">
        <v>47</v>
      </c>
      <c r="C544" s="2" t="s">
        <v>13</v>
      </c>
      <c r="D544" s="2" t="s">
        <v>12</v>
      </c>
      <c r="E544" s="5" t="n">
        <v>428000</v>
      </c>
      <c r="F544" s="5" t="n">
        <v>265360</v>
      </c>
      <c r="G544" s="5" t="n">
        <v>159216</v>
      </c>
      <c r="H544" s="5" t="n">
        <f aca="false">TRUE()</f>
        <v>1</v>
      </c>
      <c r="I544" s="6" t="n">
        <f aca="false">VLOOKUP(D544,Assumptions!$H$4:$I$5,2,FALSE())</f>
        <v>1</v>
      </c>
      <c r="J544" s="6" t="n">
        <f aca="false">MATCH(C544,Assumptions!$K$4:$K$6,0)</f>
        <v>1</v>
      </c>
      <c r="K544" s="6" t="n">
        <f aca="false">INDEX(Assumptions!$L$4:$L$6,J544)</f>
        <v>0.62</v>
      </c>
      <c r="L544" s="6" t="n">
        <f aca="false">IF(H544,ROUND(E544*K544,2),Assumptions!$B$11)</f>
        <v>265360</v>
      </c>
      <c r="M544" s="7" t="n">
        <f aca="false">ABS(F544-L544)</f>
        <v>0</v>
      </c>
      <c r="N544" s="6" t="n">
        <f aca="false">INT(E544/Assumptions!$B$12)</f>
        <v>4</v>
      </c>
    </row>
    <row r="545" customFormat="false" ht="15" hidden="false" customHeight="false" outlineLevel="0" collapsed="false">
      <c r="A545" s="2" t="s">
        <v>588</v>
      </c>
      <c r="B545" s="2" t="s">
        <v>47</v>
      </c>
      <c r="C545" s="2" t="s">
        <v>17</v>
      </c>
      <c r="D545" s="2" t="s">
        <v>12</v>
      </c>
      <c r="E545" s="5" t="n">
        <v>360000</v>
      </c>
      <c r="F545" s="5" t="n">
        <v>252000</v>
      </c>
      <c r="G545" s="5" t="n">
        <v>151200</v>
      </c>
      <c r="H545" s="5" t="n">
        <f aca="false">TRUE()</f>
        <v>1</v>
      </c>
      <c r="I545" s="6" t="n">
        <f aca="false">VLOOKUP(D545,Assumptions!$H$4:$I$5,2,FALSE())</f>
        <v>1</v>
      </c>
      <c r="J545" s="6" t="n">
        <f aca="false">MATCH(C545,Assumptions!$K$4:$K$6,0)</f>
        <v>2</v>
      </c>
      <c r="K545" s="6" t="n">
        <f aca="false">INDEX(Assumptions!$L$4:$L$6,J545)</f>
        <v>0.7</v>
      </c>
      <c r="L545" s="6" t="n">
        <f aca="false">IF(H545,ROUND(E545*K545,2),Assumptions!$B$11)</f>
        <v>252000</v>
      </c>
      <c r="M545" s="7" t="n">
        <f aca="false">ABS(F545-L545)</f>
        <v>0</v>
      </c>
      <c r="N545" s="6" t="n">
        <f aca="false">INT(E545/Assumptions!$B$12)</f>
        <v>3</v>
      </c>
    </row>
    <row r="546" customFormat="false" ht="15" hidden="false" customHeight="false" outlineLevel="0" collapsed="false">
      <c r="A546" s="2" t="s">
        <v>589</v>
      </c>
      <c r="B546" s="2" t="s">
        <v>47</v>
      </c>
      <c r="C546" s="2" t="s">
        <v>20</v>
      </c>
      <c r="D546" s="2" t="s">
        <v>12</v>
      </c>
      <c r="E546" s="5" t="n">
        <v>304000</v>
      </c>
      <c r="F546" s="5" t="n">
        <v>167200</v>
      </c>
      <c r="G546" s="5" t="n">
        <v>100320</v>
      </c>
      <c r="H546" s="5" t="n">
        <f aca="false">TRUE()</f>
        <v>1</v>
      </c>
      <c r="I546" s="6" t="n">
        <f aca="false">VLOOKUP(D546,Assumptions!$H$4:$I$5,2,FALSE())</f>
        <v>1</v>
      </c>
      <c r="J546" s="6" t="n">
        <f aca="false">MATCH(C546,Assumptions!$K$4:$K$6,0)</f>
        <v>3</v>
      </c>
      <c r="K546" s="6" t="n">
        <f aca="false">INDEX(Assumptions!$L$4:$L$6,J546)</f>
        <v>0.55</v>
      </c>
      <c r="L546" s="6" t="n">
        <f aca="false">IF(H546,ROUND(E546*K546,2),Assumptions!$B$11)</f>
        <v>167200</v>
      </c>
      <c r="M546" s="7" t="n">
        <f aca="false">ABS(F546-L546)</f>
        <v>0</v>
      </c>
      <c r="N546" s="6" t="n">
        <f aca="false">INT(E546/Assumptions!$B$12)</f>
        <v>3</v>
      </c>
    </row>
    <row r="547" customFormat="false" ht="15" hidden="false" customHeight="false" outlineLevel="0" collapsed="false">
      <c r="A547" s="2" t="s">
        <v>590</v>
      </c>
      <c r="B547" s="2" t="s">
        <v>47</v>
      </c>
      <c r="C547" s="2" t="s">
        <v>13</v>
      </c>
      <c r="D547" s="2" t="s">
        <v>16</v>
      </c>
      <c r="E547" s="5" t="n">
        <v>447000</v>
      </c>
      <c r="F547" s="5" t="n">
        <v>277140</v>
      </c>
      <c r="G547" s="5" t="n">
        <v>166284</v>
      </c>
      <c r="H547" s="5" t="n">
        <f aca="false">FALSE()</f>
        <v>0</v>
      </c>
      <c r="I547" s="6" t="n">
        <f aca="false">VLOOKUP(D547,Assumptions!$H$4:$I$5,2,FALSE())</f>
        <v>1.15</v>
      </c>
      <c r="J547" s="6" t="n">
        <f aca="false">MATCH(C547,Assumptions!$K$4:$K$6,0)</f>
        <v>1</v>
      </c>
      <c r="K547" s="6" t="n">
        <f aca="false">INDEX(Assumptions!$L$4:$L$6,J547)</f>
        <v>0.62</v>
      </c>
      <c r="L547" s="6" t="n">
        <f aca="false">IF(H547,ROUND(E547*K547,2),Assumptions!$B$11)</f>
        <v>0</v>
      </c>
      <c r="M547" s="7" t="n">
        <f aca="false">ABS(F547-L547)</f>
        <v>277140</v>
      </c>
      <c r="N547" s="6" t="n">
        <f aca="false">INT(E547/Assumptions!$B$12)</f>
        <v>4</v>
      </c>
    </row>
    <row r="548" customFormat="false" ht="15" hidden="false" customHeight="false" outlineLevel="0" collapsed="false">
      <c r="A548" s="2" t="s">
        <v>591</v>
      </c>
      <c r="B548" s="2" t="s">
        <v>47</v>
      </c>
      <c r="C548" s="2" t="s">
        <v>17</v>
      </c>
      <c r="D548" s="2" t="s">
        <v>12</v>
      </c>
      <c r="E548" s="5" t="n">
        <v>374000</v>
      </c>
      <c r="F548" s="5" t="n">
        <v>261800</v>
      </c>
      <c r="G548" s="5" t="n">
        <v>157080</v>
      </c>
      <c r="H548" s="5" t="n">
        <f aca="false">TRUE()</f>
        <v>1</v>
      </c>
      <c r="I548" s="6" t="n">
        <f aca="false">VLOOKUP(D548,Assumptions!$H$4:$I$5,2,FALSE())</f>
        <v>1</v>
      </c>
      <c r="J548" s="6" t="n">
        <f aca="false">MATCH(C548,Assumptions!$K$4:$K$6,0)</f>
        <v>2</v>
      </c>
      <c r="K548" s="6" t="n">
        <f aca="false">INDEX(Assumptions!$L$4:$L$6,J548)</f>
        <v>0.7</v>
      </c>
      <c r="L548" s="6" t="n">
        <f aca="false">IF(H548,ROUND(E548*K548,2),Assumptions!$B$11)</f>
        <v>261800</v>
      </c>
      <c r="M548" s="7" t="n">
        <f aca="false">ABS(F548-L548)</f>
        <v>0</v>
      </c>
      <c r="N548" s="6" t="n">
        <f aca="false">INT(E548/Assumptions!$B$12)</f>
        <v>3</v>
      </c>
    </row>
    <row r="549" customFormat="false" ht="15" hidden="false" customHeight="false" outlineLevel="0" collapsed="false">
      <c r="A549" s="2" t="s">
        <v>592</v>
      </c>
      <c r="B549" s="2" t="s">
        <v>47</v>
      </c>
      <c r="C549" s="2" t="s">
        <v>20</v>
      </c>
      <c r="D549" s="2" t="s">
        <v>12</v>
      </c>
      <c r="E549" s="5" t="n">
        <v>269000</v>
      </c>
      <c r="F549" s="5" t="n">
        <v>147950</v>
      </c>
      <c r="G549" s="5" t="n">
        <v>88770</v>
      </c>
      <c r="H549" s="5" t="n">
        <f aca="false">TRUE()</f>
        <v>1</v>
      </c>
      <c r="I549" s="6" t="n">
        <f aca="false">VLOOKUP(D549,Assumptions!$H$4:$I$5,2,FALSE())</f>
        <v>1</v>
      </c>
      <c r="J549" s="6" t="n">
        <f aca="false">MATCH(C549,Assumptions!$K$4:$K$6,0)</f>
        <v>3</v>
      </c>
      <c r="K549" s="6" t="n">
        <f aca="false">INDEX(Assumptions!$L$4:$L$6,J549)</f>
        <v>0.55</v>
      </c>
      <c r="L549" s="6" t="n">
        <f aca="false">IF(H549,ROUND(E549*K549,2),Assumptions!$B$11)</f>
        <v>147950</v>
      </c>
      <c r="M549" s="7" t="n">
        <f aca="false">ABS(F549-L549)</f>
        <v>0</v>
      </c>
      <c r="N549" s="6" t="n">
        <f aca="false">INT(E549/Assumptions!$B$12)</f>
        <v>2</v>
      </c>
    </row>
    <row r="550" customFormat="false" ht="15" hidden="false" customHeight="false" outlineLevel="0" collapsed="false">
      <c r="A550" s="2" t="s">
        <v>593</v>
      </c>
      <c r="B550" s="2" t="s">
        <v>47</v>
      </c>
      <c r="C550" s="2" t="s">
        <v>13</v>
      </c>
      <c r="D550" s="2" t="s">
        <v>12</v>
      </c>
      <c r="E550" s="5" t="n">
        <v>114000</v>
      </c>
      <c r="F550" s="5" t="n">
        <v>70680</v>
      </c>
      <c r="G550" s="5" t="n">
        <v>42408</v>
      </c>
      <c r="H550" s="5" t="n">
        <f aca="false">TRUE()</f>
        <v>1</v>
      </c>
      <c r="I550" s="6" t="n">
        <f aca="false">VLOOKUP(D550,Assumptions!$H$4:$I$5,2,FALSE())</f>
        <v>1</v>
      </c>
      <c r="J550" s="6" t="n">
        <f aca="false">MATCH(C550,Assumptions!$K$4:$K$6,0)</f>
        <v>1</v>
      </c>
      <c r="K550" s="6" t="n">
        <f aca="false">INDEX(Assumptions!$L$4:$L$6,J550)</f>
        <v>0.62</v>
      </c>
      <c r="L550" s="6" t="n">
        <f aca="false">IF(H550,ROUND(E550*K550,2),Assumptions!$B$11)</f>
        <v>70680</v>
      </c>
      <c r="M550" s="7" t="n">
        <f aca="false">ABS(F550-L550)</f>
        <v>0</v>
      </c>
      <c r="N550" s="6" t="n">
        <f aca="false">INT(E550/Assumptions!$B$12)</f>
        <v>1</v>
      </c>
    </row>
    <row r="551" customFormat="false" ht="15" hidden="false" customHeight="false" outlineLevel="0" collapsed="false">
      <c r="A551" s="2" t="s">
        <v>594</v>
      </c>
      <c r="B551" s="2" t="s">
        <v>47</v>
      </c>
      <c r="C551" s="2" t="s">
        <v>17</v>
      </c>
      <c r="D551" s="2" t="s">
        <v>16</v>
      </c>
      <c r="E551" s="5" t="n">
        <v>159000</v>
      </c>
      <c r="F551" s="5" t="n">
        <v>111300</v>
      </c>
      <c r="G551" s="5" t="n">
        <v>66780</v>
      </c>
      <c r="H551" s="5" t="n">
        <f aca="false">TRUE()</f>
        <v>1</v>
      </c>
      <c r="I551" s="6" t="n">
        <f aca="false">VLOOKUP(D551,Assumptions!$H$4:$I$5,2,FALSE())</f>
        <v>1.15</v>
      </c>
      <c r="J551" s="6" t="n">
        <f aca="false">MATCH(C551,Assumptions!$K$4:$K$6,0)</f>
        <v>2</v>
      </c>
      <c r="K551" s="6" t="n">
        <f aca="false">INDEX(Assumptions!$L$4:$L$6,J551)</f>
        <v>0.7</v>
      </c>
      <c r="L551" s="6" t="n">
        <f aca="false">IF(H551,ROUND(E551*K551,2),Assumptions!$B$11)</f>
        <v>111300</v>
      </c>
      <c r="M551" s="7" t="n">
        <f aca="false">ABS(F551-L551)</f>
        <v>0</v>
      </c>
      <c r="N551" s="6" t="n">
        <f aca="false">INT(E551/Assumptions!$B$12)</f>
        <v>1</v>
      </c>
    </row>
    <row r="552" customFormat="false" ht="15" hidden="false" customHeight="false" outlineLevel="0" collapsed="false">
      <c r="A552" s="2" t="s">
        <v>595</v>
      </c>
      <c r="B552" s="2" t="s">
        <v>47</v>
      </c>
      <c r="C552" s="2" t="s">
        <v>20</v>
      </c>
      <c r="D552" s="2" t="s">
        <v>12</v>
      </c>
      <c r="E552" s="5" t="n">
        <v>233000</v>
      </c>
      <c r="F552" s="5" t="n">
        <v>128150</v>
      </c>
      <c r="G552" s="5" t="n">
        <v>76890</v>
      </c>
      <c r="H552" s="5" t="n">
        <f aca="false">TRUE()</f>
        <v>1</v>
      </c>
      <c r="I552" s="6" t="n">
        <f aca="false">VLOOKUP(D552,Assumptions!$H$4:$I$5,2,FALSE())</f>
        <v>1</v>
      </c>
      <c r="J552" s="6" t="n">
        <f aca="false">MATCH(C552,Assumptions!$K$4:$K$6,0)</f>
        <v>3</v>
      </c>
      <c r="K552" s="6" t="n">
        <f aca="false">INDEX(Assumptions!$L$4:$L$6,J552)</f>
        <v>0.55</v>
      </c>
      <c r="L552" s="6" t="n">
        <f aca="false">IF(H552,ROUND(E552*K552,2),Assumptions!$B$11)</f>
        <v>128150</v>
      </c>
      <c r="M552" s="7" t="n">
        <f aca="false">ABS(F552-L552)</f>
        <v>0</v>
      </c>
      <c r="N552" s="6" t="n">
        <f aca="false">INT(E552/Assumptions!$B$12)</f>
        <v>2</v>
      </c>
    </row>
    <row r="553" customFormat="false" ht="15" hidden="false" customHeight="false" outlineLevel="0" collapsed="false">
      <c r="A553" s="2" t="s">
        <v>596</v>
      </c>
      <c r="B553" s="2" t="s">
        <v>47</v>
      </c>
      <c r="C553" s="2" t="s">
        <v>13</v>
      </c>
      <c r="D553" s="2" t="s">
        <v>12</v>
      </c>
      <c r="E553" s="5" t="n">
        <v>191000</v>
      </c>
      <c r="F553" s="5" t="n">
        <v>118420</v>
      </c>
      <c r="G553" s="5" t="n">
        <v>71052</v>
      </c>
      <c r="H553" s="5" t="n">
        <f aca="false">TRUE()</f>
        <v>1</v>
      </c>
      <c r="I553" s="6" t="n">
        <f aca="false">VLOOKUP(D553,Assumptions!$H$4:$I$5,2,FALSE())</f>
        <v>1</v>
      </c>
      <c r="J553" s="6" t="n">
        <f aca="false">MATCH(C553,Assumptions!$K$4:$K$6,0)</f>
        <v>1</v>
      </c>
      <c r="K553" s="6" t="n">
        <f aca="false">INDEX(Assumptions!$L$4:$L$6,J553)</f>
        <v>0.62</v>
      </c>
      <c r="L553" s="6" t="n">
        <f aca="false">IF(H553,ROUND(E553*K553,2),Assumptions!$B$11)</f>
        <v>118420</v>
      </c>
      <c r="M553" s="7" t="n">
        <f aca="false">ABS(F553-L553)</f>
        <v>0</v>
      </c>
      <c r="N553" s="6" t="n">
        <f aca="false">INT(E553/Assumptions!$B$12)</f>
        <v>1</v>
      </c>
    </row>
    <row r="554" customFormat="false" ht="15" hidden="false" customHeight="false" outlineLevel="0" collapsed="false">
      <c r="A554" s="2" t="s">
        <v>597</v>
      </c>
      <c r="B554" s="2" t="s">
        <v>47</v>
      </c>
      <c r="C554" s="2" t="s">
        <v>17</v>
      </c>
      <c r="D554" s="2" t="s">
        <v>12</v>
      </c>
      <c r="E554" s="5" t="n">
        <v>397000</v>
      </c>
      <c r="F554" s="5" t="n">
        <v>277900</v>
      </c>
      <c r="G554" s="5" t="n">
        <v>166740</v>
      </c>
      <c r="H554" s="5" t="n">
        <f aca="false">TRUE()</f>
        <v>1</v>
      </c>
      <c r="I554" s="6" t="n">
        <f aca="false">VLOOKUP(D554,Assumptions!$H$4:$I$5,2,FALSE())</f>
        <v>1</v>
      </c>
      <c r="J554" s="6" t="n">
        <f aca="false">MATCH(C554,Assumptions!$K$4:$K$6,0)</f>
        <v>2</v>
      </c>
      <c r="K554" s="6" t="n">
        <f aca="false">INDEX(Assumptions!$L$4:$L$6,J554)</f>
        <v>0.7</v>
      </c>
      <c r="L554" s="6" t="n">
        <f aca="false">IF(H554,ROUND(E554*K554,2),Assumptions!$B$11)</f>
        <v>277900</v>
      </c>
      <c r="M554" s="7" t="n">
        <f aca="false">ABS(F554-L554)</f>
        <v>0</v>
      </c>
      <c r="N554" s="6" t="n">
        <f aca="false">INT(E554/Assumptions!$B$12)</f>
        <v>3</v>
      </c>
    </row>
    <row r="555" customFormat="false" ht="15" hidden="false" customHeight="false" outlineLevel="0" collapsed="false">
      <c r="A555" s="2" t="s">
        <v>598</v>
      </c>
      <c r="B555" s="2" t="s">
        <v>47</v>
      </c>
      <c r="C555" s="2" t="s">
        <v>20</v>
      </c>
      <c r="D555" s="2" t="s">
        <v>16</v>
      </c>
      <c r="E555" s="5" t="n">
        <v>235000</v>
      </c>
      <c r="F555" s="5" t="n">
        <v>129250</v>
      </c>
      <c r="G555" s="5" t="n">
        <v>77550</v>
      </c>
      <c r="H555" s="5" t="n">
        <f aca="false">TRUE()</f>
        <v>1</v>
      </c>
      <c r="I555" s="6" t="n">
        <f aca="false">VLOOKUP(D555,Assumptions!$H$4:$I$5,2,FALSE())</f>
        <v>1.15</v>
      </c>
      <c r="J555" s="6" t="n">
        <f aca="false">MATCH(C555,Assumptions!$K$4:$K$6,0)</f>
        <v>3</v>
      </c>
      <c r="K555" s="6" t="n">
        <f aca="false">INDEX(Assumptions!$L$4:$L$6,J555)</f>
        <v>0.55</v>
      </c>
      <c r="L555" s="6" t="n">
        <f aca="false">IF(H555,ROUND(E555*K555,2),Assumptions!$B$11)</f>
        <v>129250</v>
      </c>
      <c r="M555" s="7" t="n">
        <f aca="false">ABS(F555-L555)</f>
        <v>0</v>
      </c>
      <c r="N555" s="6" t="n">
        <f aca="false">INT(E555/Assumptions!$B$12)</f>
        <v>2</v>
      </c>
    </row>
    <row r="556" customFormat="false" ht="15" hidden="false" customHeight="false" outlineLevel="0" collapsed="false">
      <c r="A556" s="2" t="s">
        <v>599</v>
      </c>
      <c r="B556" s="2" t="s">
        <v>47</v>
      </c>
      <c r="C556" s="2" t="s">
        <v>13</v>
      </c>
      <c r="D556" s="2" t="s">
        <v>12</v>
      </c>
      <c r="E556" s="5" t="n">
        <v>119000</v>
      </c>
      <c r="F556" s="5" t="n">
        <v>73780</v>
      </c>
      <c r="G556" s="5" t="n">
        <v>44268</v>
      </c>
      <c r="H556" s="5" t="n">
        <f aca="false">TRUE()</f>
        <v>1</v>
      </c>
      <c r="I556" s="6" t="n">
        <f aca="false">VLOOKUP(D556,Assumptions!$H$4:$I$5,2,FALSE())</f>
        <v>1</v>
      </c>
      <c r="J556" s="6" t="n">
        <f aca="false">MATCH(C556,Assumptions!$K$4:$K$6,0)</f>
        <v>1</v>
      </c>
      <c r="K556" s="6" t="n">
        <f aca="false">INDEX(Assumptions!$L$4:$L$6,J556)</f>
        <v>0.62</v>
      </c>
      <c r="L556" s="6" t="n">
        <f aca="false">IF(H556,ROUND(E556*K556,2),Assumptions!$B$11)</f>
        <v>73780</v>
      </c>
      <c r="M556" s="7" t="n">
        <f aca="false">ABS(F556-L556)</f>
        <v>0</v>
      </c>
      <c r="N556" s="6" t="n">
        <f aca="false">INT(E556/Assumptions!$B$12)</f>
        <v>1</v>
      </c>
    </row>
    <row r="557" customFormat="false" ht="15" hidden="false" customHeight="false" outlineLevel="0" collapsed="false">
      <c r="A557" s="2" t="s">
        <v>600</v>
      </c>
      <c r="B557" s="2" t="s">
        <v>47</v>
      </c>
      <c r="C557" s="2" t="s">
        <v>17</v>
      </c>
      <c r="D557" s="2" t="s">
        <v>12</v>
      </c>
      <c r="E557" s="5" t="n">
        <v>155000</v>
      </c>
      <c r="F557" s="5" t="n">
        <v>108500</v>
      </c>
      <c r="G557" s="5" t="n">
        <v>65100</v>
      </c>
      <c r="H557" s="5" t="n">
        <f aca="false">TRUE()</f>
        <v>1</v>
      </c>
      <c r="I557" s="6" t="n">
        <f aca="false">VLOOKUP(D557,Assumptions!$H$4:$I$5,2,FALSE())</f>
        <v>1</v>
      </c>
      <c r="J557" s="6" t="n">
        <f aca="false">MATCH(C557,Assumptions!$K$4:$K$6,0)</f>
        <v>2</v>
      </c>
      <c r="K557" s="6" t="n">
        <f aca="false">INDEX(Assumptions!$L$4:$L$6,J557)</f>
        <v>0.7</v>
      </c>
      <c r="L557" s="6" t="n">
        <f aca="false">IF(H557,ROUND(E557*K557,2),Assumptions!$B$11)</f>
        <v>108500</v>
      </c>
      <c r="M557" s="7" t="n">
        <f aca="false">ABS(F557-L557)</f>
        <v>0</v>
      </c>
      <c r="N557" s="6" t="n">
        <f aca="false">INT(E557/Assumptions!$B$12)</f>
        <v>1</v>
      </c>
    </row>
    <row r="558" customFormat="false" ht="15" hidden="false" customHeight="false" outlineLevel="0" collapsed="false">
      <c r="A558" s="2" t="s">
        <v>601</v>
      </c>
      <c r="B558" s="2" t="s">
        <v>47</v>
      </c>
      <c r="C558" s="2" t="s">
        <v>20</v>
      </c>
      <c r="D558" s="2" t="s">
        <v>12</v>
      </c>
      <c r="E558" s="5" t="n">
        <v>405000</v>
      </c>
      <c r="F558" s="5" t="n">
        <v>222750</v>
      </c>
      <c r="G558" s="5" t="n">
        <v>133650</v>
      </c>
      <c r="H558" s="5" t="n">
        <f aca="false">TRUE()</f>
        <v>1</v>
      </c>
      <c r="I558" s="6" t="n">
        <f aca="false">VLOOKUP(D558,Assumptions!$H$4:$I$5,2,FALSE())</f>
        <v>1</v>
      </c>
      <c r="J558" s="6" t="n">
        <f aca="false">MATCH(C558,Assumptions!$K$4:$K$6,0)</f>
        <v>3</v>
      </c>
      <c r="K558" s="6" t="n">
        <f aca="false">INDEX(Assumptions!$L$4:$L$6,J558)</f>
        <v>0.55</v>
      </c>
      <c r="L558" s="6" t="n">
        <f aca="false">IF(H558,ROUND(E558*K558,2),Assumptions!$B$11)</f>
        <v>222750</v>
      </c>
      <c r="M558" s="7" t="n">
        <f aca="false">ABS(F558-L558)</f>
        <v>0</v>
      </c>
      <c r="N558" s="6" t="n">
        <f aca="false">INT(E558/Assumptions!$B$12)</f>
        <v>4</v>
      </c>
    </row>
    <row r="559" customFormat="false" ht="15" hidden="false" customHeight="false" outlineLevel="0" collapsed="false">
      <c r="A559" s="2" t="s">
        <v>602</v>
      </c>
      <c r="B559" s="2" t="s">
        <v>47</v>
      </c>
      <c r="C559" s="2" t="s">
        <v>13</v>
      </c>
      <c r="D559" s="2" t="s">
        <v>16</v>
      </c>
      <c r="E559" s="5" t="n">
        <v>322000</v>
      </c>
      <c r="F559" s="5" t="n">
        <v>199640</v>
      </c>
      <c r="G559" s="5" t="n">
        <v>119784</v>
      </c>
      <c r="H559" s="5" t="n">
        <f aca="false">TRUE()</f>
        <v>1</v>
      </c>
      <c r="I559" s="6" t="n">
        <f aca="false">VLOOKUP(D559,Assumptions!$H$4:$I$5,2,FALSE())</f>
        <v>1.15</v>
      </c>
      <c r="J559" s="6" t="n">
        <f aca="false">MATCH(C559,Assumptions!$K$4:$K$6,0)</f>
        <v>1</v>
      </c>
      <c r="K559" s="6" t="n">
        <f aca="false">INDEX(Assumptions!$L$4:$L$6,J559)</f>
        <v>0.62</v>
      </c>
      <c r="L559" s="6" t="n">
        <f aca="false">IF(H559,ROUND(E559*K559,2),Assumptions!$B$11)</f>
        <v>199640</v>
      </c>
      <c r="M559" s="7" t="n">
        <f aca="false">ABS(F559-L559)</f>
        <v>0</v>
      </c>
      <c r="N559" s="6" t="n">
        <f aca="false">INT(E559/Assumptions!$B$12)</f>
        <v>3</v>
      </c>
    </row>
    <row r="560" customFormat="false" ht="15" hidden="false" customHeight="false" outlineLevel="0" collapsed="false">
      <c r="A560" s="2" t="s">
        <v>603</v>
      </c>
      <c r="B560" s="2" t="s">
        <v>47</v>
      </c>
      <c r="C560" s="2" t="s">
        <v>17</v>
      </c>
      <c r="D560" s="2" t="s">
        <v>12</v>
      </c>
      <c r="E560" s="5" t="n">
        <v>276000</v>
      </c>
      <c r="F560" s="5" t="n">
        <v>193200</v>
      </c>
      <c r="G560" s="5" t="n">
        <v>115920</v>
      </c>
      <c r="H560" s="5" t="n">
        <f aca="false">TRUE()</f>
        <v>1</v>
      </c>
      <c r="I560" s="6" t="n">
        <f aca="false">VLOOKUP(D560,Assumptions!$H$4:$I$5,2,FALSE())</f>
        <v>1</v>
      </c>
      <c r="J560" s="6" t="n">
        <f aca="false">MATCH(C560,Assumptions!$K$4:$K$6,0)</f>
        <v>2</v>
      </c>
      <c r="K560" s="6" t="n">
        <f aca="false">INDEX(Assumptions!$L$4:$L$6,J560)</f>
        <v>0.7</v>
      </c>
      <c r="L560" s="6" t="n">
        <f aca="false">IF(H560,ROUND(E560*K560,2),Assumptions!$B$11)</f>
        <v>193200</v>
      </c>
      <c r="M560" s="7" t="n">
        <f aca="false">ABS(F560-L560)</f>
        <v>0</v>
      </c>
      <c r="N560" s="6" t="n">
        <f aca="false">INT(E560/Assumptions!$B$12)</f>
        <v>2</v>
      </c>
    </row>
    <row r="561" customFormat="false" ht="15" hidden="false" customHeight="false" outlineLevel="0" collapsed="false">
      <c r="A561" s="2" t="s">
        <v>604</v>
      </c>
      <c r="B561" s="2" t="s">
        <v>47</v>
      </c>
      <c r="C561" s="2" t="s">
        <v>20</v>
      </c>
      <c r="D561" s="2" t="s">
        <v>12</v>
      </c>
      <c r="E561" s="5" t="n">
        <v>473000</v>
      </c>
      <c r="F561" s="5" t="n">
        <v>260150</v>
      </c>
      <c r="G561" s="5" t="n">
        <v>156090</v>
      </c>
      <c r="H561" s="5" t="n">
        <f aca="false">TRUE()</f>
        <v>1</v>
      </c>
      <c r="I561" s="6" t="n">
        <f aca="false">VLOOKUP(D561,Assumptions!$H$4:$I$5,2,FALSE())</f>
        <v>1</v>
      </c>
      <c r="J561" s="6" t="n">
        <f aca="false">MATCH(C561,Assumptions!$K$4:$K$6,0)</f>
        <v>3</v>
      </c>
      <c r="K561" s="6" t="n">
        <f aca="false">INDEX(Assumptions!$L$4:$L$6,J561)</f>
        <v>0.55</v>
      </c>
      <c r="L561" s="6" t="n">
        <f aca="false">IF(H561,ROUND(E561*K561,2),Assumptions!$B$11)</f>
        <v>260150</v>
      </c>
      <c r="M561" s="7" t="n">
        <f aca="false">ABS(F561-L561)</f>
        <v>0</v>
      </c>
      <c r="N561" s="6" t="n">
        <f aca="false">INT(E561/Assumptions!$B$12)</f>
        <v>4</v>
      </c>
    </row>
    <row r="562" customFormat="false" ht="15" hidden="false" customHeight="false" outlineLevel="0" collapsed="false">
      <c r="A562" s="2" t="s">
        <v>605</v>
      </c>
      <c r="B562" s="2" t="s">
        <v>47</v>
      </c>
      <c r="C562" s="2" t="s">
        <v>13</v>
      </c>
      <c r="D562" s="2" t="s">
        <v>12</v>
      </c>
      <c r="E562" s="5" t="n">
        <v>260000</v>
      </c>
      <c r="F562" s="5" t="n">
        <v>161200</v>
      </c>
      <c r="G562" s="5" t="n">
        <v>96720</v>
      </c>
      <c r="H562" s="5" t="n">
        <f aca="false">TRUE()</f>
        <v>1</v>
      </c>
      <c r="I562" s="6" t="n">
        <f aca="false">VLOOKUP(D562,Assumptions!$H$4:$I$5,2,FALSE())</f>
        <v>1</v>
      </c>
      <c r="J562" s="6" t="n">
        <f aca="false">MATCH(C562,Assumptions!$K$4:$K$6,0)</f>
        <v>1</v>
      </c>
      <c r="K562" s="6" t="n">
        <f aca="false">INDEX(Assumptions!$L$4:$L$6,J562)</f>
        <v>0.62</v>
      </c>
      <c r="L562" s="6" t="n">
        <f aca="false">IF(H562,ROUND(E562*K562,2),Assumptions!$B$11)</f>
        <v>161200</v>
      </c>
      <c r="M562" s="7" t="n">
        <f aca="false">ABS(F562-L562)</f>
        <v>0</v>
      </c>
      <c r="N562" s="6" t="n">
        <f aca="false">INT(E562/Assumptions!$B$12)</f>
        <v>2</v>
      </c>
    </row>
    <row r="563" customFormat="false" ht="15" hidden="false" customHeight="false" outlineLevel="0" collapsed="false">
      <c r="A563" s="2" t="s">
        <v>606</v>
      </c>
      <c r="B563" s="2" t="s">
        <v>47</v>
      </c>
      <c r="C563" s="2" t="s">
        <v>17</v>
      </c>
      <c r="D563" s="2" t="s">
        <v>16</v>
      </c>
      <c r="E563" s="5" t="n">
        <v>323000</v>
      </c>
      <c r="F563" s="5" t="n">
        <v>226100</v>
      </c>
      <c r="G563" s="5" t="n">
        <v>135660</v>
      </c>
      <c r="H563" s="5" t="n">
        <f aca="false">TRUE()</f>
        <v>1</v>
      </c>
      <c r="I563" s="6" t="n">
        <f aca="false">VLOOKUP(D563,Assumptions!$H$4:$I$5,2,FALSE())</f>
        <v>1.15</v>
      </c>
      <c r="J563" s="6" t="n">
        <f aca="false">MATCH(C563,Assumptions!$K$4:$K$6,0)</f>
        <v>2</v>
      </c>
      <c r="K563" s="6" t="n">
        <f aca="false">INDEX(Assumptions!$L$4:$L$6,J563)</f>
        <v>0.7</v>
      </c>
      <c r="L563" s="6" t="n">
        <f aca="false">IF(H563,ROUND(E563*K563,2),Assumptions!$B$11)</f>
        <v>226100</v>
      </c>
      <c r="M563" s="7" t="n">
        <f aca="false">ABS(F563-L563)</f>
        <v>0</v>
      </c>
      <c r="N563" s="6" t="n">
        <f aca="false">INT(E563/Assumptions!$B$12)</f>
        <v>3</v>
      </c>
    </row>
    <row r="564" customFormat="false" ht="15" hidden="false" customHeight="false" outlineLevel="0" collapsed="false">
      <c r="A564" s="2" t="s">
        <v>607</v>
      </c>
      <c r="B564" s="2" t="s">
        <v>47</v>
      </c>
      <c r="C564" s="2" t="s">
        <v>20</v>
      </c>
      <c r="D564" s="2" t="s">
        <v>12</v>
      </c>
      <c r="E564" s="5" t="n">
        <v>410000</v>
      </c>
      <c r="F564" s="5" t="n">
        <v>225500</v>
      </c>
      <c r="G564" s="5" t="n">
        <v>135300</v>
      </c>
      <c r="H564" s="5" t="n">
        <f aca="false">FALSE()</f>
        <v>0</v>
      </c>
      <c r="I564" s="6" t="n">
        <f aca="false">VLOOKUP(D564,Assumptions!$H$4:$I$5,2,FALSE())</f>
        <v>1</v>
      </c>
      <c r="J564" s="6" t="n">
        <f aca="false">MATCH(C564,Assumptions!$K$4:$K$6,0)</f>
        <v>3</v>
      </c>
      <c r="K564" s="6" t="n">
        <f aca="false">INDEX(Assumptions!$L$4:$L$6,J564)</f>
        <v>0.55</v>
      </c>
      <c r="L564" s="6" t="n">
        <f aca="false">IF(H564,ROUND(E564*K564,2),Assumptions!$B$11)</f>
        <v>0</v>
      </c>
      <c r="M564" s="7" t="n">
        <f aca="false">ABS(F564-L564)</f>
        <v>225500</v>
      </c>
      <c r="N564" s="6" t="n">
        <f aca="false">INT(E564/Assumptions!$B$12)</f>
        <v>4</v>
      </c>
    </row>
    <row r="565" customFormat="false" ht="15" hidden="false" customHeight="false" outlineLevel="0" collapsed="false">
      <c r="A565" s="2" t="s">
        <v>608</v>
      </c>
      <c r="B565" s="2" t="s">
        <v>47</v>
      </c>
      <c r="C565" s="2" t="s">
        <v>13</v>
      </c>
      <c r="D565" s="2" t="s">
        <v>12</v>
      </c>
      <c r="E565" s="5" t="n">
        <v>361000</v>
      </c>
      <c r="F565" s="5" t="n">
        <v>223820</v>
      </c>
      <c r="G565" s="5" t="n">
        <v>134292</v>
      </c>
      <c r="H565" s="5" t="n">
        <f aca="false">TRUE()</f>
        <v>1</v>
      </c>
      <c r="I565" s="6" t="n">
        <f aca="false">VLOOKUP(D565,Assumptions!$H$4:$I$5,2,FALSE())</f>
        <v>1</v>
      </c>
      <c r="J565" s="6" t="n">
        <f aca="false">MATCH(C565,Assumptions!$K$4:$K$6,0)</f>
        <v>1</v>
      </c>
      <c r="K565" s="6" t="n">
        <f aca="false">INDEX(Assumptions!$L$4:$L$6,J565)</f>
        <v>0.62</v>
      </c>
      <c r="L565" s="6" t="n">
        <f aca="false">IF(H565,ROUND(E565*K565,2),Assumptions!$B$11)</f>
        <v>223820</v>
      </c>
      <c r="M565" s="7" t="n">
        <f aca="false">ABS(F565-L565)</f>
        <v>0</v>
      </c>
      <c r="N565" s="6" t="n">
        <f aca="false">INT(E565/Assumptions!$B$12)</f>
        <v>3</v>
      </c>
    </row>
    <row r="566" customFormat="false" ht="15" hidden="false" customHeight="false" outlineLevel="0" collapsed="false">
      <c r="A566" s="2" t="s">
        <v>609</v>
      </c>
      <c r="B566" s="2" t="s">
        <v>47</v>
      </c>
      <c r="C566" s="2" t="s">
        <v>17</v>
      </c>
      <c r="D566" s="2" t="s">
        <v>12</v>
      </c>
      <c r="E566" s="5" t="n">
        <v>159000</v>
      </c>
      <c r="F566" s="5" t="n">
        <v>111300</v>
      </c>
      <c r="G566" s="5" t="n">
        <v>66780</v>
      </c>
      <c r="H566" s="5" t="n">
        <f aca="false">TRUE()</f>
        <v>1</v>
      </c>
      <c r="I566" s="6" t="n">
        <f aca="false">VLOOKUP(D566,Assumptions!$H$4:$I$5,2,FALSE())</f>
        <v>1</v>
      </c>
      <c r="J566" s="6" t="n">
        <f aca="false">MATCH(C566,Assumptions!$K$4:$K$6,0)</f>
        <v>2</v>
      </c>
      <c r="K566" s="6" t="n">
        <f aca="false">INDEX(Assumptions!$L$4:$L$6,J566)</f>
        <v>0.7</v>
      </c>
      <c r="L566" s="6" t="n">
        <f aca="false">IF(H566,ROUND(E566*K566,2),Assumptions!$B$11)</f>
        <v>111300</v>
      </c>
      <c r="M566" s="7" t="n">
        <f aca="false">ABS(F566-L566)</f>
        <v>0</v>
      </c>
      <c r="N566" s="6" t="n">
        <f aca="false">INT(E566/Assumptions!$B$12)</f>
        <v>1</v>
      </c>
    </row>
    <row r="567" customFormat="false" ht="15" hidden="false" customHeight="false" outlineLevel="0" collapsed="false">
      <c r="A567" s="2" t="s">
        <v>610</v>
      </c>
      <c r="B567" s="2" t="s">
        <v>47</v>
      </c>
      <c r="C567" s="2" t="s">
        <v>20</v>
      </c>
      <c r="D567" s="2" t="s">
        <v>16</v>
      </c>
      <c r="E567" s="5" t="n">
        <v>297000</v>
      </c>
      <c r="F567" s="5" t="n">
        <v>163350</v>
      </c>
      <c r="G567" s="5" t="n">
        <v>98010</v>
      </c>
      <c r="H567" s="5" t="n">
        <f aca="false">TRUE()</f>
        <v>1</v>
      </c>
      <c r="I567" s="6" t="n">
        <f aca="false">VLOOKUP(D567,Assumptions!$H$4:$I$5,2,FALSE())</f>
        <v>1.15</v>
      </c>
      <c r="J567" s="6" t="n">
        <f aca="false">MATCH(C567,Assumptions!$K$4:$K$6,0)</f>
        <v>3</v>
      </c>
      <c r="K567" s="6" t="n">
        <f aca="false">INDEX(Assumptions!$L$4:$L$6,J567)</f>
        <v>0.55</v>
      </c>
      <c r="L567" s="6" t="n">
        <f aca="false">IF(H567,ROUND(E567*K567,2),Assumptions!$B$11)</f>
        <v>163350</v>
      </c>
      <c r="M567" s="7" t="n">
        <f aca="false">ABS(F567-L567)</f>
        <v>0</v>
      </c>
      <c r="N567" s="6" t="n">
        <f aca="false">INT(E567/Assumptions!$B$12)</f>
        <v>2</v>
      </c>
    </row>
    <row r="568" customFormat="false" ht="15" hidden="false" customHeight="false" outlineLevel="0" collapsed="false">
      <c r="A568" s="2" t="s">
        <v>611</v>
      </c>
      <c r="B568" s="2" t="s">
        <v>47</v>
      </c>
      <c r="C568" s="2" t="s">
        <v>13</v>
      </c>
      <c r="D568" s="2" t="s">
        <v>12</v>
      </c>
      <c r="E568" s="5" t="n">
        <v>395000</v>
      </c>
      <c r="F568" s="5" t="n">
        <v>244900</v>
      </c>
      <c r="G568" s="5" t="n">
        <v>146940</v>
      </c>
      <c r="H568" s="5" t="n">
        <f aca="false">TRUE()</f>
        <v>1</v>
      </c>
      <c r="I568" s="6" t="n">
        <f aca="false">VLOOKUP(D568,Assumptions!$H$4:$I$5,2,FALSE())</f>
        <v>1</v>
      </c>
      <c r="J568" s="6" t="n">
        <f aca="false">MATCH(C568,Assumptions!$K$4:$K$6,0)</f>
        <v>1</v>
      </c>
      <c r="K568" s="6" t="n">
        <f aca="false">INDEX(Assumptions!$L$4:$L$6,J568)</f>
        <v>0.62</v>
      </c>
      <c r="L568" s="6" t="n">
        <f aca="false">IF(H568,ROUND(E568*K568,2),Assumptions!$B$11)</f>
        <v>244900</v>
      </c>
      <c r="M568" s="7" t="n">
        <f aca="false">ABS(F568-L568)</f>
        <v>0</v>
      </c>
      <c r="N568" s="6" t="n">
        <f aca="false">INT(E568/Assumptions!$B$12)</f>
        <v>3</v>
      </c>
    </row>
    <row r="569" customFormat="false" ht="15" hidden="false" customHeight="false" outlineLevel="0" collapsed="false">
      <c r="A569" s="2" t="s">
        <v>612</v>
      </c>
      <c r="B569" s="2" t="s">
        <v>47</v>
      </c>
      <c r="C569" s="2" t="s">
        <v>17</v>
      </c>
      <c r="D569" s="2" t="s">
        <v>12</v>
      </c>
      <c r="E569" s="5" t="n">
        <v>197000</v>
      </c>
      <c r="F569" s="5" t="n">
        <v>137900</v>
      </c>
      <c r="G569" s="5" t="n">
        <v>82740</v>
      </c>
      <c r="H569" s="5" t="n">
        <f aca="false">TRUE()</f>
        <v>1</v>
      </c>
      <c r="I569" s="6" t="n">
        <f aca="false">VLOOKUP(D569,Assumptions!$H$4:$I$5,2,FALSE())</f>
        <v>1</v>
      </c>
      <c r="J569" s="6" t="n">
        <f aca="false">MATCH(C569,Assumptions!$K$4:$K$6,0)</f>
        <v>2</v>
      </c>
      <c r="K569" s="6" t="n">
        <f aca="false">INDEX(Assumptions!$L$4:$L$6,J569)</f>
        <v>0.7</v>
      </c>
      <c r="L569" s="6" t="n">
        <f aca="false">IF(H569,ROUND(E569*K569,2),Assumptions!$B$11)</f>
        <v>137900</v>
      </c>
      <c r="M569" s="7" t="n">
        <f aca="false">ABS(F569-L569)</f>
        <v>0</v>
      </c>
      <c r="N569" s="6" t="n">
        <f aca="false">INT(E569/Assumptions!$B$12)</f>
        <v>1</v>
      </c>
    </row>
    <row r="570" customFormat="false" ht="15" hidden="false" customHeight="false" outlineLevel="0" collapsed="false">
      <c r="A570" s="2" t="s">
        <v>613</v>
      </c>
      <c r="B570" s="2" t="s">
        <v>47</v>
      </c>
      <c r="C570" s="2" t="s">
        <v>20</v>
      </c>
      <c r="D570" s="2" t="s">
        <v>12</v>
      </c>
      <c r="E570" s="5" t="n">
        <v>230000</v>
      </c>
      <c r="F570" s="5" t="n">
        <v>126500</v>
      </c>
      <c r="G570" s="5" t="n">
        <v>75900</v>
      </c>
      <c r="H570" s="5" t="n">
        <f aca="false">TRUE()</f>
        <v>1</v>
      </c>
      <c r="I570" s="6" t="n">
        <f aca="false">VLOOKUP(D570,Assumptions!$H$4:$I$5,2,FALSE())</f>
        <v>1</v>
      </c>
      <c r="J570" s="6" t="n">
        <f aca="false">MATCH(C570,Assumptions!$K$4:$K$6,0)</f>
        <v>3</v>
      </c>
      <c r="K570" s="6" t="n">
        <f aca="false">INDEX(Assumptions!$L$4:$L$6,J570)</f>
        <v>0.55</v>
      </c>
      <c r="L570" s="6" t="n">
        <f aca="false">IF(H570,ROUND(E570*K570,2),Assumptions!$B$11)</f>
        <v>126500</v>
      </c>
      <c r="M570" s="7" t="n">
        <f aca="false">ABS(F570-L570)</f>
        <v>0</v>
      </c>
      <c r="N570" s="6" t="n">
        <f aca="false">INT(E570/Assumptions!$B$12)</f>
        <v>2</v>
      </c>
    </row>
    <row r="571" customFormat="false" ht="15" hidden="false" customHeight="false" outlineLevel="0" collapsed="false">
      <c r="A571" s="2" t="s">
        <v>614</v>
      </c>
      <c r="B571" s="2" t="s">
        <v>47</v>
      </c>
      <c r="C571" s="2" t="s">
        <v>13</v>
      </c>
      <c r="D571" s="2" t="s">
        <v>16</v>
      </c>
      <c r="E571" s="5" t="n">
        <v>122000</v>
      </c>
      <c r="F571" s="5" t="n">
        <v>75640</v>
      </c>
      <c r="G571" s="5" t="n">
        <v>45384</v>
      </c>
      <c r="H571" s="5" t="n">
        <f aca="false">TRUE()</f>
        <v>1</v>
      </c>
      <c r="I571" s="6" t="n">
        <f aca="false">VLOOKUP(D571,Assumptions!$H$4:$I$5,2,FALSE())</f>
        <v>1.15</v>
      </c>
      <c r="J571" s="6" t="n">
        <f aca="false">MATCH(C571,Assumptions!$K$4:$K$6,0)</f>
        <v>1</v>
      </c>
      <c r="K571" s="6" t="n">
        <f aca="false">INDEX(Assumptions!$L$4:$L$6,J571)</f>
        <v>0.62</v>
      </c>
      <c r="L571" s="6" t="n">
        <f aca="false">IF(H571,ROUND(E571*K571,2),Assumptions!$B$11)</f>
        <v>75640</v>
      </c>
      <c r="M571" s="7" t="n">
        <f aca="false">ABS(F571-L571)</f>
        <v>0</v>
      </c>
      <c r="N571" s="6" t="n">
        <f aca="false">INT(E571/Assumptions!$B$12)</f>
        <v>1</v>
      </c>
    </row>
    <row r="572" customFormat="false" ht="15" hidden="false" customHeight="false" outlineLevel="0" collapsed="false">
      <c r="A572" s="2" t="s">
        <v>615</v>
      </c>
      <c r="B572" s="2" t="s">
        <v>47</v>
      </c>
      <c r="C572" s="2" t="s">
        <v>17</v>
      </c>
      <c r="D572" s="2" t="s">
        <v>12</v>
      </c>
      <c r="E572" s="5" t="n">
        <v>462000</v>
      </c>
      <c r="F572" s="5" t="n">
        <v>323400</v>
      </c>
      <c r="G572" s="5" t="n">
        <v>194040</v>
      </c>
      <c r="H572" s="5" t="n">
        <f aca="false">TRUE()</f>
        <v>1</v>
      </c>
      <c r="I572" s="6" t="n">
        <f aca="false">VLOOKUP(D572,Assumptions!$H$4:$I$5,2,FALSE())</f>
        <v>1</v>
      </c>
      <c r="J572" s="6" t="n">
        <f aca="false">MATCH(C572,Assumptions!$K$4:$K$6,0)</f>
        <v>2</v>
      </c>
      <c r="K572" s="6" t="n">
        <f aca="false">INDEX(Assumptions!$L$4:$L$6,J572)</f>
        <v>0.7</v>
      </c>
      <c r="L572" s="6" t="n">
        <f aca="false">IF(H572,ROUND(E572*K572,2),Assumptions!$B$11)</f>
        <v>323400</v>
      </c>
      <c r="M572" s="7" t="n">
        <f aca="false">ABS(F572-L572)</f>
        <v>0</v>
      </c>
      <c r="N572" s="6" t="n">
        <f aca="false">INT(E572/Assumptions!$B$12)</f>
        <v>4</v>
      </c>
    </row>
    <row r="573" customFormat="false" ht="15" hidden="false" customHeight="false" outlineLevel="0" collapsed="false">
      <c r="A573" s="2" t="s">
        <v>616</v>
      </c>
      <c r="B573" s="2" t="s">
        <v>47</v>
      </c>
      <c r="C573" s="2" t="s">
        <v>20</v>
      </c>
      <c r="D573" s="2" t="s">
        <v>12</v>
      </c>
      <c r="E573" s="5" t="n">
        <v>323000</v>
      </c>
      <c r="F573" s="5" t="n">
        <v>177650</v>
      </c>
      <c r="G573" s="5" t="n">
        <v>106590</v>
      </c>
      <c r="H573" s="5" t="n">
        <f aca="false">TRUE()</f>
        <v>1</v>
      </c>
      <c r="I573" s="6" t="n">
        <f aca="false">VLOOKUP(D573,Assumptions!$H$4:$I$5,2,FALSE())</f>
        <v>1</v>
      </c>
      <c r="J573" s="6" t="n">
        <f aca="false">MATCH(C573,Assumptions!$K$4:$K$6,0)</f>
        <v>3</v>
      </c>
      <c r="K573" s="6" t="n">
        <f aca="false">INDEX(Assumptions!$L$4:$L$6,J573)</f>
        <v>0.55</v>
      </c>
      <c r="L573" s="6" t="n">
        <f aca="false">IF(H573,ROUND(E573*K573,2),Assumptions!$B$11)</f>
        <v>177650</v>
      </c>
      <c r="M573" s="7" t="n">
        <f aca="false">ABS(F573-L573)</f>
        <v>0</v>
      </c>
      <c r="N573" s="6" t="n">
        <f aca="false">INT(E573/Assumptions!$B$12)</f>
        <v>3</v>
      </c>
    </row>
    <row r="574" customFormat="false" ht="15" hidden="false" customHeight="false" outlineLevel="0" collapsed="false">
      <c r="A574" s="2" t="s">
        <v>617</v>
      </c>
      <c r="B574" s="2" t="s">
        <v>47</v>
      </c>
      <c r="C574" s="2" t="s">
        <v>13</v>
      </c>
      <c r="D574" s="2" t="s">
        <v>12</v>
      </c>
      <c r="E574" s="5" t="n">
        <v>100000</v>
      </c>
      <c r="F574" s="5" t="n">
        <v>62000</v>
      </c>
      <c r="G574" s="5" t="n">
        <v>37200</v>
      </c>
      <c r="H574" s="5" t="n">
        <f aca="false">TRUE()</f>
        <v>1</v>
      </c>
      <c r="I574" s="6" t="n">
        <f aca="false">VLOOKUP(D574,Assumptions!$H$4:$I$5,2,FALSE())</f>
        <v>1</v>
      </c>
      <c r="J574" s="6" t="n">
        <f aca="false">MATCH(C574,Assumptions!$K$4:$K$6,0)</f>
        <v>1</v>
      </c>
      <c r="K574" s="6" t="n">
        <f aca="false">INDEX(Assumptions!$L$4:$L$6,J574)</f>
        <v>0.62</v>
      </c>
      <c r="L574" s="6" t="n">
        <f aca="false">IF(H574,ROUND(E574*K574,2),Assumptions!$B$11)</f>
        <v>62000</v>
      </c>
      <c r="M574" s="7" t="n">
        <f aca="false">ABS(F574-L574)</f>
        <v>0</v>
      </c>
      <c r="N574" s="6" t="n">
        <f aca="false">INT(E574/Assumptions!$B$12)</f>
        <v>1</v>
      </c>
    </row>
    <row r="575" customFormat="false" ht="15" hidden="false" customHeight="false" outlineLevel="0" collapsed="false">
      <c r="A575" s="2" t="s">
        <v>618</v>
      </c>
      <c r="B575" s="2" t="s">
        <v>47</v>
      </c>
      <c r="C575" s="2" t="s">
        <v>17</v>
      </c>
      <c r="D575" s="2" t="s">
        <v>16</v>
      </c>
      <c r="E575" s="5" t="n">
        <v>366000</v>
      </c>
      <c r="F575" s="5" t="n">
        <v>256200</v>
      </c>
      <c r="G575" s="5" t="n">
        <v>153720</v>
      </c>
      <c r="H575" s="5" t="n">
        <f aca="false">TRUE()</f>
        <v>1</v>
      </c>
      <c r="I575" s="6" t="n">
        <f aca="false">VLOOKUP(D575,Assumptions!$H$4:$I$5,2,FALSE())</f>
        <v>1.15</v>
      </c>
      <c r="J575" s="6" t="n">
        <f aca="false">MATCH(C575,Assumptions!$K$4:$K$6,0)</f>
        <v>2</v>
      </c>
      <c r="K575" s="6" t="n">
        <f aca="false">INDEX(Assumptions!$L$4:$L$6,J575)</f>
        <v>0.7</v>
      </c>
      <c r="L575" s="6" t="n">
        <f aca="false">IF(H575,ROUND(E575*K575,2),Assumptions!$B$11)</f>
        <v>256200</v>
      </c>
      <c r="M575" s="7" t="n">
        <f aca="false">ABS(F575-L575)</f>
        <v>0</v>
      </c>
      <c r="N575" s="6" t="n">
        <f aca="false">INT(E575/Assumptions!$B$12)</f>
        <v>3</v>
      </c>
    </row>
    <row r="576" customFormat="false" ht="15" hidden="false" customHeight="false" outlineLevel="0" collapsed="false">
      <c r="A576" s="2" t="s">
        <v>619</v>
      </c>
      <c r="B576" s="2" t="s">
        <v>47</v>
      </c>
      <c r="C576" s="2" t="s">
        <v>20</v>
      </c>
      <c r="D576" s="2" t="s">
        <v>12</v>
      </c>
      <c r="E576" s="5" t="n">
        <v>375000</v>
      </c>
      <c r="F576" s="5" t="n">
        <v>206250</v>
      </c>
      <c r="G576" s="5" t="n">
        <v>123750</v>
      </c>
      <c r="H576" s="5" t="n">
        <f aca="false">TRUE()</f>
        <v>1</v>
      </c>
      <c r="I576" s="6" t="n">
        <f aca="false">VLOOKUP(D576,Assumptions!$H$4:$I$5,2,FALSE())</f>
        <v>1</v>
      </c>
      <c r="J576" s="6" t="n">
        <f aca="false">MATCH(C576,Assumptions!$K$4:$K$6,0)</f>
        <v>3</v>
      </c>
      <c r="K576" s="6" t="n">
        <f aca="false">INDEX(Assumptions!$L$4:$L$6,J576)</f>
        <v>0.55</v>
      </c>
      <c r="L576" s="6" t="n">
        <f aca="false">IF(H576,ROUND(E576*K576,2),Assumptions!$B$11)</f>
        <v>206250</v>
      </c>
      <c r="M576" s="7" t="n">
        <f aca="false">ABS(F576-L576)</f>
        <v>0</v>
      </c>
      <c r="N576" s="6" t="n">
        <f aca="false">INT(E576/Assumptions!$B$12)</f>
        <v>3</v>
      </c>
    </row>
    <row r="577" customFormat="false" ht="15" hidden="false" customHeight="false" outlineLevel="0" collapsed="false">
      <c r="A577" s="2" t="s">
        <v>620</v>
      </c>
      <c r="B577" s="2" t="s">
        <v>47</v>
      </c>
      <c r="C577" s="2" t="s">
        <v>13</v>
      </c>
      <c r="D577" s="2" t="s">
        <v>12</v>
      </c>
      <c r="E577" s="5" t="n">
        <v>451000</v>
      </c>
      <c r="F577" s="5" t="n">
        <v>279620</v>
      </c>
      <c r="G577" s="5" t="n">
        <v>167772</v>
      </c>
      <c r="H577" s="5" t="n">
        <f aca="false">TRUE()</f>
        <v>1</v>
      </c>
      <c r="I577" s="6" t="n">
        <f aca="false">VLOOKUP(D577,Assumptions!$H$4:$I$5,2,FALSE())</f>
        <v>1</v>
      </c>
      <c r="J577" s="6" t="n">
        <f aca="false">MATCH(C577,Assumptions!$K$4:$K$6,0)</f>
        <v>1</v>
      </c>
      <c r="K577" s="6" t="n">
        <f aca="false">INDEX(Assumptions!$L$4:$L$6,J577)</f>
        <v>0.62</v>
      </c>
      <c r="L577" s="6" t="n">
        <f aca="false">IF(H577,ROUND(E577*K577,2),Assumptions!$B$11)</f>
        <v>279620</v>
      </c>
      <c r="M577" s="7" t="n">
        <f aca="false">ABS(F577-L577)</f>
        <v>0</v>
      </c>
      <c r="N577" s="6" t="n">
        <f aca="false">INT(E577/Assumptions!$B$12)</f>
        <v>4</v>
      </c>
    </row>
    <row r="578" customFormat="false" ht="15" hidden="false" customHeight="false" outlineLevel="0" collapsed="false">
      <c r="A578" s="2" t="s">
        <v>621</v>
      </c>
      <c r="B578" s="2" t="s">
        <v>47</v>
      </c>
      <c r="C578" s="2" t="s">
        <v>17</v>
      </c>
      <c r="D578" s="2" t="s">
        <v>12</v>
      </c>
      <c r="E578" s="5" t="n">
        <v>468000</v>
      </c>
      <c r="F578" s="5" t="n">
        <v>327600</v>
      </c>
      <c r="G578" s="5" t="n">
        <v>196560</v>
      </c>
      <c r="H578" s="5" t="n">
        <f aca="false">TRUE()</f>
        <v>1</v>
      </c>
      <c r="I578" s="6" t="n">
        <f aca="false">VLOOKUP(D578,Assumptions!$H$4:$I$5,2,FALSE())</f>
        <v>1</v>
      </c>
      <c r="J578" s="6" t="n">
        <f aca="false">MATCH(C578,Assumptions!$K$4:$K$6,0)</f>
        <v>2</v>
      </c>
      <c r="K578" s="6" t="n">
        <f aca="false">INDEX(Assumptions!$L$4:$L$6,J578)</f>
        <v>0.7</v>
      </c>
      <c r="L578" s="6" t="n">
        <f aca="false">IF(H578,ROUND(E578*K578,2),Assumptions!$B$11)</f>
        <v>327600</v>
      </c>
      <c r="M578" s="7" t="n">
        <f aca="false">ABS(F578-L578)</f>
        <v>0</v>
      </c>
      <c r="N578" s="6" t="n">
        <f aca="false">INT(E578/Assumptions!$B$12)</f>
        <v>4</v>
      </c>
    </row>
    <row r="579" customFormat="false" ht="15" hidden="false" customHeight="false" outlineLevel="0" collapsed="false">
      <c r="A579" s="2" t="s">
        <v>622</v>
      </c>
      <c r="B579" s="2" t="s">
        <v>47</v>
      </c>
      <c r="C579" s="2" t="s">
        <v>20</v>
      </c>
      <c r="D579" s="2" t="s">
        <v>16</v>
      </c>
      <c r="E579" s="5" t="n">
        <v>479000</v>
      </c>
      <c r="F579" s="5" t="n">
        <v>263450</v>
      </c>
      <c r="G579" s="5" t="n">
        <v>158070</v>
      </c>
      <c r="H579" s="5" t="n">
        <f aca="false">TRUE()</f>
        <v>1</v>
      </c>
      <c r="I579" s="6" t="n">
        <f aca="false">VLOOKUP(D579,Assumptions!$H$4:$I$5,2,FALSE())</f>
        <v>1.15</v>
      </c>
      <c r="J579" s="6" t="n">
        <f aca="false">MATCH(C579,Assumptions!$K$4:$K$6,0)</f>
        <v>3</v>
      </c>
      <c r="K579" s="6" t="n">
        <f aca="false">INDEX(Assumptions!$L$4:$L$6,J579)</f>
        <v>0.55</v>
      </c>
      <c r="L579" s="6" t="n">
        <f aca="false">IF(H579,ROUND(E579*K579,2),Assumptions!$B$11)</f>
        <v>263450</v>
      </c>
      <c r="M579" s="7" t="n">
        <f aca="false">ABS(F579-L579)</f>
        <v>0</v>
      </c>
      <c r="N579" s="6" t="n">
        <f aca="false">INT(E579/Assumptions!$B$12)</f>
        <v>4</v>
      </c>
    </row>
    <row r="580" customFormat="false" ht="15" hidden="false" customHeight="false" outlineLevel="0" collapsed="false">
      <c r="A580" s="2" t="s">
        <v>623</v>
      </c>
      <c r="B580" s="2" t="s">
        <v>47</v>
      </c>
      <c r="C580" s="2" t="s">
        <v>13</v>
      </c>
      <c r="D580" s="2" t="s">
        <v>12</v>
      </c>
      <c r="E580" s="5" t="n">
        <v>477000</v>
      </c>
      <c r="F580" s="5" t="n">
        <v>295740</v>
      </c>
      <c r="G580" s="5" t="n">
        <v>177444</v>
      </c>
      <c r="H580" s="5" t="n">
        <f aca="false">TRUE()</f>
        <v>1</v>
      </c>
      <c r="I580" s="6" t="n">
        <f aca="false">VLOOKUP(D580,Assumptions!$H$4:$I$5,2,FALSE())</f>
        <v>1</v>
      </c>
      <c r="J580" s="6" t="n">
        <f aca="false">MATCH(C580,Assumptions!$K$4:$K$6,0)</f>
        <v>1</v>
      </c>
      <c r="K580" s="6" t="n">
        <f aca="false">INDEX(Assumptions!$L$4:$L$6,J580)</f>
        <v>0.62</v>
      </c>
      <c r="L580" s="6" t="n">
        <f aca="false">IF(H580,ROUND(E580*K580,2),Assumptions!$B$11)</f>
        <v>295740</v>
      </c>
      <c r="M580" s="7" t="n">
        <f aca="false">ABS(F580-L580)</f>
        <v>0</v>
      </c>
      <c r="N580" s="6" t="n">
        <f aca="false">INT(E580/Assumptions!$B$12)</f>
        <v>4</v>
      </c>
    </row>
    <row r="581" customFormat="false" ht="15" hidden="false" customHeight="false" outlineLevel="0" collapsed="false">
      <c r="A581" s="2" t="s">
        <v>624</v>
      </c>
      <c r="B581" s="2" t="s">
        <v>47</v>
      </c>
      <c r="C581" s="2" t="s">
        <v>17</v>
      </c>
      <c r="D581" s="2" t="s">
        <v>12</v>
      </c>
      <c r="E581" s="5" t="n">
        <v>443000</v>
      </c>
      <c r="F581" s="5" t="n">
        <v>310100</v>
      </c>
      <c r="G581" s="5" t="n">
        <v>186060</v>
      </c>
      <c r="H581" s="5" t="n">
        <f aca="false">FALSE()</f>
        <v>0</v>
      </c>
      <c r="I581" s="6" t="n">
        <f aca="false">VLOOKUP(D581,Assumptions!$H$4:$I$5,2,FALSE())</f>
        <v>1</v>
      </c>
      <c r="J581" s="6" t="n">
        <f aca="false">MATCH(C581,Assumptions!$K$4:$K$6,0)</f>
        <v>2</v>
      </c>
      <c r="K581" s="6" t="n">
        <f aca="false">INDEX(Assumptions!$L$4:$L$6,J581)</f>
        <v>0.7</v>
      </c>
      <c r="L581" s="6" t="n">
        <f aca="false">IF(H581,ROUND(E581*K581,2),Assumptions!$B$11)</f>
        <v>0</v>
      </c>
      <c r="M581" s="7" t="n">
        <f aca="false">ABS(F581-L581)</f>
        <v>310100</v>
      </c>
      <c r="N581" s="6" t="n">
        <f aca="false">INT(E581/Assumptions!$B$12)</f>
        <v>4</v>
      </c>
    </row>
    <row r="582" customFormat="false" ht="15" hidden="false" customHeight="false" outlineLevel="0" collapsed="false">
      <c r="A582" s="2" t="s">
        <v>625</v>
      </c>
      <c r="B582" s="2" t="s">
        <v>47</v>
      </c>
      <c r="C582" s="2" t="s">
        <v>20</v>
      </c>
      <c r="D582" s="2" t="s">
        <v>12</v>
      </c>
      <c r="E582" s="5" t="n">
        <v>200000</v>
      </c>
      <c r="F582" s="5" t="n">
        <v>110000</v>
      </c>
      <c r="G582" s="5" t="n">
        <v>66000</v>
      </c>
      <c r="H582" s="5" t="n">
        <f aca="false">TRUE()</f>
        <v>1</v>
      </c>
      <c r="I582" s="6" t="n">
        <f aca="false">VLOOKUP(D582,Assumptions!$H$4:$I$5,2,FALSE())</f>
        <v>1</v>
      </c>
      <c r="J582" s="6" t="n">
        <f aca="false">MATCH(C582,Assumptions!$K$4:$K$6,0)</f>
        <v>3</v>
      </c>
      <c r="K582" s="6" t="n">
        <f aca="false">INDEX(Assumptions!$L$4:$L$6,J582)</f>
        <v>0.55</v>
      </c>
      <c r="L582" s="6" t="n">
        <f aca="false">IF(H582,ROUND(E582*K582,2),Assumptions!$B$11)</f>
        <v>110000</v>
      </c>
      <c r="M582" s="7" t="n">
        <f aca="false">ABS(F582-L582)</f>
        <v>0</v>
      </c>
      <c r="N582" s="6" t="n">
        <f aca="false">INT(E582/Assumptions!$B$12)</f>
        <v>2</v>
      </c>
    </row>
    <row r="583" customFormat="false" ht="15" hidden="false" customHeight="false" outlineLevel="0" collapsed="false">
      <c r="A583" s="2" t="s">
        <v>626</v>
      </c>
      <c r="B583" s="2" t="s">
        <v>47</v>
      </c>
      <c r="C583" s="2" t="s">
        <v>13</v>
      </c>
      <c r="D583" s="2" t="s">
        <v>16</v>
      </c>
      <c r="E583" s="5" t="n">
        <v>286000</v>
      </c>
      <c r="F583" s="5" t="n">
        <v>177320</v>
      </c>
      <c r="G583" s="5" t="n">
        <v>106392</v>
      </c>
      <c r="H583" s="5" t="n">
        <f aca="false">TRUE()</f>
        <v>1</v>
      </c>
      <c r="I583" s="6" t="n">
        <f aca="false">VLOOKUP(D583,Assumptions!$H$4:$I$5,2,FALSE())</f>
        <v>1.15</v>
      </c>
      <c r="J583" s="6" t="n">
        <f aca="false">MATCH(C583,Assumptions!$K$4:$K$6,0)</f>
        <v>1</v>
      </c>
      <c r="K583" s="6" t="n">
        <f aca="false">INDEX(Assumptions!$L$4:$L$6,J583)</f>
        <v>0.62</v>
      </c>
      <c r="L583" s="6" t="n">
        <f aca="false">IF(H583,ROUND(E583*K583,2),Assumptions!$B$11)</f>
        <v>177320</v>
      </c>
      <c r="M583" s="7" t="n">
        <f aca="false">ABS(F583-L583)</f>
        <v>0</v>
      </c>
      <c r="N583" s="6" t="n">
        <f aca="false">INT(E583/Assumptions!$B$12)</f>
        <v>2</v>
      </c>
    </row>
    <row r="584" customFormat="false" ht="15" hidden="false" customHeight="false" outlineLevel="0" collapsed="false">
      <c r="A584" s="2" t="s">
        <v>627</v>
      </c>
      <c r="B584" s="2" t="s">
        <v>47</v>
      </c>
      <c r="C584" s="2" t="s">
        <v>17</v>
      </c>
      <c r="D584" s="2" t="s">
        <v>12</v>
      </c>
      <c r="E584" s="5" t="n">
        <v>320000</v>
      </c>
      <c r="F584" s="5" t="n">
        <v>224000</v>
      </c>
      <c r="G584" s="5" t="n">
        <v>134400</v>
      </c>
      <c r="H584" s="5" t="n">
        <f aca="false">TRUE()</f>
        <v>1</v>
      </c>
      <c r="I584" s="6" t="n">
        <f aca="false">VLOOKUP(D584,Assumptions!$H$4:$I$5,2,FALSE())</f>
        <v>1</v>
      </c>
      <c r="J584" s="6" t="n">
        <f aca="false">MATCH(C584,Assumptions!$K$4:$K$6,0)</f>
        <v>2</v>
      </c>
      <c r="K584" s="6" t="n">
        <f aca="false">INDEX(Assumptions!$L$4:$L$6,J584)</f>
        <v>0.7</v>
      </c>
      <c r="L584" s="6" t="n">
        <f aca="false">IF(H584,ROUND(E584*K584,2),Assumptions!$B$11)</f>
        <v>224000</v>
      </c>
      <c r="M584" s="7" t="n">
        <f aca="false">ABS(F584-L584)</f>
        <v>0</v>
      </c>
      <c r="N584" s="6" t="n">
        <f aca="false">INT(E584/Assumptions!$B$12)</f>
        <v>3</v>
      </c>
    </row>
    <row r="585" customFormat="false" ht="15" hidden="false" customHeight="false" outlineLevel="0" collapsed="false">
      <c r="A585" s="2" t="s">
        <v>628</v>
      </c>
      <c r="B585" s="2" t="s">
        <v>47</v>
      </c>
      <c r="C585" s="2" t="s">
        <v>20</v>
      </c>
      <c r="D585" s="2" t="s">
        <v>12</v>
      </c>
      <c r="E585" s="5" t="n">
        <v>135000</v>
      </c>
      <c r="F585" s="5" t="n">
        <v>74250</v>
      </c>
      <c r="G585" s="5" t="n">
        <v>44550</v>
      </c>
      <c r="H585" s="5" t="n">
        <f aca="false">TRUE()</f>
        <v>1</v>
      </c>
      <c r="I585" s="6" t="n">
        <f aca="false">VLOOKUP(D585,Assumptions!$H$4:$I$5,2,FALSE())</f>
        <v>1</v>
      </c>
      <c r="J585" s="6" t="n">
        <f aca="false">MATCH(C585,Assumptions!$K$4:$K$6,0)</f>
        <v>3</v>
      </c>
      <c r="K585" s="6" t="n">
        <f aca="false">INDEX(Assumptions!$L$4:$L$6,J585)</f>
        <v>0.55</v>
      </c>
      <c r="L585" s="6" t="n">
        <f aca="false">IF(H585,ROUND(E585*K585,2),Assumptions!$B$11)</f>
        <v>74250</v>
      </c>
      <c r="M585" s="7" t="n">
        <f aca="false">ABS(F585-L585)</f>
        <v>0</v>
      </c>
      <c r="N585" s="6" t="n">
        <f aca="false">INT(E585/Assumptions!$B$12)</f>
        <v>1</v>
      </c>
    </row>
    <row r="586" customFormat="false" ht="15" hidden="false" customHeight="false" outlineLevel="0" collapsed="false">
      <c r="A586" s="2" t="s">
        <v>629</v>
      </c>
      <c r="B586" s="2" t="s">
        <v>47</v>
      </c>
      <c r="C586" s="2" t="s">
        <v>13</v>
      </c>
      <c r="D586" s="2" t="s">
        <v>12</v>
      </c>
      <c r="E586" s="5" t="n">
        <v>440000</v>
      </c>
      <c r="F586" s="5" t="n">
        <v>272800</v>
      </c>
      <c r="G586" s="5" t="n">
        <v>163680</v>
      </c>
      <c r="H586" s="5" t="n">
        <f aca="false">TRUE()</f>
        <v>1</v>
      </c>
      <c r="I586" s="6" t="n">
        <f aca="false">VLOOKUP(D586,Assumptions!$H$4:$I$5,2,FALSE())</f>
        <v>1</v>
      </c>
      <c r="J586" s="6" t="n">
        <f aca="false">MATCH(C586,Assumptions!$K$4:$K$6,0)</f>
        <v>1</v>
      </c>
      <c r="K586" s="6" t="n">
        <f aca="false">INDEX(Assumptions!$L$4:$L$6,J586)</f>
        <v>0.62</v>
      </c>
      <c r="L586" s="6" t="n">
        <f aca="false">IF(H586,ROUND(E586*K586,2),Assumptions!$B$11)</f>
        <v>272800</v>
      </c>
      <c r="M586" s="7" t="n">
        <f aca="false">ABS(F586-L586)</f>
        <v>0</v>
      </c>
      <c r="N586" s="6" t="n">
        <f aca="false">INT(E586/Assumptions!$B$12)</f>
        <v>4</v>
      </c>
    </row>
    <row r="587" customFormat="false" ht="15" hidden="false" customHeight="false" outlineLevel="0" collapsed="false">
      <c r="A587" s="2" t="s">
        <v>630</v>
      </c>
      <c r="B587" s="2" t="s">
        <v>47</v>
      </c>
      <c r="C587" s="2" t="s">
        <v>17</v>
      </c>
      <c r="D587" s="2" t="s">
        <v>16</v>
      </c>
      <c r="E587" s="5" t="n">
        <v>269000</v>
      </c>
      <c r="F587" s="5" t="n">
        <v>188300</v>
      </c>
      <c r="G587" s="5" t="n">
        <v>112980</v>
      </c>
      <c r="H587" s="5" t="n">
        <f aca="false">TRUE()</f>
        <v>1</v>
      </c>
      <c r="I587" s="6" t="n">
        <f aca="false">VLOOKUP(D587,Assumptions!$H$4:$I$5,2,FALSE())</f>
        <v>1.15</v>
      </c>
      <c r="J587" s="6" t="n">
        <f aca="false">MATCH(C587,Assumptions!$K$4:$K$6,0)</f>
        <v>2</v>
      </c>
      <c r="K587" s="6" t="n">
        <f aca="false">INDEX(Assumptions!$L$4:$L$6,J587)</f>
        <v>0.7</v>
      </c>
      <c r="L587" s="6" t="n">
        <f aca="false">IF(H587,ROUND(E587*K587,2),Assumptions!$B$11)</f>
        <v>188300</v>
      </c>
      <c r="M587" s="7" t="n">
        <f aca="false">ABS(F587-L587)</f>
        <v>0</v>
      </c>
      <c r="N587" s="6" t="n">
        <f aca="false">INT(E587/Assumptions!$B$12)</f>
        <v>2</v>
      </c>
    </row>
    <row r="588" customFormat="false" ht="15" hidden="false" customHeight="false" outlineLevel="0" collapsed="false">
      <c r="A588" s="2" t="s">
        <v>631</v>
      </c>
      <c r="B588" s="2" t="s">
        <v>47</v>
      </c>
      <c r="C588" s="2" t="s">
        <v>20</v>
      </c>
      <c r="D588" s="2" t="s">
        <v>12</v>
      </c>
      <c r="E588" s="5" t="n">
        <v>419000</v>
      </c>
      <c r="F588" s="5" t="n">
        <v>230450</v>
      </c>
      <c r="G588" s="5" t="n">
        <v>138270</v>
      </c>
      <c r="H588" s="5" t="n">
        <f aca="false">TRUE()</f>
        <v>1</v>
      </c>
      <c r="I588" s="6" t="n">
        <f aca="false">VLOOKUP(D588,Assumptions!$H$4:$I$5,2,FALSE())</f>
        <v>1</v>
      </c>
      <c r="J588" s="6" t="n">
        <f aca="false">MATCH(C588,Assumptions!$K$4:$K$6,0)</f>
        <v>3</v>
      </c>
      <c r="K588" s="6" t="n">
        <f aca="false">INDEX(Assumptions!$L$4:$L$6,J588)</f>
        <v>0.55</v>
      </c>
      <c r="L588" s="6" t="n">
        <f aca="false">IF(H588,ROUND(E588*K588,2),Assumptions!$B$11)</f>
        <v>230450</v>
      </c>
      <c r="M588" s="7" t="n">
        <f aca="false">ABS(F588-L588)</f>
        <v>0</v>
      </c>
      <c r="N588" s="6" t="n">
        <f aca="false">INT(E588/Assumptions!$B$12)</f>
        <v>4</v>
      </c>
    </row>
    <row r="589" customFormat="false" ht="15" hidden="false" customHeight="false" outlineLevel="0" collapsed="false">
      <c r="A589" s="2" t="s">
        <v>632</v>
      </c>
      <c r="B589" s="2" t="s">
        <v>47</v>
      </c>
      <c r="C589" s="2" t="s">
        <v>13</v>
      </c>
      <c r="D589" s="2" t="s">
        <v>12</v>
      </c>
      <c r="E589" s="5" t="n">
        <v>260000</v>
      </c>
      <c r="F589" s="5" t="n">
        <v>161200</v>
      </c>
      <c r="G589" s="5" t="n">
        <v>96720</v>
      </c>
      <c r="H589" s="5" t="n">
        <f aca="false">TRUE()</f>
        <v>1</v>
      </c>
      <c r="I589" s="6" t="n">
        <f aca="false">VLOOKUP(D589,Assumptions!$H$4:$I$5,2,FALSE())</f>
        <v>1</v>
      </c>
      <c r="J589" s="6" t="n">
        <f aca="false">MATCH(C589,Assumptions!$K$4:$K$6,0)</f>
        <v>1</v>
      </c>
      <c r="K589" s="6" t="n">
        <f aca="false">INDEX(Assumptions!$L$4:$L$6,J589)</f>
        <v>0.62</v>
      </c>
      <c r="L589" s="6" t="n">
        <f aca="false">IF(H589,ROUND(E589*K589,2),Assumptions!$B$11)</f>
        <v>161200</v>
      </c>
      <c r="M589" s="7" t="n">
        <f aca="false">ABS(F589-L589)</f>
        <v>0</v>
      </c>
      <c r="N589" s="6" t="n">
        <f aca="false">INT(E589/Assumptions!$B$12)</f>
        <v>2</v>
      </c>
    </row>
    <row r="590" customFormat="false" ht="15" hidden="false" customHeight="false" outlineLevel="0" collapsed="false">
      <c r="A590" s="2" t="s">
        <v>633</v>
      </c>
      <c r="B590" s="2" t="s">
        <v>47</v>
      </c>
      <c r="C590" s="2" t="s">
        <v>17</v>
      </c>
      <c r="D590" s="2" t="s">
        <v>12</v>
      </c>
      <c r="E590" s="5" t="n">
        <v>439000</v>
      </c>
      <c r="F590" s="5" t="n">
        <v>307300</v>
      </c>
      <c r="G590" s="5" t="n">
        <v>184380</v>
      </c>
      <c r="H590" s="5" t="n">
        <f aca="false">TRUE()</f>
        <v>1</v>
      </c>
      <c r="I590" s="6" t="n">
        <f aca="false">VLOOKUP(D590,Assumptions!$H$4:$I$5,2,FALSE())</f>
        <v>1</v>
      </c>
      <c r="J590" s="6" t="n">
        <f aca="false">MATCH(C590,Assumptions!$K$4:$K$6,0)</f>
        <v>2</v>
      </c>
      <c r="K590" s="6" t="n">
        <f aca="false">INDEX(Assumptions!$L$4:$L$6,J590)</f>
        <v>0.7</v>
      </c>
      <c r="L590" s="6" t="n">
        <f aca="false">IF(H590,ROUND(E590*K590,2),Assumptions!$B$11)</f>
        <v>307300</v>
      </c>
      <c r="M590" s="7" t="n">
        <f aca="false">ABS(F590-L590)</f>
        <v>0</v>
      </c>
      <c r="N590" s="6" t="n">
        <f aca="false">INT(E590/Assumptions!$B$12)</f>
        <v>4</v>
      </c>
    </row>
    <row r="591" customFormat="false" ht="15" hidden="false" customHeight="false" outlineLevel="0" collapsed="false">
      <c r="A591" s="2" t="s">
        <v>634</v>
      </c>
      <c r="B591" s="2" t="s">
        <v>47</v>
      </c>
      <c r="C591" s="2" t="s">
        <v>20</v>
      </c>
      <c r="D591" s="2" t="s">
        <v>16</v>
      </c>
      <c r="E591" s="5" t="n">
        <v>163000</v>
      </c>
      <c r="F591" s="5" t="n">
        <v>89650</v>
      </c>
      <c r="G591" s="5" t="n">
        <v>53790</v>
      </c>
      <c r="H591" s="5" t="n">
        <f aca="false">TRUE()</f>
        <v>1</v>
      </c>
      <c r="I591" s="6" t="n">
        <f aca="false">VLOOKUP(D591,Assumptions!$H$4:$I$5,2,FALSE())</f>
        <v>1.15</v>
      </c>
      <c r="J591" s="6" t="n">
        <f aca="false">MATCH(C591,Assumptions!$K$4:$K$6,0)</f>
        <v>3</v>
      </c>
      <c r="K591" s="6" t="n">
        <f aca="false">INDEX(Assumptions!$L$4:$L$6,J591)</f>
        <v>0.55</v>
      </c>
      <c r="L591" s="6" t="n">
        <f aca="false">IF(H591,ROUND(E591*K591,2),Assumptions!$B$11)</f>
        <v>89650</v>
      </c>
      <c r="M591" s="7" t="n">
        <f aca="false">ABS(F591-L591)</f>
        <v>0</v>
      </c>
      <c r="N591" s="6" t="n">
        <f aca="false">INT(E591/Assumptions!$B$12)</f>
        <v>1</v>
      </c>
    </row>
    <row r="592" customFormat="false" ht="15" hidden="false" customHeight="false" outlineLevel="0" collapsed="false">
      <c r="A592" s="2" t="s">
        <v>635</v>
      </c>
      <c r="B592" s="2" t="s">
        <v>47</v>
      </c>
      <c r="C592" s="2" t="s">
        <v>13</v>
      </c>
      <c r="D592" s="2" t="s">
        <v>12</v>
      </c>
      <c r="E592" s="5" t="n">
        <v>468000</v>
      </c>
      <c r="F592" s="5" t="n">
        <v>290160</v>
      </c>
      <c r="G592" s="5" t="n">
        <v>174096</v>
      </c>
      <c r="H592" s="5" t="n">
        <f aca="false">TRUE()</f>
        <v>1</v>
      </c>
      <c r="I592" s="6" t="n">
        <f aca="false">VLOOKUP(D592,Assumptions!$H$4:$I$5,2,FALSE())</f>
        <v>1</v>
      </c>
      <c r="J592" s="6" t="n">
        <f aca="false">MATCH(C592,Assumptions!$K$4:$K$6,0)</f>
        <v>1</v>
      </c>
      <c r="K592" s="6" t="n">
        <f aca="false">INDEX(Assumptions!$L$4:$L$6,J592)</f>
        <v>0.62</v>
      </c>
      <c r="L592" s="6" t="n">
        <f aca="false">IF(H592,ROUND(E592*K592,2),Assumptions!$B$11)</f>
        <v>290160</v>
      </c>
      <c r="M592" s="7" t="n">
        <f aca="false">ABS(F592-L592)</f>
        <v>0</v>
      </c>
      <c r="N592" s="6" t="n">
        <f aca="false">INT(E592/Assumptions!$B$12)</f>
        <v>4</v>
      </c>
    </row>
    <row r="593" customFormat="false" ht="15" hidden="false" customHeight="false" outlineLevel="0" collapsed="false">
      <c r="A593" s="2" t="s">
        <v>636</v>
      </c>
      <c r="B593" s="2" t="s">
        <v>47</v>
      </c>
      <c r="C593" s="2" t="s">
        <v>17</v>
      </c>
      <c r="D593" s="2" t="s">
        <v>12</v>
      </c>
      <c r="E593" s="5" t="n">
        <v>253000</v>
      </c>
      <c r="F593" s="5" t="n">
        <v>177100</v>
      </c>
      <c r="G593" s="5" t="n">
        <v>106260</v>
      </c>
      <c r="H593" s="5" t="n">
        <f aca="false">TRUE()</f>
        <v>1</v>
      </c>
      <c r="I593" s="6" t="n">
        <f aca="false">VLOOKUP(D593,Assumptions!$H$4:$I$5,2,FALSE())</f>
        <v>1</v>
      </c>
      <c r="J593" s="6" t="n">
        <f aca="false">MATCH(C593,Assumptions!$K$4:$K$6,0)</f>
        <v>2</v>
      </c>
      <c r="K593" s="6" t="n">
        <f aca="false">INDEX(Assumptions!$L$4:$L$6,J593)</f>
        <v>0.7</v>
      </c>
      <c r="L593" s="6" t="n">
        <f aca="false">IF(H593,ROUND(E593*K593,2),Assumptions!$B$11)</f>
        <v>177100</v>
      </c>
      <c r="M593" s="7" t="n">
        <f aca="false">ABS(F593-L593)</f>
        <v>0</v>
      </c>
      <c r="N593" s="6" t="n">
        <f aca="false">INT(E593/Assumptions!$B$12)</f>
        <v>2</v>
      </c>
    </row>
    <row r="594" customFormat="false" ht="15" hidden="false" customHeight="false" outlineLevel="0" collapsed="false">
      <c r="A594" s="2" t="s">
        <v>637</v>
      </c>
      <c r="B594" s="2" t="s">
        <v>47</v>
      </c>
      <c r="C594" s="2" t="s">
        <v>20</v>
      </c>
      <c r="D594" s="2" t="s">
        <v>12</v>
      </c>
      <c r="E594" s="5" t="n">
        <v>359000</v>
      </c>
      <c r="F594" s="5" t="n">
        <v>197450</v>
      </c>
      <c r="G594" s="5" t="n">
        <v>118470</v>
      </c>
      <c r="H594" s="5" t="n">
        <f aca="false">TRUE()</f>
        <v>1</v>
      </c>
      <c r="I594" s="6" t="n">
        <f aca="false">VLOOKUP(D594,Assumptions!$H$4:$I$5,2,FALSE())</f>
        <v>1</v>
      </c>
      <c r="J594" s="6" t="n">
        <f aca="false">MATCH(C594,Assumptions!$K$4:$K$6,0)</f>
        <v>3</v>
      </c>
      <c r="K594" s="6" t="n">
        <f aca="false">INDEX(Assumptions!$L$4:$L$6,J594)</f>
        <v>0.55</v>
      </c>
      <c r="L594" s="6" t="n">
        <f aca="false">IF(H594,ROUND(E594*K594,2),Assumptions!$B$11)</f>
        <v>197450</v>
      </c>
      <c r="M594" s="7" t="n">
        <f aca="false">ABS(F594-L594)</f>
        <v>0</v>
      </c>
      <c r="N594" s="6" t="n">
        <f aca="false">INT(E594/Assumptions!$B$12)</f>
        <v>3</v>
      </c>
    </row>
    <row r="595" customFormat="false" ht="15" hidden="false" customHeight="false" outlineLevel="0" collapsed="false">
      <c r="A595" s="2" t="s">
        <v>638</v>
      </c>
      <c r="B595" s="2" t="s">
        <v>47</v>
      </c>
      <c r="C595" s="2" t="s">
        <v>13</v>
      </c>
      <c r="D595" s="2" t="s">
        <v>16</v>
      </c>
      <c r="E595" s="5" t="n">
        <v>258000</v>
      </c>
      <c r="F595" s="5" t="n">
        <v>159960</v>
      </c>
      <c r="G595" s="5" t="n">
        <v>95976</v>
      </c>
      <c r="H595" s="5" t="n">
        <f aca="false">TRUE()</f>
        <v>1</v>
      </c>
      <c r="I595" s="6" t="n">
        <f aca="false">VLOOKUP(D595,Assumptions!$H$4:$I$5,2,FALSE())</f>
        <v>1.15</v>
      </c>
      <c r="J595" s="6" t="n">
        <f aca="false">MATCH(C595,Assumptions!$K$4:$K$6,0)</f>
        <v>1</v>
      </c>
      <c r="K595" s="6" t="n">
        <f aca="false">INDEX(Assumptions!$L$4:$L$6,J595)</f>
        <v>0.62</v>
      </c>
      <c r="L595" s="6" t="n">
        <f aca="false">IF(H595,ROUND(E595*K595,2),Assumptions!$B$11)</f>
        <v>159960</v>
      </c>
      <c r="M595" s="7" t="n">
        <f aca="false">ABS(F595-L595)</f>
        <v>0</v>
      </c>
      <c r="N595" s="6" t="n">
        <f aca="false">INT(E595/Assumptions!$B$12)</f>
        <v>2</v>
      </c>
    </row>
    <row r="596" customFormat="false" ht="15" hidden="false" customHeight="false" outlineLevel="0" collapsed="false">
      <c r="A596" s="2" t="s">
        <v>639</v>
      </c>
      <c r="B596" s="2" t="s">
        <v>47</v>
      </c>
      <c r="C596" s="2" t="s">
        <v>17</v>
      </c>
      <c r="D596" s="2" t="s">
        <v>12</v>
      </c>
      <c r="E596" s="5" t="n">
        <v>441000</v>
      </c>
      <c r="F596" s="5" t="n">
        <v>308700</v>
      </c>
      <c r="G596" s="5" t="n">
        <v>185220</v>
      </c>
      <c r="H596" s="5" t="n">
        <f aca="false">TRUE()</f>
        <v>1</v>
      </c>
      <c r="I596" s="6" t="n">
        <f aca="false">VLOOKUP(D596,Assumptions!$H$4:$I$5,2,FALSE())</f>
        <v>1</v>
      </c>
      <c r="J596" s="6" t="n">
        <f aca="false">MATCH(C596,Assumptions!$K$4:$K$6,0)</f>
        <v>2</v>
      </c>
      <c r="K596" s="6" t="n">
        <f aca="false">INDEX(Assumptions!$L$4:$L$6,J596)</f>
        <v>0.7</v>
      </c>
      <c r="L596" s="6" t="n">
        <f aca="false">IF(H596,ROUND(E596*K596,2),Assumptions!$B$11)</f>
        <v>308700</v>
      </c>
      <c r="M596" s="7" t="n">
        <f aca="false">ABS(F596-L596)</f>
        <v>0</v>
      </c>
      <c r="N596" s="6" t="n">
        <f aca="false">INT(E596/Assumptions!$B$12)</f>
        <v>4</v>
      </c>
    </row>
    <row r="597" customFormat="false" ht="15" hidden="false" customHeight="false" outlineLevel="0" collapsed="false">
      <c r="A597" s="2" t="s">
        <v>640</v>
      </c>
      <c r="B597" s="2" t="s">
        <v>47</v>
      </c>
      <c r="C597" s="2" t="s">
        <v>20</v>
      </c>
      <c r="D597" s="2" t="s">
        <v>12</v>
      </c>
      <c r="E597" s="5" t="n">
        <v>309000</v>
      </c>
      <c r="F597" s="5" t="n">
        <v>169950</v>
      </c>
      <c r="G597" s="5" t="n">
        <v>101970</v>
      </c>
      <c r="H597" s="5" t="n">
        <f aca="false">TRUE()</f>
        <v>1</v>
      </c>
      <c r="I597" s="6" t="n">
        <f aca="false">VLOOKUP(D597,Assumptions!$H$4:$I$5,2,FALSE())</f>
        <v>1</v>
      </c>
      <c r="J597" s="6" t="n">
        <f aca="false">MATCH(C597,Assumptions!$K$4:$K$6,0)</f>
        <v>3</v>
      </c>
      <c r="K597" s="6" t="n">
        <f aca="false">INDEX(Assumptions!$L$4:$L$6,J597)</f>
        <v>0.55</v>
      </c>
      <c r="L597" s="6" t="n">
        <f aca="false">IF(H597,ROUND(E597*K597,2),Assumptions!$B$11)</f>
        <v>169950</v>
      </c>
      <c r="M597" s="7" t="n">
        <f aca="false">ABS(F597-L597)</f>
        <v>0</v>
      </c>
      <c r="N597" s="6" t="n">
        <f aca="false">INT(E597/Assumptions!$B$12)</f>
        <v>3</v>
      </c>
    </row>
    <row r="598" customFormat="false" ht="15" hidden="false" customHeight="false" outlineLevel="0" collapsed="false">
      <c r="A598" s="2" t="s">
        <v>641</v>
      </c>
      <c r="B598" s="2" t="s">
        <v>47</v>
      </c>
      <c r="C598" s="2" t="s">
        <v>13</v>
      </c>
      <c r="D598" s="2" t="s">
        <v>12</v>
      </c>
      <c r="E598" s="5" t="n">
        <v>267000</v>
      </c>
      <c r="F598" s="5" t="n">
        <v>165540</v>
      </c>
      <c r="G598" s="5" t="n">
        <v>99324</v>
      </c>
      <c r="H598" s="5" t="n">
        <f aca="false">FALSE()</f>
        <v>0</v>
      </c>
      <c r="I598" s="6" t="n">
        <f aca="false">VLOOKUP(D598,Assumptions!$H$4:$I$5,2,FALSE())</f>
        <v>1</v>
      </c>
      <c r="J598" s="6" t="n">
        <f aca="false">MATCH(C598,Assumptions!$K$4:$K$6,0)</f>
        <v>1</v>
      </c>
      <c r="K598" s="6" t="n">
        <f aca="false">INDEX(Assumptions!$L$4:$L$6,J598)</f>
        <v>0.62</v>
      </c>
      <c r="L598" s="6" t="n">
        <f aca="false">IF(H598,ROUND(E598*K598,2),Assumptions!$B$11)</f>
        <v>0</v>
      </c>
      <c r="M598" s="7" t="n">
        <f aca="false">ABS(F598-L598)</f>
        <v>165540</v>
      </c>
      <c r="N598" s="6" t="n">
        <f aca="false">INT(E598/Assumptions!$B$12)</f>
        <v>2</v>
      </c>
    </row>
    <row r="599" customFormat="false" ht="15" hidden="false" customHeight="false" outlineLevel="0" collapsed="false">
      <c r="A599" s="2" t="s">
        <v>642</v>
      </c>
      <c r="B599" s="2" t="s">
        <v>47</v>
      </c>
      <c r="C599" s="2" t="s">
        <v>17</v>
      </c>
      <c r="D599" s="2" t="s">
        <v>16</v>
      </c>
      <c r="E599" s="5" t="n">
        <v>306000</v>
      </c>
      <c r="F599" s="5" t="n">
        <v>214200</v>
      </c>
      <c r="G599" s="5" t="n">
        <v>128520</v>
      </c>
      <c r="H599" s="5" t="n">
        <f aca="false">TRUE()</f>
        <v>1</v>
      </c>
      <c r="I599" s="6" t="n">
        <f aca="false">VLOOKUP(D599,Assumptions!$H$4:$I$5,2,FALSE())</f>
        <v>1.15</v>
      </c>
      <c r="J599" s="6" t="n">
        <f aca="false">MATCH(C599,Assumptions!$K$4:$K$6,0)</f>
        <v>2</v>
      </c>
      <c r="K599" s="6" t="n">
        <f aca="false">INDEX(Assumptions!$L$4:$L$6,J599)</f>
        <v>0.7</v>
      </c>
      <c r="L599" s="6" t="n">
        <f aca="false">IF(H599,ROUND(E599*K599,2),Assumptions!$B$11)</f>
        <v>214200</v>
      </c>
      <c r="M599" s="7" t="n">
        <f aca="false">ABS(F599-L599)</f>
        <v>0</v>
      </c>
      <c r="N599" s="6" t="n">
        <f aca="false">INT(E599/Assumptions!$B$12)</f>
        <v>3</v>
      </c>
    </row>
    <row r="600" customFormat="false" ht="15" hidden="false" customHeight="false" outlineLevel="0" collapsed="false">
      <c r="A600" s="2" t="s">
        <v>643</v>
      </c>
      <c r="B600" s="2" t="s">
        <v>47</v>
      </c>
      <c r="C600" s="2" t="s">
        <v>20</v>
      </c>
      <c r="D600" s="2" t="s">
        <v>12</v>
      </c>
      <c r="E600" s="5" t="n">
        <v>456000</v>
      </c>
      <c r="F600" s="5" t="n">
        <v>250800</v>
      </c>
      <c r="G600" s="5" t="n">
        <v>150480</v>
      </c>
      <c r="H600" s="5" t="n">
        <f aca="false">TRUE()</f>
        <v>1</v>
      </c>
      <c r="I600" s="6" t="n">
        <f aca="false">VLOOKUP(D600,Assumptions!$H$4:$I$5,2,FALSE())</f>
        <v>1</v>
      </c>
      <c r="J600" s="6" t="n">
        <f aca="false">MATCH(C600,Assumptions!$K$4:$K$6,0)</f>
        <v>3</v>
      </c>
      <c r="K600" s="6" t="n">
        <f aca="false">INDEX(Assumptions!$L$4:$L$6,J600)</f>
        <v>0.55</v>
      </c>
      <c r="L600" s="6" t="n">
        <f aca="false">IF(H600,ROUND(E600*K600,2),Assumptions!$B$11)</f>
        <v>250800</v>
      </c>
      <c r="M600" s="7" t="n">
        <f aca="false">ABS(F600-L600)</f>
        <v>0</v>
      </c>
      <c r="N600" s="6" t="n">
        <f aca="false">INT(E600/Assumptions!$B$12)</f>
        <v>4</v>
      </c>
    </row>
    <row r="601" customFormat="false" ht="15" hidden="false" customHeight="false" outlineLevel="0" collapsed="false">
      <c r="A601" s="2" t="s">
        <v>644</v>
      </c>
      <c r="B601" s="2" t="s">
        <v>47</v>
      </c>
      <c r="C601" s="2" t="s">
        <v>13</v>
      </c>
      <c r="D601" s="2" t="s">
        <v>12</v>
      </c>
      <c r="E601" s="5" t="n">
        <v>251000</v>
      </c>
      <c r="F601" s="5" t="n">
        <v>155620</v>
      </c>
      <c r="G601" s="5" t="n">
        <v>93372</v>
      </c>
      <c r="H601" s="5" t="n">
        <f aca="false">TRUE()</f>
        <v>1</v>
      </c>
      <c r="I601" s="6" t="n">
        <f aca="false">VLOOKUP(D601,Assumptions!$H$4:$I$5,2,FALSE())</f>
        <v>1</v>
      </c>
      <c r="J601" s="6" t="n">
        <f aca="false">MATCH(C601,Assumptions!$K$4:$K$6,0)</f>
        <v>1</v>
      </c>
      <c r="K601" s="6" t="n">
        <f aca="false">INDEX(Assumptions!$L$4:$L$6,J601)</f>
        <v>0.62</v>
      </c>
      <c r="L601" s="6" t="n">
        <f aca="false">IF(H601,ROUND(E601*K601,2),Assumptions!$B$11)</f>
        <v>155620</v>
      </c>
      <c r="M601" s="7" t="n">
        <f aca="false">ABS(F601-L601)</f>
        <v>0</v>
      </c>
      <c r="N601" s="6" t="n">
        <f aca="false">INT(E601/Assumptions!$B$12)</f>
        <v>2</v>
      </c>
    </row>
    <row r="602" customFormat="false" ht="15" hidden="false" customHeight="false" outlineLevel="0" collapsed="false">
      <c r="A602" s="2" t="s">
        <v>645</v>
      </c>
      <c r="B602" s="2" t="s">
        <v>47</v>
      </c>
      <c r="C602" s="2" t="s">
        <v>17</v>
      </c>
      <c r="D602" s="2" t="s">
        <v>12</v>
      </c>
      <c r="E602" s="5" t="n">
        <v>383000</v>
      </c>
      <c r="F602" s="5" t="n">
        <v>268100</v>
      </c>
      <c r="G602" s="5" t="n">
        <v>160860</v>
      </c>
      <c r="H602" s="5" t="n">
        <f aca="false">TRUE()</f>
        <v>1</v>
      </c>
      <c r="I602" s="6" t="n">
        <f aca="false">VLOOKUP(D602,Assumptions!$H$4:$I$5,2,FALSE())</f>
        <v>1</v>
      </c>
      <c r="J602" s="6" t="n">
        <f aca="false">MATCH(C602,Assumptions!$K$4:$K$6,0)</f>
        <v>2</v>
      </c>
      <c r="K602" s="6" t="n">
        <f aca="false">INDEX(Assumptions!$L$4:$L$6,J602)</f>
        <v>0.7</v>
      </c>
      <c r="L602" s="6" t="n">
        <f aca="false">IF(H602,ROUND(E602*K602,2),Assumptions!$B$11)</f>
        <v>268100</v>
      </c>
      <c r="M602" s="7" t="n">
        <f aca="false">ABS(F602-L602)</f>
        <v>0</v>
      </c>
      <c r="N602" s="6" t="n">
        <f aca="false">INT(E602/Assumptions!$B$12)</f>
        <v>3</v>
      </c>
    </row>
    <row r="603" customFormat="false" ht="15" hidden="false" customHeight="false" outlineLevel="0" collapsed="false">
      <c r="A603" s="2" t="s">
        <v>646</v>
      </c>
      <c r="B603" s="2" t="s">
        <v>47</v>
      </c>
      <c r="C603" s="2" t="s">
        <v>20</v>
      </c>
      <c r="D603" s="2" t="s">
        <v>16</v>
      </c>
      <c r="E603" s="5" t="n">
        <v>165000</v>
      </c>
      <c r="F603" s="5" t="n">
        <v>90750</v>
      </c>
      <c r="G603" s="5" t="n">
        <v>54450</v>
      </c>
      <c r="H603" s="5" t="n">
        <f aca="false">TRUE()</f>
        <v>1</v>
      </c>
      <c r="I603" s="6" t="n">
        <f aca="false">VLOOKUP(D603,Assumptions!$H$4:$I$5,2,FALSE())</f>
        <v>1.15</v>
      </c>
      <c r="J603" s="6" t="n">
        <f aca="false">MATCH(C603,Assumptions!$K$4:$K$6,0)</f>
        <v>3</v>
      </c>
      <c r="K603" s="6" t="n">
        <f aca="false">INDEX(Assumptions!$L$4:$L$6,J603)</f>
        <v>0.55</v>
      </c>
      <c r="L603" s="6" t="n">
        <f aca="false">IF(H603,ROUND(E603*K603,2),Assumptions!$B$11)</f>
        <v>90750</v>
      </c>
      <c r="M603" s="7" t="n">
        <f aca="false">ABS(F603-L603)</f>
        <v>0</v>
      </c>
      <c r="N603" s="6" t="n">
        <f aca="false">INT(E603/Assumptions!$B$12)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L6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2" min="11" style="0" width="14"/>
  </cols>
  <sheetData>
    <row r="1" customFormat="false" ht="24" hidden="false" customHeight="true" outlineLevel="0" collapsed="false">
      <c r="A1" s="1" t="s">
        <v>647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 t="s">
        <v>648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35</v>
      </c>
      <c r="B3" s="3" t="s">
        <v>649</v>
      </c>
      <c r="C3" s="3" t="s">
        <v>650</v>
      </c>
      <c r="D3" s="3" t="s">
        <v>15</v>
      </c>
      <c r="E3" s="3" t="s">
        <v>9</v>
      </c>
      <c r="F3" s="3" t="s">
        <v>651</v>
      </c>
      <c r="G3" s="3" t="s">
        <v>652</v>
      </c>
      <c r="H3" s="3" t="s">
        <v>653</v>
      </c>
      <c r="I3" s="3" t="s">
        <v>654</v>
      </c>
      <c r="J3" s="3" t="s">
        <v>655</v>
      </c>
      <c r="K3" s="3" t="s">
        <v>656</v>
      </c>
      <c r="L3" s="3" t="s">
        <v>657</v>
      </c>
    </row>
    <row r="4" customFormat="false" ht="15" hidden="false" customHeight="false" outlineLevel="0" collapsed="false">
      <c r="A4" s="5" t="s">
        <v>46</v>
      </c>
      <c r="B4" s="6" t="n">
        <f aca="false">ROUND(CohortData!G4*CohortData!I4,2)</f>
        <v>158844</v>
      </c>
      <c r="C4" s="6" t="n">
        <f aca="false">ROUND(CohortData!L4*Assumptions!$B$4*CohortData!I4,2)</f>
        <v>21179.2</v>
      </c>
      <c r="D4" s="6" t="n">
        <f aca="false">ROUND(CohortData!E4*Assumptions!$B$5*CohortData!I4,2)</f>
        <v>8540</v>
      </c>
      <c r="E4" s="6" t="n">
        <f aca="false">ROUND(B4*0.035,2)</f>
        <v>5559.54</v>
      </c>
      <c r="F4" s="6" t="n">
        <f aca="false">ROUND(B4*Assumptions!$B$6,2)</f>
        <v>2382.66</v>
      </c>
      <c r="G4" s="6" t="n">
        <f aca="false">ROUND(CohortData!G4*CohortData!I4-CohortData!G4*Assumptions!$B$7,2)</f>
        <v>0</v>
      </c>
      <c r="H4" s="7" t="n">
        <f aca="false">SUM(B4:E4,F4:G4)</f>
        <v>196505.4</v>
      </c>
      <c r="I4" s="6" t="n">
        <f aca="false">CEILING(H4,Assumptions!$B$8)</f>
        <v>196600</v>
      </c>
      <c r="J4" s="6" t="n">
        <f aca="false">FLOOR(H4,Assumptions!$B$8)</f>
        <v>196500</v>
      </c>
      <c r="K4" s="6" t="n">
        <f aca="false">ROUNDUP(H4,Assumptions!$B$9)</f>
        <v>196506</v>
      </c>
      <c r="L4" s="6" t="n">
        <f aca="false">ROUNDDOWN(H4,Assumptions!$B$10)</f>
        <v>196505</v>
      </c>
    </row>
    <row r="5" customFormat="false" ht="15" hidden="false" customHeight="false" outlineLevel="0" collapsed="false">
      <c r="A5" s="5" t="s">
        <v>48</v>
      </c>
      <c r="B5" s="6" t="n">
        <f aca="false">ROUND(CohortData!G5*CohortData!I5,2)</f>
        <v>65940</v>
      </c>
      <c r="C5" s="6" t="n">
        <f aca="false">ROUND(CohortData!L5*Assumptions!$B$4*CohortData!I5,2)</f>
        <v>8792</v>
      </c>
      <c r="D5" s="6" t="n">
        <f aca="false">ROUND(CohortData!E5*Assumptions!$B$5*CohortData!I5,2)</f>
        <v>3140</v>
      </c>
      <c r="E5" s="6" t="n">
        <f aca="false">ROUND(B5*Assumptions!$B$3,2)</f>
        <v>2307.9</v>
      </c>
      <c r="F5" s="6" t="n">
        <f aca="false">ROUND(B5*Assumptions!$B$6,2)</f>
        <v>989.1</v>
      </c>
      <c r="G5" s="6" t="n">
        <f aca="false">ROUND(CohortData!G5*CohortData!I5-CohortData!G5*Assumptions!$B$7,2)</f>
        <v>0</v>
      </c>
      <c r="H5" s="7" t="n">
        <f aca="false">SUM(B5:E5,F5:G5)</f>
        <v>81169</v>
      </c>
      <c r="I5" s="6" t="n">
        <f aca="false">CEILING(H5,Assumptions!$B$8)</f>
        <v>81200</v>
      </c>
      <c r="J5" s="6" t="n">
        <f aca="false">FLOOR(H5,Assumptions!$B$8)</f>
        <v>81100</v>
      </c>
      <c r="K5" s="6" t="n">
        <f aca="false">ROUNDUP(H5,Assumptions!$B$9)</f>
        <v>81169</v>
      </c>
      <c r="L5" s="6" t="n">
        <f aca="false">ROUNDDOWN(H5,Assumptions!$B$10)</f>
        <v>81169</v>
      </c>
    </row>
    <row r="6" customFormat="false" ht="15" hidden="false" customHeight="false" outlineLevel="0" collapsed="false">
      <c r="A6" s="5" t="s">
        <v>49</v>
      </c>
      <c r="B6" s="6" t="n">
        <f aca="false">ROUND(CohortData!G6*CohortData!I6,2)</f>
        <v>36960</v>
      </c>
      <c r="C6" s="6" t="n">
        <f aca="false">ROUND(CohortData!L6*Assumptions!$B$4*CohortData!I6,2)</f>
        <v>4928</v>
      </c>
      <c r="D6" s="6" t="n">
        <f aca="false">ROUND(CohortData!E6*Assumptions!$B$5*CohortData!I6,2)</f>
        <v>2240</v>
      </c>
      <c r="E6" s="6" t="n">
        <f aca="false">ROUND(B6*Assumptions!$B$3,2)</f>
        <v>1293.6</v>
      </c>
      <c r="F6" s="6" t="n">
        <f aca="false">ROUND(B6*Assumptions!$B$6,2)</f>
        <v>554.4</v>
      </c>
      <c r="G6" s="6" t="n">
        <f aca="false">ROUND(CohortData!G6*CohortData!I6-CohortData!G6*Assumptions!$B$7,2)</f>
        <v>0</v>
      </c>
      <c r="H6" s="7" t="n">
        <f aca="false">SUM(B6:E6,F6:G6)</f>
        <v>45976</v>
      </c>
      <c r="I6" s="6" t="n">
        <f aca="false">CEILING(H6,Assumptions!$B$8)</f>
        <v>46000</v>
      </c>
      <c r="J6" s="6" t="n">
        <f aca="false">FLOOR(H6,Assumptions!$B$8)</f>
        <v>45900</v>
      </c>
      <c r="K6" s="6" t="n">
        <f aca="false">ROUNDUP(H6,Assumptions!$B$9)</f>
        <v>45976</v>
      </c>
      <c r="L6" s="6" t="n">
        <f aca="false">ROUNDDOWN(H6,Assumptions!$B$10)</f>
        <v>45976</v>
      </c>
    </row>
    <row r="7" customFormat="false" ht="15" hidden="false" customHeight="false" outlineLevel="0" collapsed="false">
      <c r="A7" s="5" t="s">
        <v>50</v>
      </c>
      <c r="B7" s="6" t="n">
        <f aca="false">ROUND(CohortData!G7*CohortData!I7,2)</f>
        <v>204916.2</v>
      </c>
      <c r="C7" s="6" t="n">
        <f aca="false">ROUND(CohortData!L7*Assumptions!$B$4*CohortData!I7,2)</f>
        <v>27322.16</v>
      </c>
      <c r="D7" s="6" t="n">
        <f aca="false">ROUND(CohortData!E7*Assumptions!$B$5*CohortData!I7,2)</f>
        <v>11017</v>
      </c>
      <c r="E7" s="6" t="n">
        <f aca="false">ROUND(B7*Assumptions!$B$3,2)</f>
        <v>7172.07</v>
      </c>
      <c r="F7" s="6" t="n">
        <f aca="false">ROUND(B7*Assumptions!$B$6,2)</f>
        <v>3073.74</v>
      </c>
      <c r="G7" s="6" t="n">
        <f aca="false">ROUND(CohortData!G7*CohortData!I7-CohortData!G7*Assumptions!$B$7,2)</f>
        <v>26728.2</v>
      </c>
      <c r="H7" s="7" t="n">
        <f aca="false">SUM(B7:E7,F7:G7)</f>
        <v>280229.37</v>
      </c>
      <c r="I7" s="6" t="n">
        <f aca="false">CEILING(H7,Assumptions!$B$8)</f>
        <v>280300</v>
      </c>
      <c r="J7" s="6" t="n">
        <f aca="false">FLOOR(H7,Assumptions!$B$8)</f>
        <v>280200</v>
      </c>
      <c r="K7" s="6" t="n">
        <f aca="false">ROUNDUP(H7,Assumptions!$B$9)</f>
        <v>280230</v>
      </c>
      <c r="L7" s="6" t="n">
        <f aca="false">ROUNDDOWN(H7,Assumptions!$B$10)</f>
        <v>280229</v>
      </c>
    </row>
    <row r="8" customFormat="false" ht="15" hidden="false" customHeight="false" outlineLevel="0" collapsed="false">
      <c r="A8" s="5" t="s">
        <v>51</v>
      </c>
      <c r="B8" s="6" t="n">
        <f aca="false">ROUND(CohortData!G8*CohortData!I8,2)</f>
        <v>100800</v>
      </c>
      <c r="C8" s="6" t="n">
        <f aca="false">ROUND(CohortData!L8*Assumptions!$B$4*CohortData!I8,2)</f>
        <v>13440</v>
      </c>
      <c r="D8" s="6" t="n">
        <f aca="false">ROUND(CohortData!E8*Assumptions!$B$5*CohortData!I8,2)</f>
        <v>4800</v>
      </c>
      <c r="E8" s="6" t="n">
        <f aca="false">ROUND(B8*Assumptions!$B$3,2)</f>
        <v>3528</v>
      </c>
      <c r="F8" s="6" t="n">
        <f aca="false">ROUND(B8*Assumptions!$B$6,2)</f>
        <v>1512</v>
      </c>
      <c r="G8" s="6" t="n">
        <f aca="false">ROUND(CohortData!G8*CohortData!I8-CohortData!G8*Assumptions!$B$7,2)</f>
        <v>0</v>
      </c>
      <c r="H8" s="7" t="n">
        <f aca="false">SUM(B8:E8,F8:G8)</f>
        <v>124080</v>
      </c>
      <c r="I8" s="6" t="n">
        <f aca="false">CEILING(H8,Assumptions!$B$8)</f>
        <v>124100</v>
      </c>
      <c r="J8" s="6" t="n">
        <f aca="false">FLOOR(H8,Assumptions!$B$8)</f>
        <v>124000</v>
      </c>
      <c r="K8" s="6" t="n">
        <f aca="false">ROUNDUP(H8,Assumptions!$B$9)</f>
        <v>124080</v>
      </c>
      <c r="L8" s="6" t="n">
        <f aca="false">ROUNDDOWN(H8,Assumptions!$B$10)</f>
        <v>124080</v>
      </c>
    </row>
    <row r="9" customFormat="false" ht="15" hidden="false" customHeight="false" outlineLevel="0" collapsed="false">
      <c r="A9" s="5" t="s">
        <v>52</v>
      </c>
      <c r="B9" s="6" t="n">
        <f aca="false">ROUND(CohortData!G9*CohortData!I9,2)</f>
        <v>74250</v>
      </c>
      <c r="C9" s="6" t="n">
        <f aca="false">ROUND(CohortData!L9*Assumptions!$B$4*CohortData!I9,2)</f>
        <v>9900</v>
      </c>
      <c r="D9" s="6" t="n">
        <f aca="false">ROUND(CohortData!E9*Assumptions!$B$5*CohortData!I9,2)</f>
        <v>4500</v>
      </c>
      <c r="E9" s="6" t="n">
        <f aca="false">ROUND(B9*Assumptions!$B$3,2)</f>
        <v>2598.75</v>
      </c>
      <c r="F9" s="6" t="n">
        <f aca="false">ROUND(B9*Assumptions!$B$6,2)</f>
        <v>1113.75</v>
      </c>
      <c r="G9" s="6" t="n">
        <f aca="false">ROUND(CohortData!G9*CohortData!I9-CohortData!G9*Assumptions!$B$7,2)</f>
        <v>0</v>
      </c>
      <c r="H9" s="7" t="n">
        <f aca="false">SUM(B9:E9,F9:G9)</f>
        <v>92362.5</v>
      </c>
      <c r="I9" s="6" t="n">
        <f aca="false">CEILING(H9,Assumptions!$B$8)</f>
        <v>92400</v>
      </c>
      <c r="J9" s="6" t="n">
        <f aca="false">FLOOR(H9,Assumptions!$B$8)</f>
        <v>92300</v>
      </c>
      <c r="K9" s="6" t="n">
        <f aca="false">ROUNDUP(H9,Assumptions!$B$9)</f>
        <v>92363</v>
      </c>
      <c r="L9" s="6" t="n">
        <f aca="false">ROUNDDOWN(H9,Assumptions!$B$10)</f>
        <v>92362</v>
      </c>
    </row>
    <row r="10" customFormat="false" ht="15" hidden="false" customHeight="false" outlineLevel="0" collapsed="false">
      <c r="A10" s="5" t="s">
        <v>53</v>
      </c>
      <c r="B10" s="6" t="n">
        <f aca="false">ROUND(CohortData!G10*CohortData!I10,2)</f>
        <v>79608</v>
      </c>
      <c r="C10" s="6" t="n">
        <f aca="false">ROUND(CohortData!L10*Assumptions!$B$4*CohortData!I10,2)</f>
        <v>10614.4</v>
      </c>
      <c r="D10" s="6" t="n">
        <f aca="false">ROUND(CohortData!E10*Assumptions!$B$5*CohortData!I10,2)</f>
        <v>4280</v>
      </c>
      <c r="E10" s="6" t="n">
        <f aca="false">ROUND(B10*Assumptions!$B$3,2)</f>
        <v>2786.28</v>
      </c>
      <c r="F10" s="6" t="n">
        <f aca="false">ROUND(B10*Assumptions!$B$6,2)</f>
        <v>1194.12</v>
      </c>
      <c r="G10" s="6" t="n">
        <f aca="false">ROUND(CohortData!G10*CohortData!I10-CohortData!G10*Assumptions!$B$7,2)</f>
        <v>0</v>
      </c>
      <c r="H10" s="7" t="n">
        <f aca="false">SUM(B10:E10,F10:G10)</f>
        <v>98482.8</v>
      </c>
      <c r="I10" s="6" t="n">
        <f aca="false">CEILING(H10,Assumptions!$B$8)</f>
        <v>98500</v>
      </c>
      <c r="J10" s="6" t="n">
        <f aca="false">FLOOR(H10,Assumptions!$B$8)</f>
        <v>98400</v>
      </c>
      <c r="K10" s="6" t="n">
        <f aca="false">ROUNDUP(H10,Assumptions!$B$9)</f>
        <v>98483</v>
      </c>
      <c r="L10" s="6" t="n">
        <f aca="false">ROUNDDOWN(H10,Assumptions!$B$10)</f>
        <v>98482</v>
      </c>
    </row>
    <row r="11" customFormat="false" ht="15" hidden="false" customHeight="false" outlineLevel="0" collapsed="false">
      <c r="A11" s="5" t="s">
        <v>54</v>
      </c>
      <c r="B11" s="6" t="n">
        <f aca="false">ROUND(CohortData!G11*CohortData!I11,2)</f>
        <v>82593</v>
      </c>
      <c r="C11" s="6" t="n">
        <f aca="false">ROUND(CohortData!L11*Assumptions!$B$4*CohortData!I11,2)</f>
        <v>11012.4</v>
      </c>
      <c r="D11" s="6" t="n">
        <f aca="false">ROUND(CohortData!E11*Assumptions!$B$5*CohortData!I11,2)</f>
        <v>3933</v>
      </c>
      <c r="E11" s="6" t="n">
        <f aca="false">ROUND(B11*Assumptions!$B$3,2)</f>
        <v>2890.76</v>
      </c>
      <c r="F11" s="6" t="n">
        <f aca="false">ROUND(B11*Assumptions!$B$6,2)</f>
        <v>1238.9</v>
      </c>
      <c r="G11" s="6" t="n">
        <f aca="false">ROUND(CohortData!G11*CohortData!I11-CohortData!G11*Assumptions!$B$7,2)</f>
        <v>10773</v>
      </c>
      <c r="H11" s="7" t="n">
        <f aca="false">SUM(B11:E11,F11:G11)</f>
        <v>112441.06</v>
      </c>
      <c r="I11" s="6" t="n">
        <f aca="false">CEILING(H11,Assumptions!$B$8)</f>
        <v>112500</v>
      </c>
      <c r="J11" s="6" t="n">
        <f aca="false">FLOOR(H11,Assumptions!$B$8)</f>
        <v>112400</v>
      </c>
      <c r="K11" s="6" t="n">
        <f aca="false">ROUNDUP(H11,Assumptions!$B$9)</f>
        <v>112442</v>
      </c>
      <c r="L11" s="6" t="n">
        <f aca="false">ROUNDDOWN(H11,Assumptions!$B$10)</f>
        <v>112441</v>
      </c>
    </row>
    <row r="12" customFormat="false" ht="15" hidden="false" customHeight="false" outlineLevel="0" collapsed="false">
      <c r="A12" s="5" t="s">
        <v>55</v>
      </c>
      <c r="B12" s="6" t="n">
        <f aca="false">ROUND(CohortData!G12*CohortData!I12,2)</f>
        <v>157410</v>
      </c>
      <c r="C12" s="6" t="n">
        <f aca="false">ROUND(CohortData!L12*Assumptions!$B$4*CohortData!I12,2)</f>
        <v>20988</v>
      </c>
      <c r="D12" s="6" t="n">
        <f aca="false">ROUND(CohortData!E12*Assumptions!$B$5*CohortData!I12,2)</f>
        <v>9540</v>
      </c>
      <c r="E12" s="6" t="n">
        <f aca="false">ROUND(B12*Assumptions!$B$3,2)</f>
        <v>5509.35</v>
      </c>
      <c r="F12" s="6" t="n">
        <f aca="false">ROUND(B12*Assumptions!$B$6,2)</f>
        <v>2361.15</v>
      </c>
      <c r="G12" s="6" t="n">
        <f aca="false">ROUND(CohortData!G12*CohortData!I12-CohortData!G12*Assumptions!$B$7,2)</f>
        <v>0</v>
      </c>
      <c r="H12" s="7" t="n">
        <f aca="false">SUM(B12:E12,F12:G12)</f>
        <v>195808.5</v>
      </c>
      <c r="I12" s="6" t="n">
        <f aca="false">CEILING(H12,Assumptions!$B$8)</f>
        <v>195900</v>
      </c>
      <c r="J12" s="6" t="n">
        <f aca="false">FLOOR(H12,Assumptions!$B$8)</f>
        <v>195800</v>
      </c>
      <c r="K12" s="6" t="n">
        <f aca="false">ROUNDUP(H12,Assumptions!$B$9)</f>
        <v>195809</v>
      </c>
      <c r="L12" s="6" t="n">
        <f aca="false">ROUNDDOWN(H12,Assumptions!$B$10)</f>
        <v>195808</v>
      </c>
    </row>
    <row r="13" customFormat="false" ht="15" hidden="false" customHeight="false" outlineLevel="0" collapsed="false">
      <c r="A13" s="5" t="s">
        <v>56</v>
      </c>
      <c r="B13" s="6" t="n">
        <f aca="false">ROUND(CohortData!G13*CohortData!I13,2)</f>
        <v>56544</v>
      </c>
      <c r="C13" s="6" t="n">
        <f aca="false">ROUND(CohortData!L13*Assumptions!$B$4*CohortData!I13,2)</f>
        <v>7539.2</v>
      </c>
      <c r="D13" s="6" t="n">
        <f aca="false">ROUND(CohortData!E13*Assumptions!$B$5*CohortData!I13,2)</f>
        <v>3040</v>
      </c>
      <c r="E13" s="6" t="n">
        <f aca="false">ROUND(B13*Assumptions!$B$3,2)</f>
        <v>1979.04</v>
      </c>
      <c r="F13" s="6" t="n">
        <f aca="false">ROUND(B13*Assumptions!$B$6,2)</f>
        <v>848.16</v>
      </c>
      <c r="G13" s="6" t="n">
        <f aca="false">ROUND(CohortData!G13*CohortData!I13-CohortData!G13*Assumptions!$B$7,2)</f>
        <v>0</v>
      </c>
      <c r="H13" s="7" t="n">
        <f aca="false">SUM(B13:E13,F13:G13)</f>
        <v>69950.4</v>
      </c>
      <c r="I13" s="6" t="n">
        <f aca="false">CEILING(H13,Assumptions!$B$8)</f>
        <v>70000</v>
      </c>
      <c r="J13" s="6" t="n">
        <f aca="false">FLOOR(H13,Assumptions!$B$8)</f>
        <v>69900</v>
      </c>
      <c r="K13" s="6" t="n">
        <f aca="false">ROUNDUP(H13,Assumptions!$B$9)</f>
        <v>69951</v>
      </c>
      <c r="L13" s="6" t="n">
        <f aca="false">ROUNDDOWN(H13,Assumptions!$B$10)</f>
        <v>69950</v>
      </c>
    </row>
    <row r="14" customFormat="false" ht="15" hidden="false" customHeight="false" outlineLevel="0" collapsed="false">
      <c r="A14" s="5" t="s">
        <v>57</v>
      </c>
      <c r="B14" s="6" t="n">
        <f aca="false">ROUND(CohortData!G14*CohortData!I14,2)</f>
        <v>187320</v>
      </c>
      <c r="C14" s="6" t="n">
        <f aca="false">ROUND(CohortData!L14*Assumptions!$B$4*CohortData!I14,2)</f>
        <v>24976</v>
      </c>
      <c r="D14" s="6" t="n">
        <f aca="false">ROUND(CohortData!E14*Assumptions!$B$5*CohortData!I14,2)</f>
        <v>8920</v>
      </c>
      <c r="E14" s="6" t="n">
        <f aca="false">ROUND(B14*Assumptions!$B$3,2)</f>
        <v>6556.2</v>
      </c>
      <c r="F14" s="6" t="n">
        <f aca="false">ROUND(B14*Assumptions!$B$6,2)</f>
        <v>2809.8</v>
      </c>
      <c r="G14" s="6" t="n">
        <f aca="false">ROUND(CohortData!G14*CohortData!I14-CohortData!G14*Assumptions!$B$7,2)</f>
        <v>0</v>
      </c>
      <c r="H14" s="7" t="n">
        <f aca="false">SUM(B14:E14,F14:G14)</f>
        <v>230582</v>
      </c>
      <c r="I14" s="6" t="n">
        <f aca="false">CEILING(H14,Assumptions!$B$8)</f>
        <v>230600</v>
      </c>
      <c r="J14" s="6" t="n">
        <f aca="false">FLOOR(H14,Assumptions!$B$8)</f>
        <v>230500</v>
      </c>
      <c r="K14" s="6" t="n">
        <f aca="false">ROUNDUP(H14,Assumptions!$B$9)</f>
        <v>230582</v>
      </c>
      <c r="L14" s="6" t="n">
        <f aca="false">ROUNDDOWN(H14,Assumptions!$B$10)</f>
        <v>230582</v>
      </c>
    </row>
    <row r="15" customFormat="false" ht="15" hidden="false" customHeight="false" outlineLevel="0" collapsed="false">
      <c r="A15" s="5" t="s">
        <v>58</v>
      </c>
      <c r="B15" s="6" t="n">
        <f aca="false">ROUND(CohortData!G15*CohortData!I15,2)</f>
        <v>181780.5</v>
      </c>
      <c r="C15" s="6" t="n">
        <f aca="false">ROUND(CohortData!L15*Assumptions!$B$4*CohortData!I15,2)</f>
        <v>24237.4</v>
      </c>
      <c r="D15" s="6" t="n">
        <f aca="false">ROUND(CohortData!E15*Assumptions!$B$5*CohortData!I15,2)</f>
        <v>11017</v>
      </c>
      <c r="E15" s="6" t="n">
        <f aca="false">ROUND(B15*Assumptions!$B$3,2)</f>
        <v>6362.32</v>
      </c>
      <c r="F15" s="6" t="n">
        <f aca="false">ROUND(B15*Assumptions!$B$6,2)</f>
        <v>2726.71</v>
      </c>
      <c r="G15" s="6" t="n">
        <f aca="false">ROUND(CohortData!G15*CohortData!I15-CohortData!G15*Assumptions!$B$7,2)</f>
        <v>23710.5</v>
      </c>
      <c r="H15" s="7" t="n">
        <f aca="false">SUM(B15:E15,F15:G15)</f>
        <v>249834.43</v>
      </c>
      <c r="I15" s="6" t="n">
        <f aca="false">CEILING(H15,Assumptions!$B$8)</f>
        <v>249900</v>
      </c>
      <c r="J15" s="6" t="n">
        <f aca="false">FLOOR(H15,Assumptions!$B$8)</f>
        <v>249800</v>
      </c>
      <c r="K15" s="6" t="n">
        <f aca="false">ROUNDUP(H15,Assumptions!$B$9)</f>
        <v>249835</v>
      </c>
      <c r="L15" s="6" t="n">
        <f aca="false">ROUNDDOWN(H15,Assumptions!$B$10)</f>
        <v>249834</v>
      </c>
    </row>
    <row r="16" customFormat="false" ht="15" hidden="false" customHeight="false" outlineLevel="0" collapsed="false">
      <c r="A16" s="5" t="s">
        <v>59</v>
      </c>
      <c r="B16" s="6" t="n">
        <f aca="false">ROUND(CohortData!G16*CohortData!I16,2)</f>
        <v>140988</v>
      </c>
      <c r="C16" s="6" t="n">
        <f aca="false">ROUND(CohortData!L16*Assumptions!$B$4*CohortData!I16,2)</f>
        <v>18798.4</v>
      </c>
      <c r="D16" s="6" t="n">
        <f aca="false">ROUND(CohortData!E16*Assumptions!$B$5*CohortData!I16,2)</f>
        <v>7580</v>
      </c>
      <c r="E16" s="6" t="n">
        <f aca="false">ROUND(B16*Assumptions!$B$3,2)</f>
        <v>4934.58</v>
      </c>
      <c r="F16" s="6" t="n">
        <f aca="false">ROUND(B16*Assumptions!$B$6,2)</f>
        <v>2114.82</v>
      </c>
      <c r="G16" s="6" t="n">
        <f aca="false">ROUND(CohortData!G16*CohortData!I16-CohortData!G16*Assumptions!$B$7,2)</f>
        <v>0</v>
      </c>
      <c r="H16" s="7" t="n">
        <f aca="false">SUM(B16:E16,F16:G16)</f>
        <v>174415.8</v>
      </c>
      <c r="I16" s="6" t="n">
        <f aca="false">CEILING(H16,Assumptions!$B$8)</f>
        <v>174500</v>
      </c>
      <c r="J16" s="6" t="n">
        <f aca="false">FLOOR(H16,Assumptions!$B$8)</f>
        <v>174400</v>
      </c>
      <c r="K16" s="6" t="n">
        <f aca="false">ROUNDUP(H16,Assumptions!$B$9)</f>
        <v>174416</v>
      </c>
      <c r="L16" s="6" t="n">
        <f aca="false">ROUNDDOWN(H16,Assumptions!$B$10)</f>
        <v>174415</v>
      </c>
    </row>
    <row r="17" customFormat="false" ht="15" hidden="false" customHeight="false" outlineLevel="0" collapsed="false">
      <c r="A17" s="5" t="s">
        <v>60</v>
      </c>
      <c r="B17" s="6" t="n">
        <f aca="false">ROUND(CohortData!G17*CohortData!I17,2)</f>
        <v>60480</v>
      </c>
      <c r="C17" s="6" t="n">
        <f aca="false">ROUND(CohortData!L17*Assumptions!$B$4*CohortData!I17,2)</f>
        <v>8064</v>
      </c>
      <c r="D17" s="6" t="n">
        <f aca="false">ROUND(CohortData!E17*Assumptions!$B$5*CohortData!I17,2)</f>
        <v>2880</v>
      </c>
      <c r="E17" s="6" t="n">
        <f aca="false">ROUND(B17*Assumptions!$B$3,2)</f>
        <v>2116.8</v>
      </c>
      <c r="F17" s="6" t="n">
        <f aca="false">ROUND(B17*Assumptions!$B$6,2)</f>
        <v>907.2</v>
      </c>
      <c r="G17" s="6" t="n">
        <f aca="false">ROUND(CohortData!G17*CohortData!I17-CohortData!G17*Assumptions!$B$7,2)</f>
        <v>0</v>
      </c>
      <c r="H17" s="7" t="n">
        <f aca="false">SUM(B17:E17,F17:G17)</f>
        <v>74448</v>
      </c>
      <c r="I17" s="6" t="n">
        <f aca="false">CEILING(H17,Assumptions!$B$8)</f>
        <v>74500</v>
      </c>
      <c r="J17" s="6" t="n">
        <f aca="false">FLOOR(H17,Assumptions!$B$8)</f>
        <v>74400</v>
      </c>
      <c r="K17" s="6" t="n">
        <f aca="false">ROUNDUP(H17,Assumptions!$B$9)</f>
        <v>74448</v>
      </c>
      <c r="L17" s="6" t="n">
        <f aca="false">ROUNDDOWN(H17,Assumptions!$B$10)</f>
        <v>74448</v>
      </c>
    </row>
    <row r="18" customFormat="false" ht="15" hidden="false" customHeight="false" outlineLevel="0" collapsed="false">
      <c r="A18" s="5" t="s">
        <v>61</v>
      </c>
      <c r="B18" s="6" t="n">
        <f aca="false">ROUND(CohortData!G18*CohortData!I18,2)</f>
        <v>132660</v>
      </c>
      <c r="C18" s="6" t="n">
        <f aca="false">ROUND(CohortData!L18*Assumptions!$B$4*CohortData!I18,2)</f>
        <v>17688</v>
      </c>
      <c r="D18" s="6" t="n">
        <f aca="false">ROUND(CohortData!E18*Assumptions!$B$5*CohortData!I18,2)</f>
        <v>8040</v>
      </c>
      <c r="E18" s="6" t="n">
        <f aca="false">ROUND(B18*Assumptions!$B$3,2)</f>
        <v>4643.1</v>
      </c>
      <c r="F18" s="6" t="n">
        <f aca="false">ROUND(B18*Assumptions!$B$6,2)</f>
        <v>1989.9</v>
      </c>
      <c r="G18" s="6" t="n">
        <f aca="false">ROUND(CohortData!G18*CohortData!I18-CohortData!G18*Assumptions!$B$7,2)</f>
        <v>0</v>
      </c>
      <c r="H18" s="7" t="n">
        <f aca="false">SUM(B18:E18,F18:G18)</f>
        <v>165021</v>
      </c>
      <c r="I18" s="6" t="n">
        <f aca="false">CEILING(H18,Assumptions!$B$8)</f>
        <v>165100</v>
      </c>
      <c r="J18" s="6" t="n">
        <f aca="false">FLOOR(H18,Assumptions!$B$8)</f>
        <v>165000</v>
      </c>
      <c r="K18" s="6" t="n">
        <f aca="false">ROUNDUP(H18,Assumptions!$B$9)</f>
        <v>165021</v>
      </c>
      <c r="L18" s="6" t="n">
        <f aca="false">ROUNDDOWN(H18,Assumptions!$B$10)</f>
        <v>165021</v>
      </c>
    </row>
    <row r="19" customFormat="false" ht="15" hidden="false" customHeight="false" outlineLevel="0" collapsed="false">
      <c r="A19" s="5" t="s">
        <v>62</v>
      </c>
      <c r="B19" s="6" t="n">
        <f aca="false">ROUND(CohortData!G19*CohortData!I19,2)</f>
        <v>135184.8</v>
      </c>
      <c r="C19" s="6" t="n">
        <f aca="false">ROUND(CohortData!L19*Assumptions!$B$4*CohortData!I19,2)</f>
        <v>18024.64</v>
      </c>
      <c r="D19" s="6" t="n">
        <f aca="false">ROUND(CohortData!E19*Assumptions!$B$5*CohortData!I19,2)</f>
        <v>7268</v>
      </c>
      <c r="E19" s="6" t="n">
        <f aca="false">ROUND(B19*Assumptions!$B$3,2)</f>
        <v>4731.47</v>
      </c>
      <c r="F19" s="6" t="n">
        <f aca="false">ROUND(B19*Assumptions!$B$6,2)</f>
        <v>2027.77</v>
      </c>
      <c r="G19" s="6" t="n">
        <f aca="false">ROUND(CohortData!G19*CohortData!I19-CohortData!G19*Assumptions!$B$7,2)</f>
        <v>17632.8</v>
      </c>
      <c r="H19" s="7" t="n">
        <f aca="false">SUM(B19:E19,F19:G19)</f>
        <v>184869.48</v>
      </c>
      <c r="I19" s="6" t="n">
        <f aca="false">CEILING(H19,Assumptions!$B$8)</f>
        <v>184900</v>
      </c>
      <c r="J19" s="6" t="n">
        <f aca="false">FLOOR(H19,Assumptions!$B$8)</f>
        <v>184800</v>
      </c>
      <c r="K19" s="6" t="n">
        <f aca="false">ROUNDUP(H19,Assumptions!$B$9)</f>
        <v>184870</v>
      </c>
      <c r="L19" s="6" t="n">
        <f aca="false">ROUNDDOWN(H19,Assumptions!$B$10)</f>
        <v>184869</v>
      </c>
    </row>
    <row r="20" customFormat="false" ht="15" hidden="false" customHeight="false" outlineLevel="0" collapsed="false">
      <c r="A20" s="5" t="s">
        <v>63</v>
      </c>
      <c r="B20" s="6" t="n">
        <f aca="false">ROUND(CohortData!G20*CohortData!I20,2)</f>
        <v>48720</v>
      </c>
      <c r="C20" s="6" t="n">
        <f aca="false">ROUND(CohortData!L20*Assumptions!$B$4*CohortData!I20,2)</f>
        <v>0</v>
      </c>
      <c r="D20" s="6" t="n">
        <f aca="false">ROUND(CohortData!E20*Assumptions!$B$5*CohortData!I20,2)</f>
        <v>2320</v>
      </c>
      <c r="E20" s="6" t="n">
        <f aca="false">ROUND(B20*Assumptions!$B$3,2)</f>
        <v>1705.2</v>
      </c>
      <c r="F20" s="6" t="n">
        <f aca="false">ROUND(B20*Assumptions!$B$6,2)</f>
        <v>730.8</v>
      </c>
      <c r="G20" s="6" t="n">
        <f aca="false">ROUND(CohortData!G20*CohortData!I20-CohortData!G20*Assumptions!$B$7,2)</f>
        <v>0</v>
      </c>
      <c r="H20" s="7" t="n">
        <f aca="false">SUM(B20:E20,F20:G20)</f>
        <v>53476</v>
      </c>
      <c r="I20" s="6" t="n">
        <f aca="false">CEILING(H20,Assumptions!$B$8)</f>
        <v>53500</v>
      </c>
      <c r="J20" s="6" t="n">
        <f aca="false">FLOOR(H20,Assumptions!$B$8)</f>
        <v>53400</v>
      </c>
      <c r="K20" s="6" t="n">
        <f aca="false">ROUNDUP(H20,Assumptions!$B$9)</f>
        <v>53476</v>
      </c>
      <c r="L20" s="6" t="n">
        <f aca="false">ROUNDDOWN(H20,Assumptions!$B$10)</f>
        <v>53476</v>
      </c>
    </row>
    <row r="21" customFormat="false" ht="15" hidden="false" customHeight="false" outlineLevel="0" collapsed="false">
      <c r="A21" s="5" t="s">
        <v>64</v>
      </c>
      <c r="B21" s="6" t="n">
        <f aca="false">ROUND(CohortData!G21*CohortData!I21,2)</f>
        <v>37950</v>
      </c>
      <c r="C21" s="6" t="n">
        <f aca="false">ROUND(CohortData!L21*Assumptions!$B$4*CohortData!I21,2)</f>
        <v>5060</v>
      </c>
      <c r="D21" s="6" t="n">
        <f aca="false">ROUND(CohortData!E21*Assumptions!$B$5*CohortData!I21,2)</f>
        <v>2300</v>
      </c>
      <c r="E21" s="6" t="n">
        <f aca="false">ROUND(B21*Assumptions!$B$3,2)</f>
        <v>1328.25</v>
      </c>
      <c r="F21" s="6" t="n">
        <f aca="false">ROUND(B21*Assumptions!$B$6,2)</f>
        <v>569.25</v>
      </c>
      <c r="G21" s="6" t="n">
        <f aca="false">ROUND(CohortData!G21*CohortData!I21-CohortData!G21*Assumptions!$B$7,2)</f>
        <v>0</v>
      </c>
      <c r="H21" s="7" t="n">
        <f aca="false">SUM(B21:E21,F21:G21)</f>
        <v>47207.5</v>
      </c>
      <c r="I21" s="6" t="n">
        <f aca="false">CEILING(H21,Assumptions!$B$8)</f>
        <v>47300</v>
      </c>
      <c r="J21" s="6" t="n">
        <f aca="false">FLOOR(H21,Assumptions!$B$8)</f>
        <v>47200</v>
      </c>
      <c r="K21" s="6" t="n">
        <f aca="false">ROUNDUP(H21,Assumptions!$B$9)</f>
        <v>47208</v>
      </c>
      <c r="L21" s="6" t="n">
        <f aca="false">ROUNDDOWN(H21,Assumptions!$B$10)</f>
        <v>47207</v>
      </c>
    </row>
    <row r="22" customFormat="false" ht="15" hidden="false" customHeight="false" outlineLevel="0" collapsed="false">
      <c r="A22" s="5" t="s">
        <v>65</v>
      </c>
      <c r="B22" s="6" t="n">
        <f aca="false">ROUND(CohortData!G22*CohortData!I22,2)</f>
        <v>54684</v>
      </c>
      <c r="C22" s="6" t="n">
        <f aca="false">ROUND(CohortData!L22*Assumptions!$B$4*CohortData!I22,2)</f>
        <v>7291.2</v>
      </c>
      <c r="D22" s="6" t="n">
        <f aca="false">ROUND(CohortData!E22*Assumptions!$B$5*CohortData!I22,2)</f>
        <v>2940</v>
      </c>
      <c r="E22" s="6" t="n">
        <f aca="false">ROUND(B22*Assumptions!$B$3,2)</f>
        <v>1913.94</v>
      </c>
      <c r="F22" s="6" t="n">
        <f aca="false">ROUND(B22*Assumptions!$B$6,2)</f>
        <v>820.26</v>
      </c>
      <c r="G22" s="6" t="n">
        <f aca="false">ROUND(CohortData!G22*CohortData!I22-CohortData!G22*Assumptions!$B$7,2)</f>
        <v>0</v>
      </c>
      <c r="H22" s="7" t="n">
        <f aca="false">SUM(B22:E22,F22:G22)</f>
        <v>67649.4</v>
      </c>
      <c r="I22" s="6" t="n">
        <f aca="false">CEILING(H22,Assumptions!$B$8)</f>
        <v>67700</v>
      </c>
      <c r="J22" s="6" t="n">
        <f aca="false">FLOOR(H22,Assumptions!$B$8)</f>
        <v>67600</v>
      </c>
      <c r="K22" s="6" t="n">
        <f aca="false">ROUNDUP(H22,Assumptions!$B$9)</f>
        <v>67650</v>
      </c>
      <c r="L22" s="6" t="n">
        <f aca="false">ROUNDDOWN(H22,Assumptions!$B$10)</f>
        <v>67649</v>
      </c>
    </row>
    <row r="23" customFormat="false" ht="15" hidden="false" customHeight="false" outlineLevel="0" collapsed="false">
      <c r="A23" s="5" t="s">
        <v>66</v>
      </c>
      <c r="B23" s="6" t="n">
        <f aca="false">ROUND(CohortData!G23*CohortData!I23,2)</f>
        <v>101913</v>
      </c>
      <c r="C23" s="6" t="n">
        <f aca="false">ROUND(CohortData!L23*Assumptions!$B$4*CohortData!I23,2)</f>
        <v>13588.4</v>
      </c>
      <c r="D23" s="6" t="n">
        <f aca="false">ROUND(CohortData!E23*Assumptions!$B$5*CohortData!I23,2)</f>
        <v>4853</v>
      </c>
      <c r="E23" s="6" t="n">
        <f aca="false">ROUND(B23*Assumptions!$B$3,2)</f>
        <v>3566.96</v>
      </c>
      <c r="F23" s="6" t="n">
        <f aca="false">ROUND(B23*Assumptions!$B$6,2)</f>
        <v>1528.7</v>
      </c>
      <c r="G23" s="6" t="n">
        <f aca="false">ROUND(CohortData!G23*CohortData!I23-CohortData!G23*Assumptions!$B$7,2)</f>
        <v>13293</v>
      </c>
      <c r="H23" s="7" t="n">
        <f aca="false">SUM(B23:E23,F23:G23)</f>
        <v>138743.06</v>
      </c>
      <c r="I23" s="6" t="n">
        <f aca="false">CEILING(H23,Assumptions!$B$8)</f>
        <v>138800</v>
      </c>
      <c r="J23" s="6" t="n">
        <f aca="false">FLOOR(H23,Assumptions!$B$8)</f>
        <v>138700</v>
      </c>
      <c r="K23" s="6" t="n">
        <f aca="false">ROUNDUP(H23,Assumptions!$B$9)</f>
        <v>138744</v>
      </c>
      <c r="L23" s="6" t="n">
        <f aca="false">ROUNDDOWN(H23,Assumptions!$B$10)</f>
        <v>138743</v>
      </c>
    </row>
    <row r="24" customFormat="false" ht="15" hidden="false" customHeight="false" outlineLevel="0" collapsed="false">
      <c r="A24" s="5" t="s">
        <v>67</v>
      </c>
      <c r="B24" s="6" t="n">
        <f aca="false">ROUND(CohortData!G24*CohortData!I24,2)</f>
        <v>72270</v>
      </c>
      <c r="C24" s="6" t="n">
        <f aca="false">ROUND(CohortData!L24*Assumptions!$B$4*CohortData!I24,2)</f>
        <v>9636</v>
      </c>
      <c r="D24" s="6" t="n">
        <f aca="false">ROUND(CohortData!E24*Assumptions!$B$5*CohortData!I24,2)</f>
        <v>4380</v>
      </c>
      <c r="E24" s="6" t="n">
        <f aca="false">ROUND(B24*Assumptions!$B$3,2)</f>
        <v>2529.45</v>
      </c>
      <c r="F24" s="6" t="n">
        <f aca="false">ROUND(B24*Assumptions!$B$6,2)</f>
        <v>1084.05</v>
      </c>
      <c r="G24" s="6" t="n">
        <f aca="false">ROUND(CohortData!G24*CohortData!I24-CohortData!G24*Assumptions!$B$7,2)</f>
        <v>0</v>
      </c>
      <c r="H24" s="7" t="n">
        <f aca="false">SUM(B24:E24,F24:G24)</f>
        <v>89899.5</v>
      </c>
      <c r="I24" s="6" t="n">
        <f aca="false">CEILING(H24,Assumptions!$B$8)</f>
        <v>89900</v>
      </c>
      <c r="J24" s="6" t="n">
        <f aca="false">FLOOR(H24,Assumptions!$B$8)</f>
        <v>89800</v>
      </c>
      <c r="K24" s="6" t="n">
        <f aca="false">ROUNDUP(H24,Assumptions!$B$9)</f>
        <v>89900</v>
      </c>
      <c r="L24" s="6" t="n">
        <f aca="false">ROUNDDOWN(H24,Assumptions!$B$10)</f>
        <v>89899</v>
      </c>
    </row>
    <row r="25" customFormat="false" ht="15" hidden="false" customHeight="false" outlineLevel="0" collapsed="false">
      <c r="A25" s="5" t="s">
        <v>68</v>
      </c>
      <c r="B25" s="6" t="n">
        <f aca="false">ROUND(CohortData!G25*CohortData!I25,2)</f>
        <v>133176</v>
      </c>
      <c r="C25" s="6" t="n">
        <f aca="false">ROUND(CohortData!L25*Assumptions!$B$4*CohortData!I25,2)</f>
        <v>17756.8</v>
      </c>
      <c r="D25" s="6" t="n">
        <f aca="false">ROUND(CohortData!E25*Assumptions!$B$5*CohortData!I25,2)</f>
        <v>7160</v>
      </c>
      <c r="E25" s="6" t="n">
        <f aca="false">ROUND(B25*Assumptions!$B$3,2)</f>
        <v>4661.16</v>
      </c>
      <c r="F25" s="6" t="n">
        <f aca="false">ROUND(B25*Assumptions!$B$6,2)</f>
        <v>1997.64</v>
      </c>
      <c r="G25" s="6" t="n">
        <f aca="false">ROUND(CohortData!G25*CohortData!I25-CohortData!G25*Assumptions!$B$7,2)</f>
        <v>0</v>
      </c>
      <c r="H25" s="7" t="n">
        <f aca="false">SUM(B25:E25,F25:G25)</f>
        <v>164751.6</v>
      </c>
      <c r="I25" s="6" t="n">
        <f aca="false">CEILING(H25,Assumptions!$B$8)</f>
        <v>164800</v>
      </c>
      <c r="J25" s="6" t="n">
        <f aca="false">FLOOR(H25,Assumptions!$B$8)</f>
        <v>164700</v>
      </c>
      <c r="K25" s="6" t="n">
        <f aca="false">ROUNDUP(H25,Assumptions!$B$9)</f>
        <v>164752</v>
      </c>
      <c r="L25" s="6" t="n">
        <f aca="false">ROUNDDOWN(H25,Assumptions!$B$10)</f>
        <v>164751</v>
      </c>
    </row>
    <row r="26" customFormat="false" ht="15" hidden="false" customHeight="false" outlineLevel="0" collapsed="false">
      <c r="A26" s="5" t="s">
        <v>69</v>
      </c>
      <c r="B26" s="6" t="n">
        <f aca="false">ROUND(CohortData!G26*CohortData!I26,2)</f>
        <v>171360</v>
      </c>
      <c r="C26" s="6" t="n">
        <f aca="false">ROUND(CohortData!L26*Assumptions!$B$4*CohortData!I26,2)</f>
        <v>22848</v>
      </c>
      <c r="D26" s="6" t="n">
        <f aca="false">ROUND(CohortData!E26*Assumptions!$B$5*CohortData!I26,2)</f>
        <v>8160</v>
      </c>
      <c r="E26" s="6" t="n">
        <f aca="false">ROUND(B26*Assumptions!$B$3,2)</f>
        <v>5997.6</v>
      </c>
      <c r="F26" s="6" t="n">
        <f aca="false">ROUND(B26*Assumptions!$B$6,2)</f>
        <v>2570.4</v>
      </c>
      <c r="G26" s="6" t="n">
        <f aca="false">ROUND(CohortData!G26*CohortData!I26-CohortData!G26*Assumptions!$B$7,2)</f>
        <v>0</v>
      </c>
      <c r="H26" s="7" t="n">
        <f aca="false">SUM(B26:E26,F26:G26)</f>
        <v>210936</v>
      </c>
      <c r="I26" s="6" t="n">
        <f aca="false">CEILING(H26,Assumptions!$B$8)</f>
        <v>211000</v>
      </c>
      <c r="J26" s="6" t="n">
        <f aca="false">FLOOR(H26,Assumptions!$B$8)</f>
        <v>210900</v>
      </c>
      <c r="K26" s="6" t="n">
        <f aca="false">ROUNDUP(H26,Assumptions!$B$9)</f>
        <v>210936</v>
      </c>
      <c r="L26" s="6" t="n">
        <f aca="false">ROUNDDOWN(H26,Assumptions!$B$10)</f>
        <v>210936</v>
      </c>
    </row>
    <row r="27" customFormat="false" ht="15" hidden="false" customHeight="false" outlineLevel="0" collapsed="false">
      <c r="A27" s="5" t="s">
        <v>70</v>
      </c>
      <c r="B27" s="6" t="n">
        <f aca="false">ROUND(CohortData!G27*CohortData!I27,2)</f>
        <v>42883.5</v>
      </c>
      <c r="C27" s="6" t="n">
        <f aca="false">ROUND(CohortData!L27*Assumptions!$B$4*CohortData!I27,2)</f>
        <v>5717.8</v>
      </c>
      <c r="D27" s="6" t="n">
        <f aca="false">ROUND(CohortData!E27*Assumptions!$B$5*CohortData!I27,2)</f>
        <v>2599</v>
      </c>
      <c r="E27" s="6" t="n">
        <f aca="false">ROUND(B27*Assumptions!$B$3,2)</f>
        <v>1500.92</v>
      </c>
      <c r="F27" s="6" t="n">
        <f aca="false">ROUND(B27*Assumptions!$B$6,2)</f>
        <v>643.25</v>
      </c>
      <c r="G27" s="6" t="n">
        <f aca="false">ROUND(CohortData!G27*CohortData!I27-CohortData!G27*Assumptions!$B$7,2)</f>
        <v>5593.5</v>
      </c>
      <c r="H27" s="7" t="n">
        <f aca="false">SUM(B27:E27,F27:G27)</f>
        <v>58937.97</v>
      </c>
      <c r="I27" s="6" t="n">
        <f aca="false">CEILING(H27,Assumptions!$B$8)</f>
        <v>59000</v>
      </c>
      <c r="J27" s="6" t="n">
        <f aca="false">FLOOR(H27,Assumptions!$B$8)</f>
        <v>58900</v>
      </c>
      <c r="K27" s="6" t="n">
        <f aca="false">ROUNDUP(H27,Assumptions!$B$9)</f>
        <v>58938</v>
      </c>
      <c r="L27" s="6" t="n">
        <f aca="false">ROUNDDOWN(H27,Assumptions!$B$10)</f>
        <v>58937</v>
      </c>
    </row>
    <row r="28" customFormat="false" ht="15" hidden="false" customHeight="false" outlineLevel="0" collapsed="false">
      <c r="A28" s="5" t="s">
        <v>71</v>
      </c>
      <c r="B28" s="6" t="n">
        <f aca="false">ROUND(CohortData!G28*CohortData!I28,2)</f>
        <v>143964</v>
      </c>
      <c r="C28" s="6" t="n">
        <f aca="false">ROUND(CohortData!L28*Assumptions!$B$4*CohortData!I28,2)</f>
        <v>19195.2</v>
      </c>
      <c r="D28" s="6" t="n">
        <f aca="false">ROUND(CohortData!E28*Assumptions!$B$5*CohortData!I28,2)</f>
        <v>7740</v>
      </c>
      <c r="E28" s="6" t="n">
        <f aca="false">ROUND(B28*Assumptions!$B$3,2)</f>
        <v>5038.74</v>
      </c>
      <c r="F28" s="6" t="n">
        <f aca="false">ROUND(B28*Assumptions!$B$6,2)</f>
        <v>2159.46</v>
      </c>
      <c r="G28" s="6" t="n">
        <f aca="false">ROUND(CohortData!G28*CohortData!I28-CohortData!G28*Assumptions!$B$7,2)</f>
        <v>0</v>
      </c>
      <c r="H28" s="7" t="n">
        <f aca="false">SUM(B28:E28,F28:G28)</f>
        <v>178097.4</v>
      </c>
      <c r="I28" s="6" t="n">
        <f aca="false">CEILING(H28,Assumptions!$B$8)</f>
        <v>178100</v>
      </c>
      <c r="J28" s="6" t="n">
        <f aca="false">FLOOR(H28,Assumptions!$B$8)</f>
        <v>178000</v>
      </c>
      <c r="K28" s="6" t="n">
        <f aca="false">ROUNDUP(H28,Assumptions!$B$9)</f>
        <v>178098</v>
      </c>
      <c r="L28" s="6" t="n">
        <f aca="false">ROUNDDOWN(H28,Assumptions!$B$10)</f>
        <v>178097</v>
      </c>
    </row>
    <row r="29" customFormat="false" ht="15" hidden="false" customHeight="false" outlineLevel="0" collapsed="false">
      <c r="A29" s="5" t="s">
        <v>72</v>
      </c>
      <c r="B29" s="6" t="n">
        <f aca="false">ROUND(CohortData!G29*CohortData!I29,2)</f>
        <v>84420</v>
      </c>
      <c r="C29" s="6" t="n">
        <f aca="false">ROUND(CohortData!L29*Assumptions!$B$4*CohortData!I29,2)</f>
        <v>11256</v>
      </c>
      <c r="D29" s="6" t="n">
        <f aca="false">ROUND(CohortData!E29*Assumptions!$B$5*CohortData!I29,2)</f>
        <v>4020</v>
      </c>
      <c r="E29" s="6" t="n">
        <f aca="false">ROUND(B29*Assumptions!$B$3,2)</f>
        <v>2954.7</v>
      </c>
      <c r="F29" s="6" t="n">
        <f aca="false">ROUND(B29*Assumptions!$B$6,2)</f>
        <v>1266.3</v>
      </c>
      <c r="G29" s="6" t="n">
        <f aca="false">ROUND(CohortData!G29*CohortData!I29-CohortData!G29*Assumptions!$B$7,2)</f>
        <v>0</v>
      </c>
      <c r="H29" s="7" t="n">
        <f aca="false">SUM(B29:E29,F29:G29)</f>
        <v>103917</v>
      </c>
      <c r="I29" s="6" t="n">
        <f aca="false">CEILING(H29,Assumptions!$B$8)</f>
        <v>104000</v>
      </c>
      <c r="J29" s="6" t="n">
        <f aca="false">FLOOR(H29,Assumptions!$B$8)</f>
        <v>103900</v>
      </c>
      <c r="K29" s="6" t="n">
        <f aca="false">ROUNDUP(H29,Assumptions!$B$9)</f>
        <v>103917</v>
      </c>
      <c r="L29" s="6" t="n">
        <f aca="false">ROUNDDOWN(H29,Assumptions!$B$10)</f>
        <v>103917</v>
      </c>
    </row>
    <row r="30" customFormat="false" ht="15" hidden="false" customHeight="false" outlineLevel="0" collapsed="false">
      <c r="A30" s="5" t="s">
        <v>73</v>
      </c>
      <c r="B30" s="6" t="n">
        <f aca="false">ROUND(CohortData!G30*CohortData!I30,2)</f>
        <v>153780</v>
      </c>
      <c r="C30" s="6" t="n">
        <f aca="false">ROUND(CohortData!L30*Assumptions!$B$4*CohortData!I30,2)</f>
        <v>20504</v>
      </c>
      <c r="D30" s="6" t="n">
        <f aca="false">ROUND(CohortData!E30*Assumptions!$B$5*CohortData!I30,2)</f>
        <v>9320</v>
      </c>
      <c r="E30" s="6" t="n">
        <f aca="false">ROUND(B30*Assumptions!$B$3,2)</f>
        <v>5382.3</v>
      </c>
      <c r="F30" s="6" t="n">
        <f aca="false">ROUND(B30*Assumptions!$B$6,2)</f>
        <v>2306.7</v>
      </c>
      <c r="G30" s="6" t="n">
        <f aca="false">ROUND(CohortData!G30*CohortData!I30-CohortData!G30*Assumptions!$B$7,2)</f>
        <v>0</v>
      </c>
      <c r="H30" s="7" t="n">
        <f aca="false">SUM(B30:E30,F30:G30)</f>
        <v>191293</v>
      </c>
      <c r="I30" s="6" t="n">
        <f aca="false">CEILING(H30,Assumptions!$B$8)</f>
        <v>191300</v>
      </c>
      <c r="J30" s="6" t="n">
        <f aca="false">FLOOR(H30,Assumptions!$B$8)</f>
        <v>191200</v>
      </c>
      <c r="K30" s="6" t="n">
        <f aca="false">ROUNDUP(H30,Assumptions!$B$9)</f>
        <v>191293</v>
      </c>
      <c r="L30" s="6" t="n">
        <f aca="false">ROUNDDOWN(H30,Assumptions!$B$10)</f>
        <v>191293</v>
      </c>
    </row>
    <row r="31" customFormat="false" ht="15" hidden="false" customHeight="false" outlineLevel="0" collapsed="false">
      <c r="A31" s="5" t="s">
        <v>74</v>
      </c>
      <c r="B31" s="6" t="n">
        <f aca="false">ROUND(CohortData!G31*CohortData!I31,2)</f>
        <v>184809.6</v>
      </c>
      <c r="C31" s="6" t="n">
        <f aca="false">ROUND(CohortData!L31*Assumptions!$B$4*CohortData!I31,2)</f>
        <v>24641.28</v>
      </c>
      <c r="D31" s="6" t="n">
        <f aca="false">ROUND(CohortData!E31*Assumptions!$B$5*CohortData!I31,2)</f>
        <v>9936</v>
      </c>
      <c r="E31" s="6" t="n">
        <f aca="false">ROUND(B31*Assumptions!$B$3,2)</f>
        <v>6468.34</v>
      </c>
      <c r="F31" s="6" t="n">
        <f aca="false">ROUND(B31*Assumptions!$B$6,2)</f>
        <v>2772.14</v>
      </c>
      <c r="G31" s="6" t="n">
        <f aca="false">ROUND(CohortData!G31*CohortData!I31-CohortData!G31*Assumptions!$B$7,2)</f>
        <v>24105.6</v>
      </c>
      <c r="H31" s="7" t="n">
        <f aca="false">SUM(B31:E31,F31:G31)</f>
        <v>252732.96</v>
      </c>
      <c r="I31" s="6" t="n">
        <f aca="false">CEILING(H31,Assumptions!$B$8)</f>
        <v>252800</v>
      </c>
      <c r="J31" s="6" t="n">
        <f aca="false">FLOOR(H31,Assumptions!$B$8)</f>
        <v>252700</v>
      </c>
      <c r="K31" s="6" t="n">
        <f aca="false">ROUNDUP(H31,Assumptions!$B$9)</f>
        <v>252733</v>
      </c>
      <c r="L31" s="6" t="n">
        <f aca="false">ROUNDDOWN(H31,Assumptions!$B$10)</f>
        <v>252732</v>
      </c>
    </row>
    <row r="32" customFormat="false" ht="15" hidden="false" customHeight="false" outlineLevel="0" collapsed="false">
      <c r="A32" s="5" t="s">
        <v>75</v>
      </c>
      <c r="B32" s="6" t="n">
        <f aca="false">ROUND(CohortData!G32*CohortData!I32,2)</f>
        <v>192780</v>
      </c>
      <c r="C32" s="6" t="n">
        <f aca="false">ROUND(CohortData!L32*Assumptions!$B$4*CohortData!I32,2)</f>
        <v>25704</v>
      </c>
      <c r="D32" s="6" t="n">
        <f aca="false">ROUND(CohortData!E32*Assumptions!$B$5*CohortData!I32,2)</f>
        <v>9180</v>
      </c>
      <c r="E32" s="6" t="n">
        <f aca="false">ROUND(B32*Assumptions!$B$3,2)</f>
        <v>6747.3</v>
      </c>
      <c r="F32" s="6" t="n">
        <f aca="false">ROUND(B32*Assumptions!$B$6,2)</f>
        <v>2891.7</v>
      </c>
      <c r="G32" s="6" t="n">
        <f aca="false">ROUND(CohortData!G32*CohortData!I32-CohortData!G32*Assumptions!$B$7,2)</f>
        <v>0</v>
      </c>
      <c r="H32" s="7" t="n">
        <f aca="false">SUM(B32:E32,F32:G32)</f>
        <v>237303</v>
      </c>
      <c r="I32" s="6" t="n">
        <f aca="false">CEILING(H32,Assumptions!$B$8)</f>
        <v>237400</v>
      </c>
      <c r="J32" s="6" t="n">
        <f aca="false">FLOOR(H32,Assumptions!$B$8)</f>
        <v>237300</v>
      </c>
      <c r="K32" s="6" t="n">
        <f aca="false">ROUNDUP(H32,Assumptions!$B$9)</f>
        <v>237303</v>
      </c>
      <c r="L32" s="6" t="n">
        <f aca="false">ROUNDDOWN(H32,Assumptions!$B$10)</f>
        <v>237303</v>
      </c>
    </row>
    <row r="33" customFormat="false" ht="15" hidden="false" customHeight="false" outlineLevel="0" collapsed="false">
      <c r="A33" s="5" t="s">
        <v>76</v>
      </c>
      <c r="B33" s="6" t="n">
        <f aca="false">ROUND(CohortData!G33*CohortData!I33,2)</f>
        <v>125070</v>
      </c>
      <c r="C33" s="6" t="n">
        <f aca="false">ROUND(CohortData!L33*Assumptions!$B$4*CohortData!I33,2)</f>
        <v>16676</v>
      </c>
      <c r="D33" s="6" t="n">
        <f aca="false">ROUND(CohortData!E33*Assumptions!$B$5*CohortData!I33,2)</f>
        <v>7580</v>
      </c>
      <c r="E33" s="6" t="n">
        <f aca="false">ROUND(B33*Assumptions!$B$3,2)</f>
        <v>4377.45</v>
      </c>
      <c r="F33" s="6" t="n">
        <f aca="false">ROUND(B33*Assumptions!$B$6,2)</f>
        <v>1876.05</v>
      </c>
      <c r="G33" s="6" t="n">
        <f aca="false">ROUND(CohortData!G33*CohortData!I33-CohortData!G33*Assumptions!$B$7,2)</f>
        <v>0</v>
      </c>
      <c r="H33" s="7" t="n">
        <f aca="false">SUM(B33:E33,F33:G33)</f>
        <v>155579.5</v>
      </c>
      <c r="I33" s="6" t="n">
        <f aca="false">CEILING(H33,Assumptions!$B$8)</f>
        <v>155600</v>
      </c>
      <c r="J33" s="6" t="n">
        <f aca="false">FLOOR(H33,Assumptions!$B$8)</f>
        <v>155500</v>
      </c>
      <c r="K33" s="6" t="n">
        <f aca="false">ROUNDUP(H33,Assumptions!$B$9)</f>
        <v>155580</v>
      </c>
      <c r="L33" s="6" t="n">
        <f aca="false">ROUNDDOWN(H33,Assumptions!$B$10)</f>
        <v>155579</v>
      </c>
    </row>
    <row r="34" customFormat="false" ht="15" hidden="false" customHeight="false" outlineLevel="0" collapsed="false">
      <c r="A34" s="5" t="s">
        <v>77</v>
      </c>
      <c r="B34" s="6" t="n">
        <f aca="false">ROUND(CohortData!G34*CohortData!I34,2)</f>
        <v>116808</v>
      </c>
      <c r="C34" s="6" t="n">
        <f aca="false">ROUND(CohortData!L34*Assumptions!$B$4*CohortData!I34,2)</f>
        <v>15574.4</v>
      </c>
      <c r="D34" s="6" t="n">
        <f aca="false">ROUND(CohortData!E34*Assumptions!$B$5*CohortData!I34,2)</f>
        <v>6280</v>
      </c>
      <c r="E34" s="6" t="n">
        <f aca="false">ROUND(B34*Assumptions!$B$3,2)</f>
        <v>4088.28</v>
      </c>
      <c r="F34" s="6" t="n">
        <f aca="false">ROUND(B34*Assumptions!$B$6,2)</f>
        <v>1752.12</v>
      </c>
      <c r="G34" s="6" t="n">
        <f aca="false">ROUND(CohortData!G34*CohortData!I34-CohortData!G34*Assumptions!$B$7,2)</f>
        <v>0</v>
      </c>
      <c r="H34" s="7" t="n">
        <f aca="false">SUM(B34:E34,F34:G34)</f>
        <v>144502.8</v>
      </c>
      <c r="I34" s="6" t="n">
        <f aca="false">CEILING(H34,Assumptions!$B$8)</f>
        <v>144600</v>
      </c>
      <c r="J34" s="6" t="n">
        <f aca="false">FLOOR(H34,Assumptions!$B$8)</f>
        <v>144500</v>
      </c>
      <c r="K34" s="6" t="n">
        <f aca="false">ROUNDUP(H34,Assumptions!$B$9)</f>
        <v>144503</v>
      </c>
      <c r="L34" s="6" t="n">
        <f aca="false">ROUNDDOWN(H34,Assumptions!$B$10)</f>
        <v>144502</v>
      </c>
    </row>
    <row r="35" customFormat="false" ht="15" hidden="false" customHeight="false" outlineLevel="0" collapsed="false">
      <c r="A35" s="5" t="s">
        <v>78</v>
      </c>
      <c r="B35" s="6" t="n">
        <f aca="false">ROUND(CohortData!G35*CohortData!I35,2)</f>
        <v>102396</v>
      </c>
      <c r="C35" s="6" t="n">
        <f aca="false">ROUND(CohortData!L35*Assumptions!$B$4*CohortData!I35,2)</f>
        <v>13652.8</v>
      </c>
      <c r="D35" s="6" t="n">
        <f aca="false">ROUND(CohortData!E35*Assumptions!$B$5*CohortData!I35,2)</f>
        <v>4876</v>
      </c>
      <c r="E35" s="6" t="n">
        <f aca="false">ROUND(B35*Assumptions!$B$3,2)</f>
        <v>3583.86</v>
      </c>
      <c r="F35" s="6" t="n">
        <f aca="false">ROUND(B35*Assumptions!$B$6,2)</f>
        <v>1535.94</v>
      </c>
      <c r="G35" s="6" t="n">
        <f aca="false">ROUND(CohortData!G35*CohortData!I35-CohortData!G35*Assumptions!$B$7,2)</f>
        <v>13356</v>
      </c>
      <c r="H35" s="7" t="n">
        <f aca="false">SUM(B35:E35,F35:G35)</f>
        <v>139400.6</v>
      </c>
      <c r="I35" s="6" t="n">
        <f aca="false">CEILING(H35,Assumptions!$B$8)</f>
        <v>139500</v>
      </c>
      <c r="J35" s="6" t="n">
        <f aca="false">FLOOR(H35,Assumptions!$B$8)</f>
        <v>139400</v>
      </c>
      <c r="K35" s="6" t="n">
        <f aca="false">ROUNDUP(H35,Assumptions!$B$9)</f>
        <v>139401</v>
      </c>
      <c r="L35" s="6" t="n">
        <f aca="false">ROUNDDOWN(H35,Assumptions!$B$10)</f>
        <v>139400</v>
      </c>
    </row>
    <row r="36" customFormat="false" ht="15" hidden="false" customHeight="false" outlineLevel="0" collapsed="false">
      <c r="A36" s="5" t="s">
        <v>79</v>
      </c>
      <c r="B36" s="6" t="n">
        <f aca="false">ROUND(CohortData!G36*CohortData!I36,2)</f>
        <v>108570</v>
      </c>
      <c r="C36" s="6" t="n">
        <f aca="false">ROUND(CohortData!L36*Assumptions!$B$4*CohortData!I36,2)</f>
        <v>14476</v>
      </c>
      <c r="D36" s="6" t="n">
        <f aca="false">ROUND(CohortData!E36*Assumptions!$B$5*CohortData!I36,2)</f>
        <v>6580</v>
      </c>
      <c r="E36" s="6" t="n">
        <f aca="false">ROUND(B36*Assumptions!$B$3,2)</f>
        <v>3799.95</v>
      </c>
      <c r="F36" s="6" t="n">
        <f aca="false">ROUND(B36*Assumptions!$B$6,2)</f>
        <v>1628.55</v>
      </c>
      <c r="G36" s="6" t="n">
        <f aca="false">ROUND(CohortData!G36*CohortData!I36-CohortData!G36*Assumptions!$B$7,2)</f>
        <v>0</v>
      </c>
      <c r="H36" s="7" t="n">
        <f aca="false">SUM(B36:E36,F36:G36)</f>
        <v>135054.5</v>
      </c>
      <c r="I36" s="6" t="n">
        <f aca="false">CEILING(H36,Assumptions!$B$8)</f>
        <v>135100</v>
      </c>
      <c r="J36" s="6" t="n">
        <f aca="false">FLOOR(H36,Assumptions!$B$8)</f>
        <v>135000</v>
      </c>
      <c r="K36" s="6" t="n">
        <f aca="false">ROUNDUP(H36,Assumptions!$B$9)</f>
        <v>135055</v>
      </c>
      <c r="L36" s="6" t="n">
        <f aca="false">ROUNDDOWN(H36,Assumptions!$B$10)</f>
        <v>135054</v>
      </c>
    </row>
    <row r="37" customFormat="false" ht="15" hidden="false" customHeight="false" outlineLevel="0" collapsed="false">
      <c r="A37" s="5" t="s">
        <v>80</v>
      </c>
      <c r="B37" s="6" t="n">
        <f aca="false">ROUND(CohortData!G37*CohortData!I37,2)</f>
        <v>149172</v>
      </c>
      <c r="C37" s="6" t="n">
        <f aca="false">ROUND(CohortData!L37*Assumptions!$B$4*CohortData!I37,2)</f>
        <v>0</v>
      </c>
      <c r="D37" s="6" t="n">
        <f aca="false">ROUND(CohortData!E37*Assumptions!$B$5*CohortData!I37,2)</f>
        <v>8020</v>
      </c>
      <c r="E37" s="6" t="n">
        <f aca="false">ROUND(B37*Assumptions!$B$3,2)</f>
        <v>5221.02</v>
      </c>
      <c r="F37" s="6" t="n">
        <f aca="false">ROUND(B37*Assumptions!$B$6,2)</f>
        <v>2237.58</v>
      </c>
      <c r="G37" s="6" t="n">
        <f aca="false">ROUND(CohortData!G37*CohortData!I37-CohortData!G37*Assumptions!$B$7,2)</f>
        <v>0</v>
      </c>
      <c r="H37" s="7" t="n">
        <f aca="false">SUM(B37:E37,F37:G37)</f>
        <v>164650.6</v>
      </c>
      <c r="I37" s="6" t="n">
        <f aca="false">CEILING(H37,Assumptions!$B$8)</f>
        <v>164700</v>
      </c>
      <c r="J37" s="6" t="n">
        <f aca="false">FLOOR(H37,Assumptions!$B$8)</f>
        <v>164600</v>
      </c>
      <c r="K37" s="6" t="n">
        <f aca="false">ROUNDUP(H37,Assumptions!$B$9)</f>
        <v>164651</v>
      </c>
      <c r="L37" s="6" t="n">
        <f aca="false">ROUNDDOWN(H37,Assumptions!$B$10)</f>
        <v>164650</v>
      </c>
    </row>
    <row r="38" customFormat="false" ht="15" hidden="false" customHeight="false" outlineLevel="0" collapsed="false">
      <c r="A38" s="5" t="s">
        <v>81</v>
      </c>
      <c r="B38" s="6" t="n">
        <f aca="false">ROUND(CohortData!G38*CohortData!I38,2)</f>
        <v>101640</v>
      </c>
      <c r="C38" s="6" t="n">
        <f aca="false">ROUND(CohortData!L38*Assumptions!$B$4*CohortData!I38,2)</f>
        <v>13552</v>
      </c>
      <c r="D38" s="6" t="n">
        <f aca="false">ROUND(CohortData!E38*Assumptions!$B$5*CohortData!I38,2)</f>
        <v>4840</v>
      </c>
      <c r="E38" s="6" t="n">
        <f aca="false">ROUND(B38*Assumptions!$B$3,2)</f>
        <v>3557.4</v>
      </c>
      <c r="F38" s="6" t="n">
        <f aca="false">ROUND(B38*Assumptions!$B$6,2)</f>
        <v>1524.6</v>
      </c>
      <c r="G38" s="6" t="n">
        <f aca="false">ROUND(CohortData!G38*CohortData!I38-CohortData!G38*Assumptions!$B$7,2)</f>
        <v>0</v>
      </c>
      <c r="H38" s="7" t="n">
        <f aca="false">SUM(B38:E38,F38:G38)</f>
        <v>125114</v>
      </c>
      <c r="I38" s="6" t="n">
        <f aca="false">CEILING(H38,Assumptions!$B$8)</f>
        <v>125200</v>
      </c>
      <c r="J38" s="6" t="n">
        <f aca="false">FLOOR(H38,Assumptions!$B$8)</f>
        <v>125100</v>
      </c>
      <c r="K38" s="6" t="n">
        <f aca="false">ROUNDUP(H38,Assumptions!$B$9)</f>
        <v>125114</v>
      </c>
      <c r="L38" s="6" t="n">
        <f aca="false">ROUNDDOWN(H38,Assumptions!$B$10)</f>
        <v>125114</v>
      </c>
    </row>
    <row r="39" customFormat="false" ht="15" hidden="false" customHeight="false" outlineLevel="0" collapsed="false">
      <c r="A39" s="5" t="s">
        <v>82</v>
      </c>
      <c r="B39" s="6" t="n">
        <f aca="false">ROUND(CohortData!G39*CohortData!I39,2)</f>
        <v>39088.5</v>
      </c>
      <c r="C39" s="6" t="n">
        <f aca="false">ROUND(CohortData!L39*Assumptions!$B$4*CohortData!I39,2)</f>
        <v>5211.8</v>
      </c>
      <c r="D39" s="6" t="n">
        <f aca="false">ROUND(CohortData!E39*Assumptions!$B$5*CohortData!I39,2)</f>
        <v>2369</v>
      </c>
      <c r="E39" s="6" t="n">
        <f aca="false">ROUND(B39*Assumptions!$B$3,2)</f>
        <v>1368.1</v>
      </c>
      <c r="F39" s="6" t="n">
        <f aca="false">ROUND(B39*Assumptions!$B$6,2)</f>
        <v>586.33</v>
      </c>
      <c r="G39" s="6" t="n">
        <f aca="false">ROUND(CohortData!G39*CohortData!I39-CohortData!G39*Assumptions!$B$7,2)</f>
        <v>5098.5</v>
      </c>
      <c r="H39" s="7" t="n">
        <f aca="false">SUM(B39:E39,F39:G39)</f>
        <v>53722.23</v>
      </c>
      <c r="I39" s="6" t="n">
        <f aca="false">CEILING(H39,Assumptions!$B$8)</f>
        <v>53800</v>
      </c>
      <c r="J39" s="6" t="n">
        <f aca="false">FLOOR(H39,Assumptions!$B$8)</f>
        <v>53700</v>
      </c>
      <c r="K39" s="6" t="n">
        <f aca="false">ROUNDUP(H39,Assumptions!$B$9)</f>
        <v>53723</v>
      </c>
      <c r="L39" s="6" t="n">
        <f aca="false">ROUNDDOWN(H39,Assumptions!$B$10)</f>
        <v>53722</v>
      </c>
    </row>
    <row r="40" customFormat="false" ht="15" hidden="false" customHeight="false" outlineLevel="0" collapsed="false">
      <c r="A40" s="5" t="s">
        <v>83</v>
      </c>
      <c r="B40" s="6" t="n">
        <f aca="false">ROUND(CohortData!G40*CohortData!I40,2)</f>
        <v>181536</v>
      </c>
      <c r="C40" s="6" t="n">
        <f aca="false">ROUND(CohortData!L40*Assumptions!$B$4*CohortData!I40,2)</f>
        <v>24204.8</v>
      </c>
      <c r="D40" s="6" t="n">
        <f aca="false">ROUND(CohortData!E40*Assumptions!$B$5*CohortData!I40,2)</f>
        <v>9760</v>
      </c>
      <c r="E40" s="6" t="n">
        <f aca="false">ROUND(B40*Assumptions!$B$3,2)</f>
        <v>6353.76</v>
      </c>
      <c r="F40" s="6" t="n">
        <f aca="false">ROUND(B40*Assumptions!$B$6,2)</f>
        <v>2723.04</v>
      </c>
      <c r="G40" s="6" t="n">
        <f aca="false">ROUND(CohortData!G40*CohortData!I40-CohortData!G40*Assumptions!$B$7,2)</f>
        <v>0</v>
      </c>
      <c r="H40" s="7" t="n">
        <f aca="false">SUM(B40:E40,F40:G40)</f>
        <v>224577.6</v>
      </c>
      <c r="I40" s="6" t="n">
        <f aca="false">CEILING(H40,Assumptions!$B$8)</f>
        <v>224600</v>
      </c>
      <c r="J40" s="6" t="n">
        <f aca="false">FLOOR(H40,Assumptions!$B$8)</f>
        <v>224500</v>
      </c>
      <c r="K40" s="6" t="n">
        <f aca="false">ROUNDUP(H40,Assumptions!$B$9)</f>
        <v>224578</v>
      </c>
      <c r="L40" s="6" t="n">
        <f aca="false">ROUNDDOWN(H40,Assumptions!$B$10)</f>
        <v>224577</v>
      </c>
    </row>
    <row r="41" customFormat="false" ht="15" hidden="false" customHeight="false" outlineLevel="0" collapsed="false">
      <c r="A41" s="5" t="s">
        <v>84</v>
      </c>
      <c r="B41" s="6" t="n">
        <f aca="false">ROUND(CohortData!G41*CohortData!I41,2)</f>
        <v>76020</v>
      </c>
      <c r="C41" s="6" t="n">
        <f aca="false">ROUND(CohortData!L41*Assumptions!$B$4*CohortData!I41,2)</f>
        <v>10136</v>
      </c>
      <c r="D41" s="6" t="n">
        <f aca="false">ROUND(CohortData!E41*Assumptions!$B$5*CohortData!I41,2)</f>
        <v>3620</v>
      </c>
      <c r="E41" s="6" t="n">
        <f aca="false">ROUND(B41*Assumptions!$B$3,2)</f>
        <v>2660.7</v>
      </c>
      <c r="F41" s="6" t="n">
        <f aca="false">ROUND(B41*Assumptions!$B$6,2)</f>
        <v>1140.3</v>
      </c>
      <c r="G41" s="6" t="n">
        <f aca="false">ROUND(CohortData!G41*CohortData!I41-CohortData!G41*Assumptions!$B$7,2)</f>
        <v>0</v>
      </c>
      <c r="H41" s="7" t="n">
        <f aca="false">SUM(B41:E41,F41:G41)</f>
        <v>93577</v>
      </c>
      <c r="I41" s="6" t="n">
        <f aca="false">CEILING(H41,Assumptions!$B$8)</f>
        <v>93600</v>
      </c>
      <c r="J41" s="6" t="n">
        <f aca="false">FLOOR(H41,Assumptions!$B$8)</f>
        <v>93500</v>
      </c>
      <c r="K41" s="6" t="n">
        <f aca="false">ROUNDUP(H41,Assumptions!$B$9)</f>
        <v>93577</v>
      </c>
      <c r="L41" s="6" t="n">
        <f aca="false">ROUNDDOWN(H41,Assumptions!$B$10)</f>
        <v>93577</v>
      </c>
    </row>
    <row r="42" customFormat="false" ht="15" hidden="false" customHeight="false" outlineLevel="0" collapsed="false">
      <c r="A42" s="5" t="s">
        <v>85</v>
      </c>
      <c r="B42" s="6" t="n">
        <f aca="false">ROUND(CohortData!G42*CohortData!I42,2)</f>
        <v>150810</v>
      </c>
      <c r="C42" s="6" t="n">
        <f aca="false">ROUND(CohortData!L42*Assumptions!$B$4*CohortData!I42,2)</f>
        <v>20108</v>
      </c>
      <c r="D42" s="6" t="n">
        <f aca="false">ROUND(CohortData!E42*Assumptions!$B$5*CohortData!I42,2)</f>
        <v>9140</v>
      </c>
      <c r="E42" s="6" t="n">
        <f aca="false">ROUND(B42*Assumptions!$B$3,2)</f>
        <v>5278.35</v>
      </c>
      <c r="F42" s="6" t="n">
        <f aca="false">ROUND(B42*Assumptions!$B$6,2)</f>
        <v>2262.15</v>
      </c>
      <c r="G42" s="6" t="n">
        <f aca="false">ROUND(CohortData!G42*CohortData!I42-CohortData!G42*Assumptions!$B$7,2)</f>
        <v>0</v>
      </c>
      <c r="H42" s="7" t="n">
        <f aca="false">SUM(B42:E42,F42:G42)</f>
        <v>187598.5</v>
      </c>
      <c r="I42" s="6" t="n">
        <f aca="false">CEILING(H42,Assumptions!$B$8)</f>
        <v>187600</v>
      </c>
      <c r="J42" s="6" t="n">
        <f aca="false">FLOOR(H42,Assumptions!$B$8)</f>
        <v>187500</v>
      </c>
      <c r="K42" s="6" t="n">
        <f aca="false">ROUNDUP(H42,Assumptions!$B$9)</f>
        <v>187599</v>
      </c>
      <c r="L42" s="6" t="n">
        <f aca="false">ROUNDDOWN(H42,Assumptions!$B$10)</f>
        <v>187598</v>
      </c>
    </row>
    <row r="43" customFormat="false" ht="15" hidden="false" customHeight="false" outlineLevel="0" collapsed="false">
      <c r="A43" s="5" t="s">
        <v>86</v>
      </c>
      <c r="B43" s="6" t="n">
        <f aca="false">ROUND(CohortData!G43*CohortData!I43,2)</f>
        <v>135184.8</v>
      </c>
      <c r="C43" s="6" t="n">
        <f aca="false">ROUND(CohortData!L43*Assumptions!$B$4*CohortData!I43,2)</f>
        <v>18024.64</v>
      </c>
      <c r="D43" s="6" t="n">
        <f aca="false">ROUND(CohortData!E43*Assumptions!$B$5*CohortData!I43,2)</f>
        <v>7268</v>
      </c>
      <c r="E43" s="6" t="n">
        <f aca="false">ROUND(B43*Assumptions!$B$3,2)</f>
        <v>4731.47</v>
      </c>
      <c r="F43" s="6" t="n">
        <f aca="false">ROUND(B43*Assumptions!$B$6,2)</f>
        <v>2027.77</v>
      </c>
      <c r="G43" s="6" t="n">
        <f aca="false">ROUND(CohortData!G43*CohortData!I43-CohortData!G43*Assumptions!$B$7,2)</f>
        <v>17632.8</v>
      </c>
      <c r="H43" s="7" t="n">
        <f aca="false">SUM(B43:E43,F43:G43)</f>
        <v>184869.48</v>
      </c>
      <c r="I43" s="6" t="n">
        <f aca="false">CEILING(H43,Assumptions!$B$8)</f>
        <v>184900</v>
      </c>
      <c r="J43" s="6" t="n">
        <f aca="false">FLOOR(H43,Assumptions!$B$8)</f>
        <v>184800</v>
      </c>
      <c r="K43" s="6" t="n">
        <f aca="false">ROUNDUP(H43,Assumptions!$B$9)</f>
        <v>184870</v>
      </c>
      <c r="L43" s="6" t="n">
        <f aca="false">ROUNDDOWN(H43,Assumptions!$B$10)</f>
        <v>184869</v>
      </c>
    </row>
    <row r="44" customFormat="false" ht="15" hidden="false" customHeight="false" outlineLevel="0" collapsed="false">
      <c r="A44" s="5" t="s">
        <v>87</v>
      </c>
      <c r="B44" s="6" t="n">
        <f aca="false">ROUND(CohortData!G44*CohortData!I44,2)</f>
        <v>115080</v>
      </c>
      <c r="C44" s="6" t="n">
        <f aca="false">ROUND(CohortData!L44*Assumptions!$B$4*CohortData!I44,2)</f>
        <v>15344</v>
      </c>
      <c r="D44" s="6" t="n">
        <f aca="false">ROUND(CohortData!E44*Assumptions!$B$5*CohortData!I44,2)</f>
        <v>5480</v>
      </c>
      <c r="E44" s="6" t="n">
        <f aca="false">ROUND(B44*Assumptions!$B$3,2)</f>
        <v>4027.8</v>
      </c>
      <c r="F44" s="6" t="n">
        <f aca="false">ROUND(B44*Assumptions!$B$6,2)</f>
        <v>1726.2</v>
      </c>
      <c r="G44" s="6" t="n">
        <f aca="false">ROUND(CohortData!G44*CohortData!I44-CohortData!G44*Assumptions!$B$7,2)</f>
        <v>0</v>
      </c>
      <c r="H44" s="7" t="n">
        <f aca="false">SUM(B44:E44,F44:G44)</f>
        <v>141658</v>
      </c>
      <c r="I44" s="6" t="n">
        <f aca="false">CEILING(H44,Assumptions!$B$8)</f>
        <v>141700</v>
      </c>
      <c r="J44" s="6" t="n">
        <f aca="false">FLOOR(H44,Assumptions!$B$8)</f>
        <v>141600</v>
      </c>
      <c r="K44" s="6" t="n">
        <f aca="false">ROUNDUP(H44,Assumptions!$B$9)</f>
        <v>141658</v>
      </c>
      <c r="L44" s="6" t="n">
        <f aca="false">ROUNDDOWN(H44,Assumptions!$B$10)</f>
        <v>141658</v>
      </c>
    </row>
    <row r="45" customFormat="false" ht="15" hidden="false" customHeight="false" outlineLevel="0" collapsed="false">
      <c r="A45" s="5" t="s">
        <v>88</v>
      </c>
      <c r="B45" s="6" t="n">
        <f aca="false">ROUND(CohortData!G45*CohortData!I45,2)</f>
        <v>79860</v>
      </c>
      <c r="C45" s="6" t="n">
        <f aca="false">ROUND(CohortData!L45*Assumptions!$B$4*CohortData!I45,2)</f>
        <v>10648</v>
      </c>
      <c r="D45" s="6" t="n">
        <f aca="false">ROUND(CohortData!E45*Assumptions!$B$5*CohortData!I45,2)</f>
        <v>4840</v>
      </c>
      <c r="E45" s="6" t="n">
        <f aca="false">ROUND(B45*Assumptions!$B$3,2)</f>
        <v>2795.1</v>
      </c>
      <c r="F45" s="6" t="n">
        <f aca="false">ROUND(B45*Assumptions!$B$6,2)</f>
        <v>1197.9</v>
      </c>
      <c r="G45" s="6" t="n">
        <f aca="false">ROUND(CohortData!G45*CohortData!I45-CohortData!G45*Assumptions!$B$7,2)</f>
        <v>0</v>
      </c>
      <c r="H45" s="7" t="n">
        <f aca="false">SUM(B45:E45,F45:G45)</f>
        <v>99341</v>
      </c>
      <c r="I45" s="6" t="n">
        <f aca="false">CEILING(H45,Assumptions!$B$8)</f>
        <v>99400</v>
      </c>
      <c r="J45" s="6" t="n">
        <f aca="false">FLOOR(H45,Assumptions!$B$8)</f>
        <v>99300</v>
      </c>
      <c r="K45" s="6" t="n">
        <f aca="false">ROUNDUP(H45,Assumptions!$B$9)</f>
        <v>99341</v>
      </c>
      <c r="L45" s="6" t="n">
        <f aca="false">ROUNDDOWN(H45,Assumptions!$B$10)</f>
        <v>99341</v>
      </c>
    </row>
    <row r="46" customFormat="false" ht="15" hidden="false" customHeight="false" outlineLevel="0" collapsed="false">
      <c r="A46" s="5" t="s">
        <v>89</v>
      </c>
      <c r="B46" s="6" t="n">
        <f aca="false">ROUND(CohortData!G46*CohortData!I46,2)</f>
        <v>66588</v>
      </c>
      <c r="C46" s="6" t="n">
        <f aca="false">ROUND(CohortData!L46*Assumptions!$B$4*CohortData!I46,2)</f>
        <v>8878.4</v>
      </c>
      <c r="D46" s="6" t="n">
        <f aca="false">ROUND(CohortData!E46*Assumptions!$B$5*CohortData!I46,2)</f>
        <v>3580</v>
      </c>
      <c r="E46" s="6" t="n">
        <f aca="false">ROUND(B46*Assumptions!$B$3,2)</f>
        <v>2330.58</v>
      </c>
      <c r="F46" s="6" t="n">
        <f aca="false">ROUND(B46*Assumptions!$B$6,2)</f>
        <v>998.82</v>
      </c>
      <c r="G46" s="6" t="n">
        <f aca="false">ROUND(CohortData!G46*CohortData!I46-CohortData!G46*Assumptions!$B$7,2)</f>
        <v>0</v>
      </c>
      <c r="H46" s="7" t="n">
        <f aca="false">SUM(B46:E46,F46:G46)</f>
        <v>82375.8</v>
      </c>
      <c r="I46" s="6" t="n">
        <f aca="false">CEILING(H46,Assumptions!$B$8)</f>
        <v>82400</v>
      </c>
      <c r="J46" s="6" t="n">
        <f aca="false">FLOOR(H46,Assumptions!$B$8)</f>
        <v>82300</v>
      </c>
      <c r="K46" s="6" t="n">
        <f aca="false">ROUNDUP(H46,Assumptions!$B$9)</f>
        <v>82376</v>
      </c>
      <c r="L46" s="6" t="n">
        <f aca="false">ROUNDDOWN(H46,Assumptions!$B$10)</f>
        <v>82375</v>
      </c>
    </row>
    <row r="47" customFormat="false" ht="15" hidden="false" customHeight="false" outlineLevel="0" collapsed="false">
      <c r="A47" s="5" t="s">
        <v>90</v>
      </c>
      <c r="B47" s="6" t="n">
        <f aca="false">ROUND(CohortData!G47*CohortData!I47,2)</f>
        <v>101430</v>
      </c>
      <c r="C47" s="6" t="n">
        <f aca="false">ROUND(CohortData!L47*Assumptions!$B$4*CohortData!I47,2)</f>
        <v>13524</v>
      </c>
      <c r="D47" s="6" t="n">
        <f aca="false">ROUND(CohortData!E47*Assumptions!$B$5*CohortData!I47,2)</f>
        <v>4830</v>
      </c>
      <c r="E47" s="6" t="n">
        <f aca="false">ROUND(B47*Assumptions!$B$3,2)</f>
        <v>3550.05</v>
      </c>
      <c r="F47" s="6" t="n">
        <f aca="false">ROUND(B47*Assumptions!$B$6,2)</f>
        <v>1521.45</v>
      </c>
      <c r="G47" s="6" t="n">
        <f aca="false">ROUND(CohortData!G47*CohortData!I47-CohortData!G47*Assumptions!$B$7,2)</f>
        <v>13230</v>
      </c>
      <c r="H47" s="7" t="n">
        <f aca="false">SUM(B47:E47,F47:G47)</f>
        <v>138085.5</v>
      </c>
      <c r="I47" s="6" t="n">
        <f aca="false">CEILING(H47,Assumptions!$B$8)</f>
        <v>138100</v>
      </c>
      <c r="J47" s="6" t="n">
        <f aca="false">FLOOR(H47,Assumptions!$B$8)</f>
        <v>138000</v>
      </c>
      <c r="K47" s="6" t="n">
        <f aca="false">ROUNDUP(H47,Assumptions!$B$9)</f>
        <v>138086</v>
      </c>
      <c r="L47" s="6" t="n">
        <f aca="false">ROUNDDOWN(H47,Assumptions!$B$10)</f>
        <v>138085</v>
      </c>
    </row>
    <row r="48" customFormat="false" ht="15" hidden="false" customHeight="false" outlineLevel="0" collapsed="false">
      <c r="A48" s="5" t="s">
        <v>91</v>
      </c>
      <c r="B48" s="6" t="n">
        <f aca="false">ROUND(CohortData!G48*CohortData!I48,2)</f>
        <v>161700</v>
      </c>
      <c r="C48" s="6" t="n">
        <f aca="false">ROUND(CohortData!L48*Assumptions!$B$4*CohortData!I48,2)</f>
        <v>21560</v>
      </c>
      <c r="D48" s="6" t="n">
        <f aca="false">ROUND(CohortData!E48*Assumptions!$B$5*CohortData!I48,2)</f>
        <v>9800</v>
      </c>
      <c r="E48" s="6" t="n">
        <f aca="false">ROUND(B48*Assumptions!$B$3,2)</f>
        <v>5659.5</v>
      </c>
      <c r="F48" s="6" t="n">
        <f aca="false">ROUND(B48*Assumptions!$B$6,2)</f>
        <v>2425.5</v>
      </c>
      <c r="G48" s="6" t="n">
        <f aca="false">ROUND(CohortData!G48*CohortData!I48-CohortData!G48*Assumptions!$B$7,2)</f>
        <v>0</v>
      </c>
      <c r="H48" s="7" t="n">
        <f aca="false">SUM(B48:E48,F48:G48)</f>
        <v>201145</v>
      </c>
      <c r="I48" s="6" t="n">
        <f aca="false">CEILING(H48,Assumptions!$B$8)</f>
        <v>201200</v>
      </c>
      <c r="J48" s="6" t="n">
        <f aca="false">FLOOR(H48,Assumptions!$B$8)</f>
        <v>201100</v>
      </c>
      <c r="K48" s="6" t="n">
        <f aca="false">ROUNDUP(H48,Assumptions!$B$9)</f>
        <v>201145</v>
      </c>
      <c r="L48" s="6" t="n">
        <f aca="false">ROUNDDOWN(H48,Assumptions!$B$10)</f>
        <v>201145</v>
      </c>
    </row>
    <row r="49" customFormat="false" ht="15" hidden="false" customHeight="false" outlineLevel="0" collapsed="false">
      <c r="A49" s="5" t="s">
        <v>92</v>
      </c>
      <c r="B49" s="6" t="n">
        <f aca="false">ROUND(CohortData!G49*CohortData!I49,2)</f>
        <v>101184</v>
      </c>
      <c r="C49" s="6" t="n">
        <f aca="false">ROUND(CohortData!L49*Assumptions!$B$4*CohortData!I49,2)</f>
        <v>13491.2</v>
      </c>
      <c r="D49" s="6" t="n">
        <f aca="false">ROUND(CohortData!E49*Assumptions!$B$5*CohortData!I49,2)</f>
        <v>5440</v>
      </c>
      <c r="E49" s="6" t="n">
        <f aca="false">ROUND(B49*Assumptions!$B$3,2)</f>
        <v>3541.44</v>
      </c>
      <c r="F49" s="6" t="n">
        <f aca="false">ROUND(B49*Assumptions!$B$6,2)</f>
        <v>1517.76</v>
      </c>
      <c r="G49" s="6" t="n">
        <f aca="false">ROUND(CohortData!G49*CohortData!I49-CohortData!G49*Assumptions!$B$7,2)</f>
        <v>0</v>
      </c>
      <c r="H49" s="7" t="n">
        <f aca="false">SUM(B49:E49,F49:G49)</f>
        <v>125174.4</v>
      </c>
      <c r="I49" s="6" t="n">
        <f aca="false">CEILING(H49,Assumptions!$B$8)</f>
        <v>125200</v>
      </c>
      <c r="J49" s="6" t="n">
        <f aca="false">FLOOR(H49,Assumptions!$B$8)</f>
        <v>125100</v>
      </c>
      <c r="K49" s="6" t="n">
        <f aca="false">ROUNDUP(H49,Assumptions!$B$9)</f>
        <v>125175</v>
      </c>
      <c r="L49" s="6" t="n">
        <f aca="false">ROUNDDOWN(H49,Assumptions!$B$10)</f>
        <v>125174</v>
      </c>
    </row>
    <row r="50" customFormat="false" ht="15" hidden="false" customHeight="false" outlineLevel="0" collapsed="false">
      <c r="A50" s="5" t="s">
        <v>93</v>
      </c>
      <c r="B50" s="6" t="n">
        <f aca="false">ROUND(CohortData!G50*CohortData!I50,2)</f>
        <v>63840</v>
      </c>
      <c r="C50" s="6" t="n">
        <f aca="false">ROUND(CohortData!L50*Assumptions!$B$4*CohortData!I50,2)</f>
        <v>8512</v>
      </c>
      <c r="D50" s="6" t="n">
        <f aca="false">ROUND(CohortData!E50*Assumptions!$B$5*CohortData!I50,2)</f>
        <v>3040</v>
      </c>
      <c r="E50" s="6" t="n">
        <f aca="false">ROUND(B50*Assumptions!$B$3,2)</f>
        <v>2234.4</v>
      </c>
      <c r="F50" s="6" t="n">
        <f aca="false">ROUND(B50*Assumptions!$B$6,2)</f>
        <v>957.6</v>
      </c>
      <c r="G50" s="6" t="n">
        <f aca="false">ROUND(CohortData!G50*CohortData!I50-CohortData!G50*Assumptions!$B$7,2)</f>
        <v>0</v>
      </c>
      <c r="H50" s="7" t="n">
        <f aca="false">SUM(B50:E50,F50:G50)</f>
        <v>78584</v>
      </c>
      <c r="I50" s="6" t="n">
        <f aca="false">CEILING(H50,Assumptions!$B$8)</f>
        <v>78600</v>
      </c>
      <c r="J50" s="6" t="n">
        <f aca="false">FLOOR(H50,Assumptions!$B$8)</f>
        <v>78500</v>
      </c>
      <c r="K50" s="6" t="n">
        <f aca="false">ROUNDUP(H50,Assumptions!$B$9)</f>
        <v>78584</v>
      </c>
      <c r="L50" s="6" t="n">
        <f aca="false">ROUNDDOWN(H50,Assumptions!$B$10)</f>
        <v>78584</v>
      </c>
    </row>
    <row r="51" customFormat="false" ht="15" hidden="false" customHeight="false" outlineLevel="0" collapsed="false">
      <c r="A51" s="5" t="s">
        <v>94</v>
      </c>
      <c r="B51" s="6" t="n">
        <f aca="false">ROUND(CohortData!G51*CohortData!I51,2)</f>
        <v>55786.5</v>
      </c>
      <c r="C51" s="6" t="n">
        <f aca="false">ROUND(CohortData!L51*Assumptions!$B$4*CohortData!I51,2)</f>
        <v>7438.2</v>
      </c>
      <c r="D51" s="6" t="n">
        <f aca="false">ROUND(CohortData!E51*Assumptions!$B$5*CohortData!I51,2)</f>
        <v>3381</v>
      </c>
      <c r="E51" s="6" t="n">
        <f aca="false">ROUND(B51*Assumptions!$B$3,2)</f>
        <v>1952.53</v>
      </c>
      <c r="F51" s="6" t="n">
        <f aca="false">ROUND(B51*Assumptions!$B$6,2)</f>
        <v>836.8</v>
      </c>
      <c r="G51" s="6" t="n">
        <f aca="false">ROUND(CohortData!G51*CohortData!I51-CohortData!G51*Assumptions!$B$7,2)</f>
        <v>7276.5</v>
      </c>
      <c r="H51" s="7" t="n">
        <f aca="false">SUM(B51:E51,F51:G51)</f>
        <v>76671.53</v>
      </c>
      <c r="I51" s="6" t="n">
        <f aca="false">CEILING(H51,Assumptions!$B$8)</f>
        <v>76700</v>
      </c>
      <c r="J51" s="6" t="n">
        <f aca="false">FLOOR(H51,Assumptions!$B$8)</f>
        <v>76600</v>
      </c>
      <c r="K51" s="6" t="n">
        <f aca="false">ROUNDUP(H51,Assumptions!$B$9)</f>
        <v>76672</v>
      </c>
      <c r="L51" s="6" t="n">
        <f aca="false">ROUNDDOWN(H51,Assumptions!$B$10)</f>
        <v>76671</v>
      </c>
    </row>
    <row r="52" customFormat="false" ht="15" hidden="false" customHeight="false" outlineLevel="0" collapsed="false">
      <c r="A52" s="5" t="s">
        <v>95</v>
      </c>
      <c r="B52" s="6" t="n">
        <f aca="false">ROUND(CohortData!G52*CohortData!I52,2)</f>
        <v>109368</v>
      </c>
      <c r="C52" s="6" t="n">
        <f aca="false">ROUND(CohortData!L52*Assumptions!$B$4*CohortData!I52,2)</f>
        <v>14582.4</v>
      </c>
      <c r="D52" s="6" t="n">
        <f aca="false">ROUND(CohortData!E52*Assumptions!$B$5*CohortData!I52,2)</f>
        <v>5880</v>
      </c>
      <c r="E52" s="6" t="n">
        <f aca="false">ROUND(B52*Assumptions!$B$3,2)</f>
        <v>3827.88</v>
      </c>
      <c r="F52" s="6" t="n">
        <f aca="false">ROUND(B52*Assumptions!$B$6,2)</f>
        <v>1640.52</v>
      </c>
      <c r="G52" s="6" t="n">
        <f aca="false">ROUND(CohortData!G52*CohortData!I52-CohortData!G52*Assumptions!$B$7,2)</f>
        <v>0</v>
      </c>
      <c r="H52" s="7" t="n">
        <f aca="false">SUM(B52:E52,F52:G52)</f>
        <v>135298.8</v>
      </c>
      <c r="I52" s="6" t="n">
        <f aca="false">CEILING(H52,Assumptions!$B$8)</f>
        <v>135300</v>
      </c>
      <c r="J52" s="6" t="n">
        <f aca="false">FLOOR(H52,Assumptions!$B$8)</f>
        <v>135200</v>
      </c>
      <c r="K52" s="6" t="n">
        <f aca="false">ROUNDUP(H52,Assumptions!$B$9)</f>
        <v>135299</v>
      </c>
      <c r="L52" s="6" t="n">
        <f aca="false">ROUNDDOWN(H52,Assumptions!$B$10)</f>
        <v>135298</v>
      </c>
    </row>
    <row r="53" customFormat="false" ht="15" hidden="false" customHeight="false" outlineLevel="0" collapsed="false">
      <c r="A53" s="5" t="s">
        <v>96</v>
      </c>
      <c r="B53" s="6" t="n">
        <f aca="false">ROUND(CohortData!G53*CohortData!I53,2)</f>
        <v>62580</v>
      </c>
      <c r="C53" s="6" t="n">
        <f aca="false">ROUND(CohortData!L53*Assumptions!$B$4*CohortData!I53,2)</f>
        <v>8344</v>
      </c>
      <c r="D53" s="6" t="n">
        <f aca="false">ROUND(CohortData!E53*Assumptions!$B$5*CohortData!I53,2)</f>
        <v>2980</v>
      </c>
      <c r="E53" s="6" t="n">
        <f aca="false">ROUND(B53*Assumptions!$B$3,2)</f>
        <v>2190.3</v>
      </c>
      <c r="F53" s="6" t="n">
        <f aca="false">ROUND(B53*Assumptions!$B$6,2)</f>
        <v>938.7</v>
      </c>
      <c r="G53" s="6" t="n">
        <f aca="false">ROUND(CohortData!G53*CohortData!I53-CohortData!G53*Assumptions!$B$7,2)</f>
        <v>0</v>
      </c>
      <c r="H53" s="7" t="n">
        <f aca="false">SUM(B53:E53,F53:G53)</f>
        <v>77033</v>
      </c>
      <c r="I53" s="6" t="n">
        <f aca="false">CEILING(H53,Assumptions!$B$8)</f>
        <v>77100</v>
      </c>
      <c r="J53" s="6" t="n">
        <f aca="false">FLOOR(H53,Assumptions!$B$8)</f>
        <v>77000</v>
      </c>
      <c r="K53" s="6" t="n">
        <f aca="false">ROUNDUP(H53,Assumptions!$B$9)</f>
        <v>77033</v>
      </c>
      <c r="L53" s="6" t="n">
        <f aca="false">ROUNDDOWN(H53,Assumptions!$B$10)</f>
        <v>77033</v>
      </c>
    </row>
    <row r="54" customFormat="false" ht="15" hidden="false" customHeight="false" outlineLevel="0" collapsed="false">
      <c r="A54" s="5" t="s">
        <v>97</v>
      </c>
      <c r="B54" s="6" t="n">
        <f aca="false">ROUND(CohortData!G54*CohortData!I54,2)</f>
        <v>93390</v>
      </c>
      <c r="C54" s="6" t="n">
        <f aca="false">ROUND(CohortData!L54*Assumptions!$B$4*CohortData!I54,2)</f>
        <v>0</v>
      </c>
      <c r="D54" s="6" t="n">
        <f aca="false">ROUND(CohortData!E54*Assumptions!$B$5*CohortData!I54,2)</f>
        <v>5660</v>
      </c>
      <c r="E54" s="6" t="n">
        <f aca="false">ROUND(B54*Assumptions!$B$3,2)</f>
        <v>3268.65</v>
      </c>
      <c r="F54" s="6" t="n">
        <f aca="false">ROUND(B54*Assumptions!$B$6,2)</f>
        <v>1400.85</v>
      </c>
      <c r="G54" s="6" t="n">
        <f aca="false">ROUND(CohortData!G54*CohortData!I54-CohortData!G54*Assumptions!$B$7,2)</f>
        <v>0</v>
      </c>
      <c r="H54" s="7" t="n">
        <f aca="false">SUM(B54:E54,F54:G54)</f>
        <v>103719.5</v>
      </c>
      <c r="I54" s="6" t="n">
        <f aca="false">CEILING(H54,Assumptions!$B$8)</f>
        <v>103800</v>
      </c>
      <c r="J54" s="6" t="n">
        <f aca="false">FLOOR(H54,Assumptions!$B$8)</f>
        <v>103700</v>
      </c>
      <c r="K54" s="6" t="n">
        <f aca="false">ROUNDUP(H54,Assumptions!$B$9)</f>
        <v>103720</v>
      </c>
      <c r="L54" s="6" t="n">
        <f aca="false">ROUNDDOWN(H54,Assumptions!$B$10)</f>
        <v>103719</v>
      </c>
    </row>
    <row r="55" customFormat="false" ht="15" hidden="false" customHeight="false" outlineLevel="0" collapsed="false">
      <c r="A55" s="5" t="s">
        <v>98</v>
      </c>
      <c r="B55" s="6" t="n">
        <f aca="false">ROUND(CohortData!G55*CohortData!I55,2)</f>
        <v>118072.8</v>
      </c>
      <c r="C55" s="6" t="n">
        <f aca="false">ROUND(CohortData!L55*Assumptions!$B$4*CohortData!I55,2)</f>
        <v>15743.04</v>
      </c>
      <c r="D55" s="6" t="n">
        <f aca="false">ROUND(CohortData!E55*Assumptions!$B$5*CohortData!I55,2)</f>
        <v>6348</v>
      </c>
      <c r="E55" s="6" t="n">
        <f aca="false">ROUND(B55*Assumptions!$B$3,2)</f>
        <v>4132.55</v>
      </c>
      <c r="F55" s="6" t="n">
        <f aca="false">ROUND(B55*Assumptions!$B$6,2)</f>
        <v>1771.09</v>
      </c>
      <c r="G55" s="6" t="n">
        <f aca="false">ROUND(CohortData!G55*CohortData!I55-CohortData!G55*Assumptions!$B$7,2)</f>
        <v>15400.8</v>
      </c>
      <c r="H55" s="7" t="n">
        <f aca="false">SUM(B55:E55,F55:G55)</f>
        <v>161468.28</v>
      </c>
      <c r="I55" s="6" t="n">
        <f aca="false">CEILING(H55,Assumptions!$B$8)</f>
        <v>161500</v>
      </c>
      <c r="J55" s="6" t="n">
        <f aca="false">FLOOR(H55,Assumptions!$B$8)</f>
        <v>161400</v>
      </c>
      <c r="K55" s="6" t="n">
        <f aca="false">ROUNDUP(H55,Assumptions!$B$9)</f>
        <v>161469</v>
      </c>
      <c r="L55" s="6" t="n">
        <f aca="false">ROUNDDOWN(H55,Assumptions!$B$10)</f>
        <v>161468</v>
      </c>
    </row>
    <row r="56" customFormat="false" ht="15" hidden="false" customHeight="false" outlineLevel="0" collapsed="false">
      <c r="A56" s="5" t="s">
        <v>99</v>
      </c>
      <c r="B56" s="6" t="n">
        <f aca="false">ROUND(CohortData!G56*CohortData!I56,2)</f>
        <v>171780</v>
      </c>
      <c r="C56" s="6" t="n">
        <f aca="false">ROUND(CohortData!L56*Assumptions!$B$4*CohortData!I56,2)</f>
        <v>22904</v>
      </c>
      <c r="D56" s="6" t="n">
        <f aca="false">ROUND(CohortData!E56*Assumptions!$B$5*CohortData!I56,2)</f>
        <v>8180</v>
      </c>
      <c r="E56" s="6" t="n">
        <f aca="false">ROUND(B56*Assumptions!$B$3,2)</f>
        <v>6012.3</v>
      </c>
      <c r="F56" s="6" t="n">
        <f aca="false">ROUND(B56*Assumptions!$B$6,2)</f>
        <v>2576.7</v>
      </c>
      <c r="G56" s="6" t="n">
        <f aca="false">ROUND(CohortData!G56*CohortData!I56-CohortData!G56*Assumptions!$B$7,2)</f>
        <v>0</v>
      </c>
      <c r="H56" s="7" t="n">
        <f aca="false">SUM(B56:E56,F56:G56)</f>
        <v>211453</v>
      </c>
      <c r="I56" s="6" t="n">
        <f aca="false">CEILING(H56,Assumptions!$B$8)</f>
        <v>211500</v>
      </c>
      <c r="J56" s="6" t="n">
        <f aca="false">FLOOR(H56,Assumptions!$B$8)</f>
        <v>211400</v>
      </c>
      <c r="K56" s="6" t="n">
        <f aca="false">ROUNDUP(H56,Assumptions!$B$9)</f>
        <v>211453</v>
      </c>
      <c r="L56" s="6" t="n">
        <f aca="false">ROUNDDOWN(H56,Assumptions!$B$10)</f>
        <v>211453</v>
      </c>
    </row>
    <row r="57" customFormat="false" ht="15" hidden="false" customHeight="false" outlineLevel="0" collapsed="false">
      <c r="A57" s="5" t="s">
        <v>100</v>
      </c>
      <c r="B57" s="6" t="n">
        <f aca="false">ROUND(CohortData!G57*CohortData!I57,2)</f>
        <v>77550</v>
      </c>
      <c r="C57" s="6" t="n">
        <f aca="false">ROUND(CohortData!L57*Assumptions!$B$4*CohortData!I57,2)</f>
        <v>10340</v>
      </c>
      <c r="D57" s="6" t="n">
        <f aca="false">ROUND(CohortData!E57*Assumptions!$B$5*CohortData!I57,2)</f>
        <v>4700</v>
      </c>
      <c r="E57" s="6" t="n">
        <f aca="false">ROUND(B57*Assumptions!$B$3,2)</f>
        <v>2714.25</v>
      </c>
      <c r="F57" s="6" t="n">
        <f aca="false">ROUND(B57*Assumptions!$B$6,2)</f>
        <v>1163.25</v>
      </c>
      <c r="G57" s="6" t="n">
        <f aca="false">ROUND(CohortData!G57*CohortData!I57-CohortData!G57*Assumptions!$B$7,2)</f>
        <v>0</v>
      </c>
      <c r="H57" s="7" t="n">
        <f aca="false">SUM(B57:E57,F57:G57)</f>
        <v>96467.5</v>
      </c>
      <c r="I57" s="6" t="n">
        <f aca="false">CEILING(H57,Assumptions!$B$8)</f>
        <v>96500</v>
      </c>
      <c r="J57" s="6" t="n">
        <f aca="false">FLOOR(H57,Assumptions!$B$8)</f>
        <v>96400</v>
      </c>
      <c r="K57" s="6" t="n">
        <f aca="false">ROUNDUP(H57,Assumptions!$B$9)</f>
        <v>96468</v>
      </c>
      <c r="L57" s="6" t="n">
        <f aca="false">ROUNDDOWN(H57,Assumptions!$B$10)</f>
        <v>96467</v>
      </c>
    </row>
    <row r="58" customFormat="false" ht="15" hidden="false" customHeight="false" outlineLevel="0" collapsed="false">
      <c r="A58" s="5" t="s">
        <v>101</v>
      </c>
      <c r="B58" s="6" t="n">
        <f aca="false">ROUND(CohortData!G58*CohortData!I58,2)</f>
        <v>45384</v>
      </c>
      <c r="C58" s="6" t="n">
        <f aca="false">ROUND(CohortData!L58*Assumptions!$B$4*CohortData!I58,2)</f>
        <v>6051.2</v>
      </c>
      <c r="D58" s="6" t="n">
        <f aca="false">ROUND(CohortData!E58*Assumptions!$B$5*CohortData!I58,2)</f>
        <v>2440</v>
      </c>
      <c r="E58" s="6" t="n">
        <f aca="false">ROUND(B58*Assumptions!$B$3,2)</f>
        <v>1588.44</v>
      </c>
      <c r="F58" s="6" t="n">
        <f aca="false">ROUND(B58*Assumptions!$B$6,2)</f>
        <v>680.76</v>
      </c>
      <c r="G58" s="6" t="n">
        <f aca="false">ROUND(CohortData!G58*CohortData!I58-CohortData!G58*Assumptions!$B$7,2)</f>
        <v>0</v>
      </c>
      <c r="H58" s="7" t="n">
        <f aca="false">SUM(B58:E58,F58:G58)</f>
        <v>56144.4</v>
      </c>
      <c r="I58" s="6" t="n">
        <f aca="false">CEILING(H58,Assumptions!$B$8)</f>
        <v>56200</v>
      </c>
      <c r="J58" s="6" t="n">
        <f aca="false">FLOOR(H58,Assumptions!$B$8)</f>
        <v>56100</v>
      </c>
      <c r="K58" s="6" t="n">
        <f aca="false">ROUNDUP(H58,Assumptions!$B$9)</f>
        <v>56145</v>
      </c>
      <c r="L58" s="6" t="n">
        <f aca="false">ROUNDDOWN(H58,Assumptions!$B$10)</f>
        <v>56144</v>
      </c>
    </row>
    <row r="59" customFormat="false" ht="15" hidden="false" customHeight="false" outlineLevel="0" collapsed="false">
      <c r="A59" s="5" t="s">
        <v>102</v>
      </c>
      <c r="B59" s="6" t="n">
        <f aca="false">ROUND(CohortData!G59*CohortData!I59,2)</f>
        <v>228459</v>
      </c>
      <c r="C59" s="6" t="n">
        <f aca="false">ROUND(CohortData!L59*Assumptions!$B$4*CohortData!I59,2)</f>
        <v>30461.2</v>
      </c>
      <c r="D59" s="6" t="n">
        <f aca="false">ROUND(CohortData!E59*Assumptions!$B$5*CohortData!I59,2)</f>
        <v>10879</v>
      </c>
      <c r="E59" s="6" t="n">
        <f aca="false">ROUND(B59*Assumptions!$B$3,2)</f>
        <v>7996.07</v>
      </c>
      <c r="F59" s="6" t="n">
        <f aca="false">ROUND(B59*Assumptions!$B$6,2)</f>
        <v>3426.89</v>
      </c>
      <c r="G59" s="6" t="n">
        <f aca="false">ROUND(CohortData!G59*CohortData!I59-CohortData!G59*Assumptions!$B$7,2)</f>
        <v>29799</v>
      </c>
      <c r="H59" s="7" t="n">
        <f aca="false">SUM(B59:E59,F59:G59)</f>
        <v>311021.16</v>
      </c>
      <c r="I59" s="6" t="n">
        <f aca="false">CEILING(H59,Assumptions!$B$8)</f>
        <v>311100</v>
      </c>
      <c r="J59" s="6" t="n">
        <f aca="false">FLOOR(H59,Assumptions!$B$8)</f>
        <v>311000</v>
      </c>
      <c r="K59" s="6" t="n">
        <f aca="false">ROUNDUP(H59,Assumptions!$B$9)</f>
        <v>311022</v>
      </c>
      <c r="L59" s="6" t="n">
        <f aca="false">ROUNDDOWN(H59,Assumptions!$B$10)</f>
        <v>311021</v>
      </c>
    </row>
    <row r="60" customFormat="false" ht="15" hidden="false" customHeight="false" outlineLevel="0" collapsed="false">
      <c r="A60" s="5" t="s">
        <v>103</v>
      </c>
      <c r="B60" s="6" t="n">
        <f aca="false">ROUND(CohortData!G60*CohortData!I60,2)</f>
        <v>110550</v>
      </c>
      <c r="C60" s="6" t="n">
        <f aca="false">ROUND(CohortData!L60*Assumptions!$B$4*CohortData!I60,2)</f>
        <v>14740</v>
      </c>
      <c r="D60" s="6" t="n">
        <f aca="false">ROUND(CohortData!E60*Assumptions!$B$5*CohortData!I60,2)</f>
        <v>6700</v>
      </c>
      <c r="E60" s="6" t="n">
        <f aca="false">ROUND(B60*Assumptions!$B$3,2)</f>
        <v>3869.25</v>
      </c>
      <c r="F60" s="6" t="n">
        <f aca="false">ROUND(B60*Assumptions!$B$6,2)</f>
        <v>1658.25</v>
      </c>
      <c r="G60" s="6" t="n">
        <f aca="false">ROUND(CohortData!G60*CohortData!I60-CohortData!G60*Assumptions!$B$7,2)</f>
        <v>0</v>
      </c>
      <c r="H60" s="7" t="n">
        <f aca="false">SUM(B60:E60,F60:G60)</f>
        <v>137517.5</v>
      </c>
      <c r="I60" s="6" t="n">
        <f aca="false">CEILING(H60,Assumptions!$B$8)</f>
        <v>137600</v>
      </c>
      <c r="J60" s="6" t="n">
        <f aca="false">FLOOR(H60,Assumptions!$B$8)</f>
        <v>137500</v>
      </c>
      <c r="K60" s="6" t="n">
        <f aca="false">ROUNDUP(H60,Assumptions!$B$9)</f>
        <v>137518</v>
      </c>
      <c r="L60" s="6" t="n">
        <f aca="false">ROUNDDOWN(H60,Assumptions!$B$10)</f>
        <v>137517</v>
      </c>
    </row>
    <row r="61" customFormat="false" ht="15" hidden="false" customHeight="false" outlineLevel="0" collapsed="false">
      <c r="A61" s="5" t="s">
        <v>104</v>
      </c>
      <c r="B61" s="6" t="n">
        <f aca="false">ROUND(CohortData!G61*CohortData!I61,2)</f>
        <v>139128</v>
      </c>
      <c r="C61" s="6" t="n">
        <f aca="false">ROUND(CohortData!L61*Assumptions!$B$4*CohortData!I61,2)</f>
        <v>18550.4</v>
      </c>
      <c r="D61" s="6" t="n">
        <f aca="false">ROUND(CohortData!E61*Assumptions!$B$5*CohortData!I61,2)</f>
        <v>7480</v>
      </c>
      <c r="E61" s="6" t="n">
        <f aca="false">ROUND(B61*Assumptions!$B$3,2)</f>
        <v>4869.48</v>
      </c>
      <c r="F61" s="6" t="n">
        <f aca="false">ROUND(B61*Assumptions!$B$6,2)</f>
        <v>2086.92</v>
      </c>
      <c r="G61" s="6" t="n">
        <f aca="false">ROUND(CohortData!G61*CohortData!I61-CohortData!G61*Assumptions!$B$7,2)</f>
        <v>0</v>
      </c>
      <c r="H61" s="7" t="n">
        <f aca="false">SUM(B61:E61,F61:G61)</f>
        <v>172114.8</v>
      </c>
      <c r="I61" s="6" t="n">
        <f aca="false">CEILING(H61,Assumptions!$B$8)</f>
        <v>172200</v>
      </c>
      <c r="J61" s="6" t="n">
        <f aca="false">FLOOR(H61,Assumptions!$B$8)</f>
        <v>172100</v>
      </c>
      <c r="K61" s="6" t="n">
        <f aca="false">ROUNDUP(H61,Assumptions!$B$9)</f>
        <v>172115</v>
      </c>
      <c r="L61" s="6" t="n">
        <f aca="false">ROUNDDOWN(H61,Assumptions!$B$10)</f>
        <v>172114</v>
      </c>
    </row>
    <row r="62" customFormat="false" ht="15" hidden="false" customHeight="false" outlineLevel="0" collapsed="false">
      <c r="A62" s="5" t="s">
        <v>105</v>
      </c>
      <c r="B62" s="6" t="n">
        <f aca="false">ROUND(CohortData!G62*CohortData!I62,2)</f>
        <v>68460</v>
      </c>
      <c r="C62" s="6" t="n">
        <f aca="false">ROUND(CohortData!L62*Assumptions!$B$4*CohortData!I62,2)</f>
        <v>9128</v>
      </c>
      <c r="D62" s="6" t="n">
        <f aca="false">ROUND(CohortData!E62*Assumptions!$B$5*CohortData!I62,2)</f>
        <v>3260</v>
      </c>
      <c r="E62" s="6" t="n">
        <f aca="false">ROUND(B62*Assumptions!$B$3,2)</f>
        <v>2396.1</v>
      </c>
      <c r="F62" s="6" t="n">
        <f aca="false">ROUND(B62*Assumptions!$B$6,2)</f>
        <v>1026.9</v>
      </c>
      <c r="G62" s="6" t="n">
        <f aca="false">ROUND(CohortData!G62*CohortData!I62-CohortData!G62*Assumptions!$B$7,2)</f>
        <v>0</v>
      </c>
      <c r="H62" s="7" t="n">
        <f aca="false">SUM(B62:E62,F62:G62)</f>
        <v>84271</v>
      </c>
      <c r="I62" s="6" t="n">
        <f aca="false">CEILING(H62,Assumptions!$B$8)</f>
        <v>84300</v>
      </c>
      <c r="J62" s="6" t="n">
        <f aca="false">FLOOR(H62,Assumptions!$B$8)</f>
        <v>84200</v>
      </c>
      <c r="K62" s="6" t="n">
        <f aca="false">ROUNDUP(H62,Assumptions!$B$9)</f>
        <v>84271</v>
      </c>
      <c r="L62" s="6" t="n">
        <f aca="false">ROUNDDOWN(H62,Assumptions!$B$10)</f>
        <v>84271</v>
      </c>
    </row>
    <row r="63" customFormat="false" ht="15" hidden="false" customHeight="false" outlineLevel="0" collapsed="false">
      <c r="A63" s="5" t="s">
        <v>106</v>
      </c>
      <c r="B63" s="6" t="n">
        <f aca="false">ROUND(CohortData!G63*CohortData!I63,2)</f>
        <v>111193.5</v>
      </c>
      <c r="C63" s="6" t="n">
        <f aca="false">ROUND(CohortData!L63*Assumptions!$B$4*CohortData!I63,2)</f>
        <v>14825.8</v>
      </c>
      <c r="D63" s="6" t="n">
        <f aca="false">ROUND(CohortData!E63*Assumptions!$B$5*CohortData!I63,2)</f>
        <v>6739</v>
      </c>
      <c r="E63" s="6" t="n">
        <f aca="false">ROUND(B63*Assumptions!$B$3,2)</f>
        <v>3891.77</v>
      </c>
      <c r="F63" s="6" t="n">
        <f aca="false">ROUND(B63*Assumptions!$B$6,2)</f>
        <v>1667.9</v>
      </c>
      <c r="G63" s="6" t="n">
        <f aca="false">ROUND(CohortData!G63*CohortData!I63-CohortData!G63*Assumptions!$B$7,2)</f>
        <v>14503.5</v>
      </c>
      <c r="H63" s="7" t="n">
        <f aca="false">SUM(B63:E63,F63:G63)</f>
        <v>152821.47</v>
      </c>
      <c r="I63" s="6" t="n">
        <f aca="false">CEILING(H63,Assumptions!$B$8)</f>
        <v>152900</v>
      </c>
      <c r="J63" s="6" t="n">
        <f aca="false">FLOOR(H63,Assumptions!$B$8)</f>
        <v>152800</v>
      </c>
      <c r="K63" s="6" t="n">
        <f aca="false">ROUNDUP(H63,Assumptions!$B$9)</f>
        <v>152822</v>
      </c>
      <c r="L63" s="6" t="n">
        <f aca="false">ROUNDDOWN(H63,Assumptions!$B$10)</f>
        <v>152821</v>
      </c>
    </row>
    <row r="64" customFormat="false" ht="15" hidden="false" customHeight="false" outlineLevel="0" collapsed="false">
      <c r="A64" s="5" t="s">
        <v>107</v>
      </c>
      <c r="B64" s="6" t="n">
        <f aca="false">ROUND(CohortData!G64*CohortData!I64,2)</f>
        <v>52080</v>
      </c>
      <c r="C64" s="6" t="n">
        <f aca="false">ROUND(CohortData!L64*Assumptions!$B$4*CohortData!I64,2)</f>
        <v>6944</v>
      </c>
      <c r="D64" s="6" t="n">
        <f aca="false">ROUND(CohortData!E64*Assumptions!$B$5*CohortData!I64,2)</f>
        <v>2800</v>
      </c>
      <c r="E64" s="6" t="n">
        <f aca="false">ROUND(B64*Assumptions!$B$3,2)</f>
        <v>1822.8</v>
      </c>
      <c r="F64" s="6" t="n">
        <f aca="false">ROUND(B64*Assumptions!$B$6,2)</f>
        <v>781.2</v>
      </c>
      <c r="G64" s="6" t="n">
        <f aca="false">ROUND(CohortData!G64*CohortData!I64-CohortData!G64*Assumptions!$B$7,2)</f>
        <v>0</v>
      </c>
      <c r="H64" s="7" t="n">
        <f aca="false">SUM(B64:E64,F64:G64)</f>
        <v>64428</v>
      </c>
      <c r="I64" s="6" t="n">
        <f aca="false">CEILING(H64,Assumptions!$B$8)</f>
        <v>64500</v>
      </c>
      <c r="J64" s="6" t="n">
        <f aca="false">FLOOR(H64,Assumptions!$B$8)</f>
        <v>64400</v>
      </c>
      <c r="K64" s="6" t="n">
        <f aca="false">ROUNDUP(H64,Assumptions!$B$9)</f>
        <v>64428</v>
      </c>
      <c r="L64" s="6" t="n">
        <f aca="false">ROUNDDOWN(H64,Assumptions!$B$10)</f>
        <v>64428</v>
      </c>
    </row>
    <row r="65" customFormat="false" ht="15" hidden="false" customHeight="false" outlineLevel="0" collapsed="false">
      <c r="A65" s="5" t="s">
        <v>108</v>
      </c>
      <c r="B65" s="6" t="n">
        <f aca="false">ROUND(CohortData!G65*CohortData!I65,2)</f>
        <v>160440</v>
      </c>
      <c r="C65" s="6" t="n">
        <f aca="false">ROUND(CohortData!L65*Assumptions!$B$4*CohortData!I65,2)</f>
        <v>21392</v>
      </c>
      <c r="D65" s="6" t="n">
        <f aca="false">ROUND(CohortData!E65*Assumptions!$B$5*CohortData!I65,2)</f>
        <v>7640</v>
      </c>
      <c r="E65" s="6" t="n">
        <f aca="false">ROUND(B65*Assumptions!$B$3,2)</f>
        <v>5615.4</v>
      </c>
      <c r="F65" s="6" t="n">
        <f aca="false">ROUND(B65*Assumptions!$B$6,2)</f>
        <v>2406.6</v>
      </c>
      <c r="G65" s="6" t="n">
        <f aca="false">ROUND(CohortData!G65*CohortData!I65-CohortData!G65*Assumptions!$B$7,2)</f>
        <v>0</v>
      </c>
      <c r="H65" s="7" t="n">
        <f aca="false">SUM(B65:E65,F65:G65)</f>
        <v>197494</v>
      </c>
      <c r="I65" s="6" t="n">
        <f aca="false">CEILING(H65,Assumptions!$B$8)</f>
        <v>197500</v>
      </c>
      <c r="J65" s="6" t="n">
        <f aca="false">FLOOR(H65,Assumptions!$B$8)</f>
        <v>197400</v>
      </c>
      <c r="K65" s="6" t="n">
        <f aca="false">ROUNDUP(H65,Assumptions!$B$9)</f>
        <v>197494</v>
      </c>
      <c r="L65" s="6" t="n">
        <f aca="false">ROUNDDOWN(H65,Assumptions!$B$10)</f>
        <v>197494</v>
      </c>
    </row>
    <row r="66" customFormat="false" ht="15" hidden="false" customHeight="false" outlineLevel="0" collapsed="false">
      <c r="A66" s="5" t="s">
        <v>109</v>
      </c>
      <c r="B66" s="6" t="n">
        <f aca="false">ROUND(CohortData!G66*CohortData!I66,2)</f>
        <v>82500</v>
      </c>
      <c r="C66" s="6" t="n">
        <f aca="false">ROUND(CohortData!L66*Assumptions!$B$4*CohortData!I66,2)</f>
        <v>11000</v>
      </c>
      <c r="D66" s="6" t="n">
        <f aca="false">ROUND(CohortData!E66*Assumptions!$B$5*CohortData!I66,2)</f>
        <v>5000</v>
      </c>
      <c r="E66" s="6" t="n">
        <f aca="false">ROUND(B66*Assumptions!$B$3,2)</f>
        <v>2887.5</v>
      </c>
      <c r="F66" s="6" t="n">
        <f aca="false">ROUND(B66*Assumptions!$B$6,2)</f>
        <v>1237.5</v>
      </c>
      <c r="G66" s="6" t="n">
        <f aca="false">ROUND(CohortData!G66*CohortData!I66-CohortData!G66*Assumptions!$B$7,2)</f>
        <v>0</v>
      </c>
      <c r="H66" s="7" t="n">
        <f aca="false">SUM(B66:E66,F66:G66)</f>
        <v>102625</v>
      </c>
      <c r="I66" s="6" t="n">
        <f aca="false">CEILING(H66,Assumptions!$B$8)</f>
        <v>102700</v>
      </c>
      <c r="J66" s="6" t="n">
        <f aca="false">FLOOR(H66,Assumptions!$B$8)</f>
        <v>102600</v>
      </c>
      <c r="K66" s="6" t="n">
        <f aca="false">ROUNDUP(H66,Assumptions!$B$9)</f>
        <v>102625</v>
      </c>
      <c r="L66" s="6" t="n">
        <f aca="false">ROUNDDOWN(H66,Assumptions!$B$10)</f>
        <v>102625</v>
      </c>
    </row>
    <row r="67" customFormat="false" ht="15" hidden="false" customHeight="false" outlineLevel="0" collapsed="false">
      <c r="A67" s="5" t="s">
        <v>110</v>
      </c>
      <c r="B67" s="6" t="n">
        <f aca="false">ROUND(CohortData!G67*CohortData!I67,2)</f>
        <v>180103.8</v>
      </c>
      <c r="C67" s="6" t="n">
        <f aca="false">ROUND(CohortData!L67*Assumptions!$B$4*CohortData!I67,2)</f>
        <v>24013.84</v>
      </c>
      <c r="D67" s="6" t="n">
        <f aca="false">ROUND(CohortData!E67*Assumptions!$B$5*CohortData!I67,2)</f>
        <v>9683</v>
      </c>
      <c r="E67" s="6" t="n">
        <f aca="false">ROUND(B67*Assumptions!$B$3,2)</f>
        <v>6303.63</v>
      </c>
      <c r="F67" s="6" t="n">
        <f aca="false">ROUND(B67*Assumptions!$B$6,2)</f>
        <v>2701.56</v>
      </c>
      <c r="G67" s="6" t="n">
        <f aca="false">ROUND(CohortData!G67*CohortData!I67-CohortData!G67*Assumptions!$B$7,2)</f>
        <v>23491.8</v>
      </c>
      <c r="H67" s="7" t="n">
        <f aca="false">SUM(B67:E67,F67:G67)</f>
        <v>246297.63</v>
      </c>
      <c r="I67" s="6" t="n">
        <f aca="false">CEILING(H67,Assumptions!$B$8)</f>
        <v>246300</v>
      </c>
      <c r="J67" s="6" t="n">
        <f aca="false">FLOOR(H67,Assumptions!$B$8)</f>
        <v>246200</v>
      </c>
      <c r="K67" s="6" t="n">
        <f aca="false">ROUNDUP(H67,Assumptions!$B$9)</f>
        <v>246298</v>
      </c>
      <c r="L67" s="6" t="n">
        <f aca="false">ROUNDDOWN(H67,Assumptions!$B$10)</f>
        <v>246297</v>
      </c>
    </row>
    <row r="68" customFormat="false" ht="15" hidden="false" customHeight="false" outlineLevel="0" collapsed="false">
      <c r="A68" s="5" t="s">
        <v>111</v>
      </c>
      <c r="B68" s="6" t="n">
        <f aca="false">ROUND(CohortData!G68*CohortData!I68,2)</f>
        <v>174720</v>
      </c>
      <c r="C68" s="6" t="n">
        <f aca="false">ROUND(CohortData!L68*Assumptions!$B$4*CohortData!I68,2)</f>
        <v>23296</v>
      </c>
      <c r="D68" s="6" t="n">
        <f aca="false">ROUND(CohortData!E68*Assumptions!$B$5*CohortData!I68,2)</f>
        <v>8320</v>
      </c>
      <c r="E68" s="6" t="n">
        <f aca="false">ROUND(B68*Assumptions!$B$3,2)</f>
        <v>6115.2</v>
      </c>
      <c r="F68" s="6" t="n">
        <f aca="false">ROUND(B68*Assumptions!$B$6,2)</f>
        <v>2620.8</v>
      </c>
      <c r="G68" s="6" t="n">
        <f aca="false">ROUND(CohortData!G68*CohortData!I68-CohortData!G68*Assumptions!$B$7,2)</f>
        <v>0</v>
      </c>
      <c r="H68" s="7" t="n">
        <f aca="false">SUM(B68:E68,F68:G68)</f>
        <v>215072</v>
      </c>
      <c r="I68" s="6" t="n">
        <f aca="false">CEILING(H68,Assumptions!$B$8)</f>
        <v>215100</v>
      </c>
      <c r="J68" s="6" t="n">
        <f aca="false">FLOOR(H68,Assumptions!$B$8)</f>
        <v>215000</v>
      </c>
      <c r="K68" s="6" t="n">
        <f aca="false">ROUNDUP(H68,Assumptions!$B$9)</f>
        <v>215072</v>
      </c>
      <c r="L68" s="6" t="n">
        <f aca="false">ROUNDDOWN(H68,Assumptions!$B$10)</f>
        <v>215072</v>
      </c>
    </row>
    <row r="69" customFormat="false" ht="15" hidden="false" customHeight="false" outlineLevel="0" collapsed="false">
      <c r="A69" s="5" t="s">
        <v>112</v>
      </c>
      <c r="B69" s="6" t="n">
        <f aca="false">ROUND(CohortData!G69*CohortData!I69,2)</f>
        <v>94050</v>
      </c>
      <c r="C69" s="6" t="n">
        <f aca="false">ROUND(CohortData!L69*Assumptions!$B$4*CohortData!I69,2)</f>
        <v>12540</v>
      </c>
      <c r="D69" s="6" t="n">
        <f aca="false">ROUND(CohortData!E69*Assumptions!$B$5*CohortData!I69,2)</f>
        <v>5700</v>
      </c>
      <c r="E69" s="6" t="n">
        <f aca="false">ROUND(B69*Assumptions!$B$3,2)</f>
        <v>3291.75</v>
      </c>
      <c r="F69" s="6" t="n">
        <f aca="false">ROUND(B69*Assumptions!$B$6,2)</f>
        <v>1410.75</v>
      </c>
      <c r="G69" s="6" t="n">
        <f aca="false">ROUND(CohortData!G69*CohortData!I69-CohortData!G69*Assumptions!$B$7,2)</f>
        <v>0</v>
      </c>
      <c r="H69" s="7" t="n">
        <f aca="false">SUM(B69:E69,F69:G69)</f>
        <v>116992.5</v>
      </c>
      <c r="I69" s="6" t="n">
        <f aca="false">CEILING(H69,Assumptions!$B$8)</f>
        <v>117000</v>
      </c>
      <c r="J69" s="6" t="n">
        <f aca="false">FLOOR(H69,Assumptions!$B$8)</f>
        <v>116900</v>
      </c>
      <c r="K69" s="6" t="n">
        <f aca="false">ROUNDUP(H69,Assumptions!$B$9)</f>
        <v>116993</v>
      </c>
      <c r="L69" s="6" t="n">
        <f aca="false">ROUNDDOWN(H69,Assumptions!$B$10)</f>
        <v>116992</v>
      </c>
    </row>
    <row r="70" customFormat="false" ht="15" hidden="false" customHeight="false" outlineLevel="0" collapsed="false">
      <c r="A70" s="5" t="s">
        <v>113</v>
      </c>
      <c r="B70" s="6" t="n">
        <f aca="false">ROUND(CohortData!G70*CohortData!I70,2)</f>
        <v>146940</v>
      </c>
      <c r="C70" s="6" t="n">
        <f aca="false">ROUND(CohortData!L70*Assumptions!$B$4*CohortData!I70,2)</f>
        <v>19592</v>
      </c>
      <c r="D70" s="6" t="n">
        <f aca="false">ROUND(CohortData!E70*Assumptions!$B$5*CohortData!I70,2)</f>
        <v>7900</v>
      </c>
      <c r="E70" s="6" t="n">
        <f aca="false">ROUND(B70*Assumptions!$B$3,2)</f>
        <v>5142.9</v>
      </c>
      <c r="F70" s="6" t="n">
        <f aca="false">ROUND(B70*Assumptions!$B$6,2)</f>
        <v>2204.1</v>
      </c>
      <c r="G70" s="6" t="n">
        <f aca="false">ROUND(CohortData!G70*CohortData!I70-CohortData!G70*Assumptions!$B$7,2)</f>
        <v>0</v>
      </c>
      <c r="H70" s="7" t="n">
        <f aca="false">SUM(B70:E70,F70:G70)</f>
        <v>181779</v>
      </c>
      <c r="I70" s="6" t="n">
        <f aca="false">CEILING(H70,Assumptions!$B$8)</f>
        <v>181800</v>
      </c>
      <c r="J70" s="6" t="n">
        <f aca="false">FLOOR(H70,Assumptions!$B$8)</f>
        <v>181700</v>
      </c>
      <c r="K70" s="6" t="n">
        <f aca="false">ROUNDUP(H70,Assumptions!$B$9)</f>
        <v>181779</v>
      </c>
      <c r="L70" s="6" t="n">
        <f aca="false">ROUNDDOWN(H70,Assumptions!$B$10)</f>
        <v>181779</v>
      </c>
    </row>
    <row r="71" customFormat="false" ht="15" hidden="false" customHeight="false" outlineLevel="0" collapsed="false">
      <c r="A71" s="5" t="s">
        <v>114</v>
      </c>
      <c r="B71" s="6" t="n">
        <f aca="false">ROUND(CohortData!G71*CohortData!I71,2)</f>
        <v>95634</v>
      </c>
      <c r="C71" s="6" t="n">
        <f aca="false">ROUND(CohortData!L71*Assumptions!$B$4*CohortData!I71,2)</f>
        <v>0</v>
      </c>
      <c r="D71" s="6" t="n">
        <f aca="false">ROUND(CohortData!E71*Assumptions!$B$5*CohortData!I71,2)</f>
        <v>4554</v>
      </c>
      <c r="E71" s="6" t="n">
        <f aca="false">ROUND(B71*Assumptions!$B$3,2)</f>
        <v>3347.19</v>
      </c>
      <c r="F71" s="6" t="n">
        <f aca="false">ROUND(B71*Assumptions!$B$6,2)</f>
        <v>1434.51</v>
      </c>
      <c r="G71" s="6" t="n">
        <f aca="false">ROUND(CohortData!G71*CohortData!I71-CohortData!G71*Assumptions!$B$7,2)</f>
        <v>12474</v>
      </c>
      <c r="H71" s="7" t="n">
        <f aca="false">SUM(B71:E71,F71:G71)</f>
        <v>117443.7</v>
      </c>
      <c r="I71" s="6" t="n">
        <f aca="false">CEILING(H71,Assumptions!$B$8)</f>
        <v>117500</v>
      </c>
      <c r="J71" s="6" t="n">
        <f aca="false">FLOOR(H71,Assumptions!$B$8)</f>
        <v>117400</v>
      </c>
      <c r="K71" s="6" t="n">
        <f aca="false">ROUNDUP(H71,Assumptions!$B$9)</f>
        <v>117444</v>
      </c>
      <c r="L71" s="6" t="n">
        <f aca="false">ROUNDDOWN(H71,Assumptions!$B$10)</f>
        <v>117443</v>
      </c>
    </row>
    <row r="72" customFormat="false" ht="15" hidden="false" customHeight="false" outlineLevel="0" collapsed="false">
      <c r="A72" s="5" t="s">
        <v>115</v>
      </c>
      <c r="B72" s="6" t="n">
        <f aca="false">ROUND(CohortData!G72*CohortData!I72,2)</f>
        <v>151800</v>
      </c>
      <c r="C72" s="6" t="n">
        <f aca="false">ROUND(CohortData!L72*Assumptions!$B$4*CohortData!I72,2)</f>
        <v>20240</v>
      </c>
      <c r="D72" s="6" t="n">
        <f aca="false">ROUND(CohortData!E72*Assumptions!$B$5*CohortData!I72,2)</f>
        <v>9200</v>
      </c>
      <c r="E72" s="6" t="n">
        <f aca="false">ROUND(B72*Assumptions!$B$3,2)</f>
        <v>5313</v>
      </c>
      <c r="F72" s="6" t="n">
        <f aca="false">ROUND(B72*Assumptions!$B$6,2)</f>
        <v>2277</v>
      </c>
      <c r="G72" s="6" t="n">
        <f aca="false">ROUND(CohortData!G72*CohortData!I72-CohortData!G72*Assumptions!$B$7,2)</f>
        <v>0</v>
      </c>
      <c r="H72" s="7" t="n">
        <f aca="false">SUM(B72:E72,F72:G72)</f>
        <v>188830</v>
      </c>
      <c r="I72" s="6" t="n">
        <f aca="false">CEILING(H72,Assumptions!$B$8)</f>
        <v>188900</v>
      </c>
      <c r="J72" s="6" t="n">
        <f aca="false">FLOOR(H72,Assumptions!$B$8)</f>
        <v>188800</v>
      </c>
      <c r="K72" s="6" t="n">
        <f aca="false">ROUNDUP(H72,Assumptions!$B$9)</f>
        <v>188830</v>
      </c>
      <c r="L72" s="6" t="n">
        <f aca="false">ROUNDDOWN(H72,Assumptions!$B$10)</f>
        <v>188830</v>
      </c>
    </row>
    <row r="73" customFormat="false" ht="15" hidden="false" customHeight="false" outlineLevel="0" collapsed="false">
      <c r="A73" s="5" t="s">
        <v>116</v>
      </c>
      <c r="B73" s="6" t="n">
        <f aca="false">ROUND(CohortData!G73*CohortData!I73,2)</f>
        <v>50220</v>
      </c>
      <c r="C73" s="6" t="n">
        <f aca="false">ROUND(CohortData!L73*Assumptions!$B$4*CohortData!I73,2)</f>
        <v>6696</v>
      </c>
      <c r="D73" s="6" t="n">
        <f aca="false">ROUND(CohortData!E73*Assumptions!$B$5*CohortData!I73,2)</f>
        <v>2700</v>
      </c>
      <c r="E73" s="6" t="n">
        <f aca="false">ROUND(B73*Assumptions!$B$3,2)</f>
        <v>1757.7</v>
      </c>
      <c r="F73" s="6" t="n">
        <f aca="false">ROUND(B73*Assumptions!$B$6,2)</f>
        <v>753.3</v>
      </c>
      <c r="G73" s="6" t="n">
        <f aca="false">ROUND(CohortData!G73*CohortData!I73-CohortData!G73*Assumptions!$B$7,2)</f>
        <v>0</v>
      </c>
      <c r="H73" s="7" t="n">
        <f aca="false">SUM(B73:E73,F73:G73)</f>
        <v>62127</v>
      </c>
      <c r="I73" s="6" t="n">
        <f aca="false">CEILING(H73,Assumptions!$B$8)</f>
        <v>62200</v>
      </c>
      <c r="J73" s="6" t="n">
        <f aca="false">FLOOR(H73,Assumptions!$B$8)</f>
        <v>62100</v>
      </c>
      <c r="K73" s="6" t="n">
        <f aca="false">ROUNDUP(H73,Assumptions!$B$9)</f>
        <v>62127</v>
      </c>
      <c r="L73" s="6" t="n">
        <f aca="false">ROUNDDOWN(H73,Assumptions!$B$10)</f>
        <v>62127</v>
      </c>
    </row>
    <row r="74" customFormat="false" ht="15" hidden="false" customHeight="false" outlineLevel="0" collapsed="false">
      <c r="A74" s="5" t="s">
        <v>117</v>
      </c>
      <c r="B74" s="6" t="n">
        <f aca="false">ROUND(CohortData!G74*CohortData!I74,2)</f>
        <v>51660</v>
      </c>
      <c r="C74" s="6" t="n">
        <f aca="false">ROUND(CohortData!L74*Assumptions!$B$4*CohortData!I74,2)</f>
        <v>6888</v>
      </c>
      <c r="D74" s="6" t="n">
        <f aca="false">ROUND(CohortData!E74*Assumptions!$B$5*CohortData!I74,2)</f>
        <v>2460</v>
      </c>
      <c r="E74" s="6" t="n">
        <f aca="false">ROUND(B74*Assumptions!$B$3,2)</f>
        <v>1808.1</v>
      </c>
      <c r="F74" s="6" t="n">
        <f aca="false">ROUND(B74*Assumptions!$B$6,2)</f>
        <v>774.9</v>
      </c>
      <c r="G74" s="6" t="n">
        <f aca="false">ROUND(CohortData!G74*CohortData!I74-CohortData!G74*Assumptions!$B$7,2)</f>
        <v>0</v>
      </c>
      <c r="H74" s="7" t="n">
        <f aca="false">SUM(B74:E74,F74:G74)</f>
        <v>63591</v>
      </c>
      <c r="I74" s="6" t="n">
        <f aca="false">CEILING(H74,Assumptions!$B$8)</f>
        <v>63600</v>
      </c>
      <c r="J74" s="6" t="n">
        <f aca="false">FLOOR(H74,Assumptions!$B$8)</f>
        <v>63500</v>
      </c>
      <c r="K74" s="6" t="n">
        <f aca="false">ROUNDUP(H74,Assumptions!$B$9)</f>
        <v>63591</v>
      </c>
      <c r="L74" s="6" t="n">
        <f aca="false">ROUNDDOWN(H74,Assumptions!$B$10)</f>
        <v>63591</v>
      </c>
    </row>
    <row r="75" customFormat="false" ht="15" hidden="false" customHeight="false" outlineLevel="0" collapsed="false">
      <c r="A75" s="5" t="s">
        <v>118</v>
      </c>
      <c r="B75" s="6" t="n">
        <f aca="false">ROUND(CohortData!G75*CohortData!I75,2)</f>
        <v>166221</v>
      </c>
      <c r="C75" s="6" t="n">
        <f aca="false">ROUND(CohortData!L75*Assumptions!$B$4*CohortData!I75,2)</f>
        <v>22162.8</v>
      </c>
      <c r="D75" s="6" t="n">
        <f aca="false">ROUND(CohortData!E75*Assumptions!$B$5*CohortData!I75,2)</f>
        <v>10074</v>
      </c>
      <c r="E75" s="6" t="n">
        <f aca="false">ROUND(B75*Assumptions!$B$3,2)</f>
        <v>5817.74</v>
      </c>
      <c r="F75" s="6" t="n">
        <f aca="false">ROUND(B75*Assumptions!$B$6,2)</f>
        <v>2493.32</v>
      </c>
      <c r="G75" s="6" t="n">
        <f aca="false">ROUND(CohortData!G75*CohortData!I75-CohortData!G75*Assumptions!$B$7,2)</f>
        <v>21681</v>
      </c>
      <c r="H75" s="7" t="n">
        <f aca="false">SUM(B75:E75,F75:G75)</f>
        <v>228449.86</v>
      </c>
      <c r="I75" s="6" t="n">
        <f aca="false">CEILING(H75,Assumptions!$B$8)</f>
        <v>228500</v>
      </c>
      <c r="J75" s="6" t="n">
        <f aca="false">FLOOR(H75,Assumptions!$B$8)</f>
        <v>228400</v>
      </c>
      <c r="K75" s="6" t="n">
        <f aca="false">ROUNDUP(H75,Assumptions!$B$9)</f>
        <v>228450</v>
      </c>
      <c r="L75" s="6" t="n">
        <f aca="false">ROUNDDOWN(H75,Assumptions!$B$10)</f>
        <v>228449</v>
      </c>
    </row>
    <row r="76" customFormat="false" ht="15" hidden="false" customHeight="false" outlineLevel="0" collapsed="false">
      <c r="A76" s="5" t="s">
        <v>119</v>
      </c>
      <c r="B76" s="6" t="n">
        <f aca="false">ROUND(CohortData!G76*CohortData!I76,2)</f>
        <v>80352</v>
      </c>
      <c r="C76" s="6" t="n">
        <f aca="false">ROUND(CohortData!L76*Assumptions!$B$4*CohortData!I76,2)</f>
        <v>10713.6</v>
      </c>
      <c r="D76" s="6" t="n">
        <f aca="false">ROUND(CohortData!E76*Assumptions!$B$5*CohortData!I76,2)</f>
        <v>4320</v>
      </c>
      <c r="E76" s="6" t="n">
        <f aca="false">ROUND(B76*Assumptions!$B$3,2)</f>
        <v>2812.32</v>
      </c>
      <c r="F76" s="6" t="n">
        <f aca="false">ROUND(B76*Assumptions!$B$6,2)</f>
        <v>1205.28</v>
      </c>
      <c r="G76" s="6" t="n">
        <f aca="false">ROUND(CohortData!G76*CohortData!I76-CohortData!G76*Assumptions!$B$7,2)</f>
        <v>0</v>
      </c>
      <c r="H76" s="7" t="n">
        <f aca="false">SUM(B76:E76,F76:G76)</f>
        <v>99403.2</v>
      </c>
      <c r="I76" s="6" t="n">
        <f aca="false">CEILING(H76,Assumptions!$B$8)</f>
        <v>99500</v>
      </c>
      <c r="J76" s="6" t="n">
        <f aca="false">FLOOR(H76,Assumptions!$B$8)</f>
        <v>99400</v>
      </c>
      <c r="K76" s="6" t="n">
        <f aca="false">ROUNDUP(H76,Assumptions!$B$9)</f>
        <v>99404</v>
      </c>
      <c r="L76" s="6" t="n">
        <f aca="false">ROUNDDOWN(H76,Assumptions!$B$10)</f>
        <v>99403</v>
      </c>
    </row>
    <row r="77" customFormat="false" ht="15" hidden="false" customHeight="false" outlineLevel="0" collapsed="false">
      <c r="A77" s="5" t="s">
        <v>120</v>
      </c>
      <c r="B77" s="6" t="n">
        <f aca="false">ROUND(CohortData!G77*CohortData!I77,2)</f>
        <v>207900</v>
      </c>
      <c r="C77" s="6" t="n">
        <f aca="false">ROUND(CohortData!L77*Assumptions!$B$4*CohortData!I77,2)</f>
        <v>27720</v>
      </c>
      <c r="D77" s="6" t="n">
        <f aca="false">ROUND(CohortData!E77*Assumptions!$B$5*CohortData!I77,2)</f>
        <v>9900</v>
      </c>
      <c r="E77" s="6" t="n">
        <f aca="false">ROUND(B77*Assumptions!$B$3,2)</f>
        <v>7276.5</v>
      </c>
      <c r="F77" s="6" t="n">
        <f aca="false">ROUND(B77*Assumptions!$B$6,2)</f>
        <v>3118.5</v>
      </c>
      <c r="G77" s="6" t="n">
        <f aca="false">ROUND(CohortData!G77*CohortData!I77-CohortData!G77*Assumptions!$B$7,2)</f>
        <v>0</v>
      </c>
      <c r="H77" s="7" t="n">
        <f aca="false">SUM(B77:E77,F77:G77)</f>
        <v>255915</v>
      </c>
      <c r="I77" s="6" t="n">
        <f aca="false">CEILING(H77,Assumptions!$B$8)</f>
        <v>256000</v>
      </c>
      <c r="J77" s="6" t="n">
        <f aca="false">FLOOR(H77,Assumptions!$B$8)</f>
        <v>255900</v>
      </c>
      <c r="K77" s="6" t="n">
        <f aca="false">ROUNDUP(H77,Assumptions!$B$9)</f>
        <v>255915</v>
      </c>
      <c r="L77" s="6" t="n">
        <f aca="false">ROUNDDOWN(H77,Assumptions!$B$10)</f>
        <v>255915</v>
      </c>
    </row>
    <row r="78" customFormat="false" ht="15" hidden="false" customHeight="false" outlineLevel="0" collapsed="false">
      <c r="A78" s="5" t="s">
        <v>121</v>
      </c>
      <c r="B78" s="6" t="n">
        <f aca="false">ROUND(CohortData!G78*CohortData!I78,2)</f>
        <v>81840</v>
      </c>
      <c r="C78" s="6" t="n">
        <f aca="false">ROUND(CohortData!L78*Assumptions!$B$4*CohortData!I78,2)</f>
        <v>10912</v>
      </c>
      <c r="D78" s="6" t="n">
        <f aca="false">ROUND(CohortData!E78*Assumptions!$B$5*CohortData!I78,2)</f>
        <v>4960</v>
      </c>
      <c r="E78" s="6" t="n">
        <f aca="false">ROUND(B78*Assumptions!$B$3,2)</f>
        <v>2864.4</v>
      </c>
      <c r="F78" s="6" t="n">
        <f aca="false">ROUND(B78*Assumptions!$B$6,2)</f>
        <v>1227.6</v>
      </c>
      <c r="G78" s="6" t="n">
        <f aca="false">ROUND(CohortData!G78*CohortData!I78-CohortData!G78*Assumptions!$B$7,2)</f>
        <v>0</v>
      </c>
      <c r="H78" s="7" t="n">
        <f aca="false">SUM(B78:E78,F78:G78)</f>
        <v>101804</v>
      </c>
      <c r="I78" s="6" t="n">
        <f aca="false">CEILING(H78,Assumptions!$B$8)</f>
        <v>101900</v>
      </c>
      <c r="J78" s="6" t="n">
        <f aca="false">FLOOR(H78,Assumptions!$B$8)</f>
        <v>101800</v>
      </c>
      <c r="K78" s="6" t="n">
        <f aca="false">ROUNDUP(H78,Assumptions!$B$9)</f>
        <v>101804</v>
      </c>
      <c r="L78" s="6" t="n">
        <f aca="false">ROUNDDOWN(H78,Assumptions!$B$10)</f>
        <v>101804</v>
      </c>
    </row>
    <row r="79" customFormat="false" ht="15" hidden="false" customHeight="false" outlineLevel="0" collapsed="false">
      <c r="A79" s="5" t="s">
        <v>122</v>
      </c>
      <c r="B79" s="6" t="n">
        <f aca="false">ROUND(CohortData!G79*CohortData!I79,2)</f>
        <v>59892</v>
      </c>
      <c r="C79" s="6" t="n">
        <f aca="false">ROUND(CohortData!L79*Assumptions!$B$4*CohortData!I79,2)</f>
        <v>7985.6</v>
      </c>
      <c r="D79" s="6" t="n">
        <f aca="false">ROUND(CohortData!E79*Assumptions!$B$5*CohortData!I79,2)</f>
        <v>3220</v>
      </c>
      <c r="E79" s="6" t="n">
        <f aca="false">ROUND(B79*Assumptions!$B$3,2)</f>
        <v>2096.22</v>
      </c>
      <c r="F79" s="6" t="n">
        <f aca="false">ROUND(B79*Assumptions!$B$6,2)</f>
        <v>898.38</v>
      </c>
      <c r="G79" s="6" t="n">
        <f aca="false">ROUND(CohortData!G79*CohortData!I79-CohortData!G79*Assumptions!$B$7,2)</f>
        <v>7812</v>
      </c>
      <c r="H79" s="7" t="n">
        <f aca="false">SUM(B79:E79,F79:G79)</f>
        <v>81904.2</v>
      </c>
      <c r="I79" s="6" t="n">
        <f aca="false">CEILING(H79,Assumptions!$B$8)</f>
        <v>82000</v>
      </c>
      <c r="J79" s="6" t="n">
        <f aca="false">FLOOR(H79,Assumptions!$B$8)</f>
        <v>81900</v>
      </c>
      <c r="K79" s="6" t="n">
        <f aca="false">ROUNDUP(H79,Assumptions!$B$9)</f>
        <v>81905</v>
      </c>
      <c r="L79" s="6" t="n">
        <f aca="false">ROUNDDOWN(H79,Assumptions!$B$10)</f>
        <v>81904</v>
      </c>
    </row>
    <row r="80" customFormat="false" ht="15" hidden="false" customHeight="false" outlineLevel="0" collapsed="false">
      <c r="A80" s="5" t="s">
        <v>123</v>
      </c>
      <c r="B80" s="6" t="n">
        <f aca="false">ROUND(CohortData!G80*CohortData!I80,2)</f>
        <v>91980</v>
      </c>
      <c r="C80" s="6" t="n">
        <f aca="false">ROUND(CohortData!L80*Assumptions!$B$4*CohortData!I80,2)</f>
        <v>12264</v>
      </c>
      <c r="D80" s="6" t="n">
        <f aca="false">ROUND(CohortData!E80*Assumptions!$B$5*CohortData!I80,2)</f>
        <v>4380</v>
      </c>
      <c r="E80" s="6" t="n">
        <f aca="false">ROUND(B80*Assumptions!$B$3,2)</f>
        <v>3219.3</v>
      </c>
      <c r="F80" s="6" t="n">
        <f aca="false">ROUND(B80*Assumptions!$B$6,2)</f>
        <v>1379.7</v>
      </c>
      <c r="G80" s="6" t="n">
        <f aca="false">ROUND(CohortData!G80*CohortData!I80-CohortData!G80*Assumptions!$B$7,2)</f>
        <v>0</v>
      </c>
      <c r="H80" s="7" t="n">
        <f aca="false">SUM(B80:E80,F80:G80)</f>
        <v>113223</v>
      </c>
      <c r="I80" s="6" t="n">
        <f aca="false">CEILING(H80,Assumptions!$B$8)</f>
        <v>113300</v>
      </c>
      <c r="J80" s="6" t="n">
        <f aca="false">FLOOR(H80,Assumptions!$B$8)</f>
        <v>113200</v>
      </c>
      <c r="K80" s="6" t="n">
        <f aca="false">ROUNDUP(H80,Assumptions!$B$9)</f>
        <v>113223</v>
      </c>
      <c r="L80" s="6" t="n">
        <f aca="false">ROUNDDOWN(H80,Assumptions!$B$10)</f>
        <v>113223</v>
      </c>
    </row>
    <row r="81" customFormat="false" ht="15" hidden="false" customHeight="false" outlineLevel="0" collapsed="false">
      <c r="A81" s="5" t="s">
        <v>124</v>
      </c>
      <c r="B81" s="6" t="n">
        <f aca="false">ROUND(CohortData!G81*CohortData!I81,2)</f>
        <v>49830</v>
      </c>
      <c r="C81" s="6" t="n">
        <f aca="false">ROUND(CohortData!L81*Assumptions!$B$4*CohortData!I81,2)</f>
        <v>6644</v>
      </c>
      <c r="D81" s="6" t="n">
        <f aca="false">ROUND(CohortData!E81*Assumptions!$B$5*CohortData!I81,2)</f>
        <v>3020</v>
      </c>
      <c r="E81" s="6" t="n">
        <f aca="false">ROUND(B81*Assumptions!$B$3,2)</f>
        <v>1744.05</v>
      </c>
      <c r="F81" s="6" t="n">
        <f aca="false">ROUND(B81*Assumptions!$B$6,2)</f>
        <v>747.45</v>
      </c>
      <c r="G81" s="6" t="n">
        <f aca="false">ROUND(CohortData!G81*CohortData!I81-CohortData!G81*Assumptions!$B$7,2)</f>
        <v>0</v>
      </c>
      <c r="H81" s="7" t="n">
        <f aca="false">SUM(B81:E81,F81:G81)</f>
        <v>61985.5</v>
      </c>
      <c r="I81" s="6" t="n">
        <f aca="false">CEILING(H81,Assumptions!$B$8)</f>
        <v>62000</v>
      </c>
      <c r="J81" s="6" t="n">
        <f aca="false">FLOOR(H81,Assumptions!$B$8)</f>
        <v>61900</v>
      </c>
      <c r="K81" s="6" t="n">
        <f aca="false">ROUNDUP(H81,Assumptions!$B$9)</f>
        <v>61986</v>
      </c>
      <c r="L81" s="6" t="n">
        <f aca="false">ROUNDDOWN(H81,Assumptions!$B$10)</f>
        <v>61985</v>
      </c>
    </row>
    <row r="82" customFormat="false" ht="15" hidden="false" customHeight="false" outlineLevel="0" collapsed="false">
      <c r="A82" s="5" t="s">
        <v>125</v>
      </c>
      <c r="B82" s="6" t="n">
        <f aca="false">ROUND(CohortData!G82*CohortData!I82,2)</f>
        <v>109368</v>
      </c>
      <c r="C82" s="6" t="n">
        <f aca="false">ROUND(CohortData!L82*Assumptions!$B$4*CohortData!I82,2)</f>
        <v>14582.4</v>
      </c>
      <c r="D82" s="6" t="n">
        <f aca="false">ROUND(CohortData!E82*Assumptions!$B$5*CohortData!I82,2)</f>
        <v>5880</v>
      </c>
      <c r="E82" s="6" t="n">
        <f aca="false">ROUND(B82*Assumptions!$B$3,2)</f>
        <v>3827.88</v>
      </c>
      <c r="F82" s="6" t="n">
        <f aca="false">ROUND(B82*Assumptions!$B$6,2)</f>
        <v>1640.52</v>
      </c>
      <c r="G82" s="6" t="n">
        <f aca="false">ROUND(CohortData!G82*CohortData!I82-CohortData!G82*Assumptions!$B$7,2)</f>
        <v>0</v>
      </c>
      <c r="H82" s="7" t="n">
        <f aca="false">SUM(B82:E82,F82:G82)</f>
        <v>135298.8</v>
      </c>
      <c r="I82" s="6" t="n">
        <f aca="false">CEILING(H82,Assumptions!$B$8)</f>
        <v>135300</v>
      </c>
      <c r="J82" s="6" t="n">
        <f aca="false">FLOOR(H82,Assumptions!$B$8)</f>
        <v>135200</v>
      </c>
      <c r="K82" s="6" t="n">
        <f aca="false">ROUNDUP(H82,Assumptions!$B$9)</f>
        <v>135299</v>
      </c>
      <c r="L82" s="6" t="n">
        <f aca="false">ROUNDDOWN(H82,Assumptions!$B$10)</f>
        <v>135298</v>
      </c>
    </row>
    <row r="83" customFormat="false" ht="15" hidden="false" customHeight="false" outlineLevel="0" collapsed="false">
      <c r="A83" s="5" t="s">
        <v>126</v>
      </c>
      <c r="B83" s="6" t="n">
        <f aca="false">ROUND(CohortData!G83*CohortData!I83,2)</f>
        <v>116886</v>
      </c>
      <c r="C83" s="6" t="n">
        <f aca="false">ROUND(CohortData!L83*Assumptions!$B$4*CohortData!I83,2)</f>
        <v>15584.8</v>
      </c>
      <c r="D83" s="6" t="n">
        <f aca="false">ROUND(CohortData!E83*Assumptions!$B$5*CohortData!I83,2)</f>
        <v>5566</v>
      </c>
      <c r="E83" s="6" t="n">
        <f aca="false">ROUND(B83*Assumptions!$B$3,2)</f>
        <v>4091.01</v>
      </c>
      <c r="F83" s="6" t="n">
        <f aca="false">ROUND(B83*Assumptions!$B$6,2)</f>
        <v>1753.29</v>
      </c>
      <c r="G83" s="6" t="n">
        <f aca="false">ROUND(CohortData!G83*CohortData!I83-CohortData!G83*Assumptions!$B$7,2)</f>
        <v>15246</v>
      </c>
      <c r="H83" s="7" t="n">
        <f aca="false">SUM(B83:E83,F83:G83)</f>
        <v>159127.1</v>
      </c>
      <c r="I83" s="6" t="n">
        <f aca="false">CEILING(H83,Assumptions!$B$8)</f>
        <v>159200</v>
      </c>
      <c r="J83" s="6" t="n">
        <f aca="false">FLOOR(H83,Assumptions!$B$8)</f>
        <v>159100</v>
      </c>
      <c r="K83" s="6" t="n">
        <f aca="false">ROUNDUP(H83,Assumptions!$B$9)</f>
        <v>159128</v>
      </c>
      <c r="L83" s="6" t="n">
        <f aca="false">ROUNDDOWN(H83,Assumptions!$B$10)</f>
        <v>159127</v>
      </c>
    </row>
    <row r="84" customFormat="false" ht="15" hidden="false" customHeight="false" outlineLevel="0" collapsed="false">
      <c r="A84" s="5" t="s">
        <v>127</v>
      </c>
      <c r="B84" s="6" t="n">
        <f aca="false">ROUND(CohortData!G84*CohortData!I84,2)</f>
        <v>109560</v>
      </c>
      <c r="C84" s="6" t="n">
        <f aca="false">ROUND(CohortData!L84*Assumptions!$B$4*CohortData!I84,2)</f>
        <v>14608</v>
      </c>
      <c r="D84" s="6" t="n">
        <f aca="false">ROUND(CohortData!E84*Assumptions!$B$5*CohortData!I84,2)</f>
        <v>6640</v>
      </c>
      <c r="E84" s="6" t="n">
        <f aca="false">ROUND(B84*Assumptions!$B$3,2)</f>
        <v>3834.6</v>
      </c>
      <c r="F84" s="6" t="n">
        <f aca="false">ROUND(B84*Assumptions!$B$6,2)</f>
        <v>1643.4</v>
      </c>
      <c r="G84" s="6" t="n">
        <f aca="false">ROUND(CohortData!G84*CohortData!I84-CohortData!G84*Assumptions!$B$7,2)</f>
        <v>0</v>
      </c>
      <c r="H84" s="7" t="n">
        <f aca="false">SUM(B84:E84,F84:G84)</f>
        <v>136286</v>
      </c>
      <c r="I84" s="6" t="n">
        <f aca="false">CEILING(H84,Assumptions!$B$8)</f>
        <v>136300</v>
      </c>
      <c r="J84" s="6" t="n">
        <f aca="false">FLOOR(H84,Assumptions!$B$8)</f>
        <v>136200</v>
      </c>
      <c r="K84" s="6" t="n">
        <f aca="false">ROUNDUP(H84,Assumptions!$B$9)</f>
        <v>136286</v>
      </c>
      <c r="L84" s="6" t="n">
        <f aca="false">ROUNDDOWN(H84,Assumptions!$B$10)</f>
        <v>136286</v>
      </c>
    </row>
    <row r="85" customFormat="false" ht="15" hidden="false" customHeight="false" outlineLevel="0" collapsed="false">
      <c r="A85" s="5" t="s">
        <v>128</v>
      </c>
      <c r="B85" s="6" t="n">
        <f aca="false">ROUND(CohortData!G85*CohortData!I85,2)</f>
        <v>158100</v>
      </c>
      <c r="C85" s="6" t="n">
        <f aca="false">ROUND(CohortData!L85*Assumptions!$B$4*CohortData!I85,2)</f>
        <v>21080</v>
      </c>
      <c r="D85" s="6" t="n">
        <f aca="false">ROUND(CohortData!E85*Assumptions!$B$5*CohortData!I85,2)</f>
        <v>8500</v>
      </c>
      <c r="E85" s="6" t="n">
        <f aca="false">ROUND(B85*Assumptions!$B$3,2)</f>
        <v>5533.5</v>
      </c>
      <c r="F85" s="6" t="n">
        <f aca="false">ROUND(B85*Assumptions!$B$6,2)</f>
        <v>2371.5</v>
      </c>
      <c r="G85" s="6" t="n">
        <f aca="false">ROUND(CohortData!G85*CohortData!I85-CohortData!G85*Assumptions!$B$7,2)</f>
        <v>0</v>
      </c>
      <c r="H85" s="7" t="n">
        <f aca="false">SUM(B85:E85,F85:G85)</f>
        <v>195585</v>
      </c>
      <c r="I85" s="6" t="n">
        <f aca="false">CEILING(H85,Assumptions!$B$8)</f>
        <v>195600</v>
      </c>
      <c r="J85" s="6" t="n">
        <f aca="false">FLOOR(H85,Assumptions!$B$8)</f>
        <v>195500</v>
      </c>
      <c r="K85" s="6" t="n">
        <f aca="false">ROUNDUP(H85,Assumptions!$B$9)</f>
        <v>195585</v>
      </c>
      <c r="L85" s="6" t="n">
        <f aca="false">ROUNDDOWN(H85,Assumptions!$B$10)</f>
        <v>195585</v>
      </c>
    </row>
    <row r="86" customFormat="false" ht="15" hidden="false" customHeight="false" outlineLevel="0" collapsed="false">
      <c r="A86" s="5" t="s">
        <v>129</v>
      </c>
      <c r="B86" s="6" t="n">
        <f aca="false">ROUND(CohortData!G86*CohortData!I86,2)</f>
        <v>120120</v>
      </c>
      <c r="C86" s="6" t="n">
        <f aca="false">ROUND(CohortData!L86*Assumptions!$B$4*CohortData!I86,2)</f>
        <v>16016</v>
      </c>
      <c r="D86" s="6" t="n">
        <f aca="false">ROUND(CohortData!E86*Assumptions!$B$5*CohortData!I86,2)</f>
        <v>5720</v>
      </c>
      <c r="E86" s="6" t="n">
        <f aca="false">ROUND(B86*Assumptions!$B$3,2)</f>
        <v>4204.2</v>
      </c>
      <c r="F86" s="6" t="n">
        <f aca="false">ROUND(B86*Assumptions!$B$6,2)</f>
        <v>1801.8</v>
      </c>
      <c r="G86" s="6" t="n">
        <f aca="false">ROUND(CohortData!G86*CohortData!I86-CohortData!G86*Assumptions!$B$7,2)</f>
        <v>0</v>
      </c>
      <c r="H86" s="7" t="n">
        <f aca="false">SUM(B86:E86,F86:G86)</f>
        <v>147862</v>
      </c>
      <c r="I86" s="6" t="n">
        <f aca="false">CEILING(H86,Assumptions!$B$8)</f>
        <v>147900</v>
      </c>
      <c r="J86" s="6" t="n">
        <f aca="false">FLOOR(H86,Assumptions!$B$8)</f>
        <v>147800</v>
      </c>
      <c r="K86" s="6" t="n">
        <f aca="false">ROUNDUP(H86,Assumptions!$B$9)</f>
        <v>147862</v>
      </c>
      <c r="L86" s="6" t="n">
        <f aca="false">ROUNDDOWN(H86,Assumptions!$B$10)</f>
        <v>147862</v>
      </c>
    </row>
    <row r="87" customFormat="false" ht="15" hidden="false" customHeight="false" outlineLevel="0" collapsed="false">
      <c r="A87" s="5" t="s">
        <v>130</v>
      </c>
      <c r="B87" s="6" t="n">
        <f aca="false">ROUND(CohortData!G87*CohortData!I87,2)</f>
        <v>69448.5</v>
      </c>
      <c r="C87" s="6" t="n">
        <f aca="false">ROUND(CohortData!L87*Assumptions!$B$4*CohortData!I87,2)</f>
        <v>9259.8</v>
      </c>
      <c r="D87" s="6" t="n">
        <f aca="false">ROUND(CohortData!E87*Assumptions!$B$5*CohortData!I87,2)</f>
        <v>4209</v>
      </c>
      <c r="E87" s="6" t="n">
        <f aca="false">ROUND(B87*Assumptions!$B$3,2)</f>
        <v>2430.7</v>
      </c>
      <c r="F87" s="6" t="n">
        <f aca="false">ROUND(B87*Assumptions!$B$6,2)</f>
        <v>1041.73</v>
      </c>
      <c r="G87" s="6" t="n">
        <f aca="false">ROUND(CohortData!G87*CohortData!I87-CohortData!G87*Assumptions!$B$7,2)</f>
        <v>9058.5</v>
      </c>
      <c r="H87" s="7" t="n">
        <f aca="false">SUM(B87:E87,F87:G87)</f>
        <v>95448.23</v>
      </c>
      <c r="I87" s="6" t="n">
        <f aca="false">CEILING(H87,Assumptions!$B$8)</f>
        <v>95500</v>
      </c>
      <c r="J87" s="6" t="n">
        <f aca="false">FLOOR(H87,Assumptions!$B$8)</f>
        <v>95400</v>
      </c>
      <c r="K87" s="6" t="n">
        <f aca="false">ROUNDUP(H87,Assumptions!$B$9)</f>
        <v>95449</v>
      </c>
      <c r="L87" s="6" t="n">
        <f aca="false">ROUNDDOWN(H87,Assumptions!$B$10)</f>
        <v>95448</v>
      </c>
    </row>
    <row r="88" customFormat="false" ht="15" hidden="false" customHeight="false" outlineLevel="0" collapsed="false">
      <c r="A88" s="5" t="s">
        <v>131</v>
      </c>
      <c r="B88" s="6" t="n">
        <f aca="false">ROUND(CohortData!G88*CohortData!I88,2)</f>
        <v>107508</v>
      </c>
      <c r="C88" s="6" t="n">
        <f aca="false">ROUND(CohortData!L88*Assumptions!$B$4*CohortData!I88,2)</f>
        <v>0</v>
      </c>
      <c r="D88" s="6" t="n">
        <f aca="false">ROUND(CohortData!E88*Assumptions!$B$5*CohortData!I88,2)</f>
        <v>5780</v>
      </c>
      <c r="E88" s="6" t="n">
        <f aca="false">ROUND(B88*Assumptions!$B$3,2)</f>
        <v>3762.78</v>
      </c>
      <c r="F88" s="6" t="n">
        <f aca="false">ROUND(B88*Assumptions!$B$6,2)</f>
        <v>1612.62</v>
      </c>
      <c r="G88" s="6" t="n">
        <f aca="false">ROUND(CohortData!G88*CohortData!I88-CohortData!G88*Assumptions!$B$7,2)</f>
        <v>0</v>
      </c>
      <c r="H88" s="7" t="n">
        <f aca="false">SUM(B88:E88,F88:G88)</f>
        <v>118663.4</v>
      </c>
      <c r="I88" s="6" t="n">
        <f aca="false">CEILING(H88,Assumptions!$B$8)</f>
        <v>118700</v>
      </c>
      <c r="J88" s="6" t="n">
        <f aca="false">FLOOR(H88,Assumptions!$B$8)</f>
        <v>118600</v>
      </c>
      <c r="K88" s="6" t="n">
        <f aca="false">ROUNDUP(H88,Assumptions!$B$9)</f>
        <v>118664</v>
      </c>
      <c r="L88" s="6" t="n">
        <f aca="false">ROUNDDOWN(H88,Assumptions!$B$10)</f>
        <v>118663</v>
      </c>
    </row>
    <row r="89" customFormat="false" ht="15" hidden="false" customHeight="false" outlineLevel="0" collapsed="false">
      <c r="A89" s="5" t="s">
        <v>132</v>
      </c>
      <c r="B89" s="6" t="n">
        <f aca="false">ROUND(CohortData!G89*CohortData!I89,2)</f>
        <v>118020</v>
      </c>
      <c r="C89" s="6" t="n">
        <f aca="false">ROUND(CohortData!L89*Assumptions!$B$4*CohortData!I89,2)</f>
        <v>15736</v>
      </c>
      <c r="D89" s="6" t="n">
        <f aca="false">ROUND(CohortData!E89*Assumptions!$B$5*CohortData!I89,2)</f>
        <v>5620</v>
      </c>
      <c r="E89" s="6" t="n">
        <f aca="false">ROUND(B89*Assumptions!$B$3,2)</f>
        <v>4130.7</v>
      </c>
      <c r="F89" s="6" t="n">
        <f aca="false">ROUND(B89*Assumptions!$B$6,2)</f>
        <v>1770.3</v>
      </c>
      <c r="G89" s="6" t="n">
        <f aca="false">ROUND(CohortData!G89*CohortData!I89-CohortData!G89*Assumptions!$B$7,2)</f>
        <v>0</v>
      </c>
      <c r="H89" s="7" t="n">
        <f aca="false">SUM(B89:E89,F89:G89)</f>
        <v>145277</v>
      </c>
      <c r="I89" s="6" t="n">
        <f aca="false">CEILING(H89,Assumptions!$B$8)</f>
        <v>145300</v>
      </c>
      <c r="J89" s="6" t="n">
        <f aca="false">FLOOR(H89,Assumptions!$B$8)</f>
        <v>145200</v>
      </c>
      <c r="K89" s="6" t="n">
        <f aca="false">ROUNDUP(H89,Assumptions!$B$9)</f>
        <v>145277</v>
      </c>
      <c r="L89" s="6" t="n">
        <f aca="false">ROUNDDOWN(H89,Assumptions!$B$10)</f>
        <v>145277</v>
      </c>
    </row>
    <row r="90" customFormat="false" ht="15" hidden="false" customHeight="false" outlineLevel="0" collapsed="false">
      <c r="A90" s="5" t="s">
        <v>133</v>
      </c>
      <c r="B90" s="6" t="n">
        <f aca="false">ROUND(CohortData!G90*CohortData!I90,2)</f>
        <v>68310</v>
      </c>
      <c r="C90" s="6" t="n">
        <f aca="false">ROUND(CohortData!L90*Assumptions!$B$4*CohortData!I90,2)</f>
        <v>9108</v>
      </c>
      <c r="D90" s="6" t="n">
        <f aca="false">ROUND(CohortData!E90*Assumptions!$B$5*CohortData!I90,2)</f>
        <v>4140</v>
      </c>
      <c r="E90" s="6" t="n">
        <f aca="false">ROUND(B90*Assumptions!$B$3,2)</f>
        <v>2390.85</v>
      </c>
      <c r="F90" s="6" t="n">
        <f aca="false">ROUND(B90*Assumptions!$B$6,2)</f>
        <v>1024.65</v>
      </c>
      <c r="G90" s="6" t="n">
        <f aca="false">ROUND(CohortData!G90*CohortData!I90-CohortData!G90*Assumptions!$B$7,2)</f>
        <v>0</v>
      </c>
      <c r="H90" s="7" t="n">
        <f aca="false">SUM(B90:E90,F90:G90)</f>
        <v>84973.5</v>
      </c>
      <c r="I90" s="6" t="n">
        <f aca="false">CEILING(H90,Assumptions!$B$8)</f>
        <v>85000</v>
      </c>
      <c r="J90" s="6" t="n">
        <f aca="false">FLOOR(H90,Assumptions!$B$8)</f>
        <v>84900</v>
      </c>
      <c r="K90" s="6" t="n">
        <f aca="false">ROUNDUP(H90,Assumptions!$B$9)</f>
        <v>84974</v>
      </c>
      <c r="L90" s="6" t="n">
        <f aca="false">ROUNDDOWN(H90,Assumptions!$B$10)</f>
        <v>84973</v>
      </c>
    </row>
    <row r="91" customFormat="false" ht="15" hidden="false" customHeight="false" outlineLevel="0" collapsed="false">
      <c r="A91" s="5" t="s">
        <v>134</v>
      </c>
      <c r="B91" s="6" t="n">
        <f aca="false">ROUND(CohortData!G91*CohortData!I91,2)</f>
        <v>189515.4</v>
      </c>
      <c r="C91" s="6" t="n">
        <f aca="false">ROUND(CohortData!L91*Assumptions!$B$4*CohortData!I91,2)</f>
        <v>25268.72</v>
      </c>
      <c r="D91" s="6" t="n">
        <f aca="false">ROUND(CohortData!E91*Assumptions!$B$5*CohortData!I91,2)</f>
        <v>10189</v>
      </c>
      <c r="E91" s="6" t="n">
        <f aca="false">ROUND(B91*Assumptions!$B$3,2)</f>
        <v>6633.04</v>
      </c>
      <c r="F91" s="6" t="n">
        <f aca="false">ROUND(B91*Assumptions!$B$6,2)</f>
        <v>2842.73</v>
      </c>
      <c r="G91" s="6" t="n">
        <f aca="false">ROUND(CohortData!G91*CohortData!I91-CohortData!G91*Assumptions!$B$7,2)</f>
        <v>24719.4</v>
      </c>
      <c r="H91" s="7" t="n">
        <f aca="false">SUM(B91:E91,F91:G91)</f>
        <v>259168.29</v>
      </c>
      <c r="I91" s="6" t="n">
        <f aca="false">CEILING(H91,Assumptions!$B$8)</f>
        <v>259200</v>
      </c>
      <c r="J91" s="6" t="n">
        <f aca="false">FLOOR(H91,Assumptions!$B$8)</f>
        <v>259100</v>
      </c>
      <c r="K91" s="6" t="n">
        <f aca="false">ROUNDUP(H91,Assumptions!$B$9)</f>
        <v>259169</v>
      </c>
      <c r="L91" s="6" t="n">
        <f aca="false">ROUNDDOWN(H91,Assumptions!$B$10)</f>
        <v>259168</v>
      </c>
    </row>
    <row r="92" customFormat="false" ht="15" hidden="false" customHeight="false" outlineLevel="0" collapsed="false">
      <c r="A92" s="5" t="s">
        <v>135</v>
      </c>
      <c r="B92" s="6" t="n">
        <f aca="false">ROUND(CohortData!G92*CohortData!I92,2)</f>
        <v>99120</v>
      </c>
      <c r="C92" s="6" t="n">
        <f aca="false">ROUND(CohortData!L92*Assumptions!$B$4*CohortData!I92,2)</f>
        <v>13216</v>
      </c>
      <c r="D92" s="6" t="n">
        <f aca="false">ROUND(CohortData!E92*Assumptions!$B$5*CohortData!I92,2)</f>
        <v>4720</v>
      </c>
      <c r="E92" s="6" t="n">
        <f aca="false">ROUND(B92*Assumptions!$B$3,2)</f>
        <v>3469.2</v>
      </c>
      <c r="F92" s="6" t="n">
        <f aca="false">ROUND(B92*Assumptions!$B$6,2)</f>
        <v>1486.8</v>
      </c>
      <c r="G92" s="6" t="n">
        <f aca="false">ROUND(CohortData!G92*CohortData!I92-CohortData!G92*Assumptions!$B$7,2)</f>
        <v>0</v>
      </c>
      <c r="H92" s="7" t="n">
        <f aca="false">SUM(B92:E92,F92:G92)</f>
        <v>122012</v>
      </c>
      <c r="I92" s="6" t="n">
        <f aca="false">CEILING(H92,Assumptions!$B$8)</f>
        <v>122100</v>
      </c>
      <c r="J92" s="6" t="n">
        <f aca="false">FLOOR(H92,Assumptions!$B$8)</f>
        <v>122000</v>
      </c>
      <c r="K92" s="6" t="n">
        <f aca="false">ROUNDUP(H92,Assumptions!$B$9)</f>
        <v>122012</v>
      </c>
      <c r="L92" s="6" t="n">
        <f aca="false">ROUNDDOWN(H92,Assumptions!$B$10)</f>
        <v>122012</v>
      </c>
    </row>
    <row r="93" customFormat="false" ht="15" hidden="false" customHeight="false" outlineLevel="0" collapsed="false">
      <c r="A93" s="5" t="s">
        <v>136</v>
      </c>
      <c r="B93" s="6" t="n">
        <f aca="false">ROUND(CohortData!G93*CohortData!I93,2)</f>
        <v>151470</v>
      </c>
      <c r="C93" s="6" t="n">
        <f aca="false">ROUND(CohortData!L93*Assumptions!$B$4*CohortData!I93,2)</f>
        <v>20196</v>
      </c>
      <c r="D93" s="6" t="n">
        <f aca="false">ROUND(CohortData!E93*Assumptions!$B$5*CohortData!I93,2)</f>
        <v>9180</v>
      </c>
      <c r="E93" s="6" t="n">
        <f aca="false">ROUND(B93*Assumptions!$B$3,2)</f>
        <v>5301.45</v>
      </c>
      <c r="F93" s="6" t="n">
        <f aca="false">ROUND(B93*Assumptions!$B$6,2)</f>
        <v>2272.05</v>
      </c>
      <c r="G93" s="6" t="n">
        <f aca="false">ROUND(CohortData!G93*CohortData!I93-CohortData!G93*Assumptions!$B$7,2)</f>
        <v>0</v>
      </c>
      <c r="H93" s="7" t="n">
        <f aca="false">SUM(B93:E93,F93:G93)</f>
        <v>188419.5</v>
      </c>
      <c r="I93" s="6" t="n">
        <f aca="false">CEILING(H93,Assumptions!$B$8)</f>
        <v>188500</v>
      </c>
      <c r="J93" s="6" t="n">
        <f aca="false">FLOOR(H93,Assumptions!$B$8)</f>
        <v>188400</v>
      </c>
      <c r="K93" s="6" t="n">
        <f aca="false">ROUNDUP(H93,Assumptions!$B$9)</f>
        <v>188420</v>
      </c>
      <c r="L93" s="6" t="n">
        <f aca="false">ROUNDDOWN(H93,Assumptions!$B$10)</f>
        <v>188419</v>
      </c>
    </row>
    <row r="94" customFormat="false" ht="15" hidden="false" customHeight="false" outlineLevel="0" collapsed="false">
      <c r="A94" s="5" t="s">
        <v>137</v>
      </c>
      <c r="B94" s="6" t="n">
        <f aca="false">ROUND(CohortData!G94*CohortData!I94,2)</f>
        <v>167028</v>
      </c>
      <c r="C94" s="6" t="n">
        <f aca="false">ROUND(CohortData!L94*Assumptions!$B$4*CohortData!I94,2)</f>
        <v>22270.4</v>
      </c>
      <c r="D94" s="6" t="n">
        <f aca="false">ROUND(CohortData!E94*Assumptions!$B$5*CohortData!I94,2)</f>
        <v>8980</v>
      </c>
      <c r="E94" s="6" t="n">
        <f aca="false">ROUND(B94*Assumptions!$B$3,2)</f>
        <v>5845.98</v>
      </c>
      <c r="F94" s="6" t="n">
        <f aca="false">ROUND(B94*Assumptions!$B$6,2)</f>
        <v>2505.42</v>
      </c>
      <c r="G94" s="6" t="n">
        <f aca="false">ROUND(CohortData!G94*CohortData!I94-CohortData!G94*Assumptions!$B$7,2)</f>
        <v>0</v>
      </c>
      <c r="H94" s="7" t="n">
        <f aca="false">SUM(B94:E94,F94:G94)</f>
        <v>206629.8</v>
      </c>
      <c r="I94" s="6" t="n">
        <f aca="false">CEILING(H94,Assumptions!$B$8)</f>
        <v>206700</v>
      </c>
      <c r="J94" s="6" t="n">
        <f aca="false">FLOOR(H94,Assumptions!$B$8)</f>
        <v>206600</v>
      </c>
      <c r="K94" s="6" t="n">
        <f aca="false">ROUNDUP(H94,Assumptions!$B$9)</f>
        <v>206630</v>
      </c>
      <c r="L94" s="6" t="n">
        <f aca="false">ROUNDDOWN(H94,Assumptions!$B$10)</f>
        <v>206629</v>
      </c>
    </row>
    <row r="95" customFormat="false" ht="15" hidden="false" customHeight="false" outlineLevel="0" collapsed="false">
      <c r="A95" s="5" t="s">
        <v>138</v>
      </c>
      <c r="B95" s="6" t="n">
        <f aca="false">ROUND(CohortData!G95*CohortData!I95,2)</f>
        <v>208173</v>
      </c>
      <c r="C95" s="6" t="n">
        <f aca="false">ROUND(CohortData!L95*Assumptions!$B$4*CohortData!I95,2)</f>
        <v>27756.4</v>
      </c>
      <c r="D95" s="6" t="n">
        <f aca="false">ROUND(CohortData!E95*Assumptions!$B$5*CohortData!I95,2)</f>
        <v>9913</v>
      </c>
      <c r="E95" s="6" t="n">
        <f aca="false">ROUND(B95*Assumptions!$B$3,2)</f>
        <v>7286.06</v>
      </c>
      <c r="F95" s="6" t="n">
        <f aca="false">ROUND(B95*Assumptions!$B$6,2)</f>
        <v>3122.6</v>
      </c>
      <c r="G95" s="6" t="n">
        <f aca="false">ROUND(CohortData!G95*CohortData!I95-CohortData!G95*Assumptions!$B$7,2)</f>
        <v>27153</v>
      </c>
      <c r="H95" s="7" t="n">
        <f aca="false">SUM(B95:E95,F95:G95)</f>
        <v>283404.06</v>
      </c>
      <c r="I95" s="6" t="n">
        <f aca="false">CEILING(H95,Assumptions!$B$8)</f>
        <v>283500</v>
      </c>
      <c r="J95" s="6" t="n">
        <f aca="false">FLOOR(H95,Assumptions!$B$8)</f>
        <v>283400</v>
      </c>
      <c r="K95" s="6" t="n">
        <f aca="false">ROUNDUP(H95,Assumptions!$B$9)</f>
        <v>283405</v>
      </c>
      <c r="L95" s="6" t="n">
        <f aca="false">ROUNDDOWN(H95,Assumptions!$B$10)</f>
        <v>283404</v>
      </c>
    </row>
    <row r="96" customFormat="false" ht="15" hidden="false" customHeight="false" outlineLevel="0" collapsed="false">
      <c r="A96" s="5" t="s">
        <v>139</v>
      </c>
      <c r="B96" s="6" t="n">
        <f aca="false">ROUND(CohortData!G96*CohortData!I96,2)</f>
        <v>44880</v>
      </c>
      <c r="C96" s="6" t="n">
        <f aca="false">ROUND(CohortData!L96*Assumptions!$B$4*CohortData!I96,2)</f>
        <v>5984</v>
      </c>
      <c r="D96" s="6" t="n">
        <f aca="false">ROUND(CohortData!E96*Assumptions!$B$5*CohortData!I96,2)</f>
        <v>2720</v>
      </c>
      <c r="E96" s="6" t="n">
        <f aca="false">ROUND(B96*Assumptions!$B$3,2)</f>
        <v>1570.8</v>
      </c>
      <c r="F96" s="6" t="n">
        <f aca="false">ROUND(B96*Assumptions!$B$6,2)</f>
        <v>673.2</v>
      </c>
      <c r="G96" s="6" t="n">
        <f aca="false">ROUND(CohortData!G96*CohortData!I96-CohortData!G96*Assumptions!$B$7,2)</f>
        <v>0</v>
      </c>
      <c r="H96" s="7" t="n">
        <f aca="false">SUM(B96:E96,F96:G96)</f>
        <v>55828</v>
      </c>
      <c r="I96" s="6" t="n">
        <f aca="false">CEILING(H96,Assumptions!$B$8)</f>
        <v>55900</v>
      </c>
      <c r="J96" s="6" t="n">
        <f aca="false">FLOOR(H96,Assumptions!$B$8)</f>
        <v>55800</v>
      </c>
      <c r="K96" s="6" t="n">
        <f aca="false">ROUNDUP(H96,Assumptions!$B$9)</f>
        <v>55828</v>
      </c>
      <c r="L96" s="6" t="n">
        <f aca="false">ROUNDDOWN(H96,Assumptions!$B$10)</f>
        <v>55828</v>
      </c>
    </row>
    <row r="97" customFormat="false" ht="15" hidden="false" customHeight="false" outlineLevel="0" collapsed="false">
      <c r="A97" s="5" t="s">
        <v>140</v>
      </c>
      <c r="B97" s="6" t="n">
        <f aca="false">ROUND(CohortData!G97*CohortData!I97,2)</f>
        <v>152892</v>
      </c>
      <c r="C97" s="6" t="n">
        <f aca="false">ROUND(CohortData!L97*Assumptions!$B$4*CohortData!I97,2)</f>
        <v>20385.6</v>
      </c>
      <c r="D97" s="6" t="n">
        <f aca="false">ROUND(CohortData!E97*Assumptions!$B$5*CohortData!I97,2)</f>
        <v>8220</v>
      </c>
      <c r="E97" s="6" t="n">
        <f aca="false">ROUND(B97*Assumptions!$B$3,2)</f>
        <v>5351.22</v>
      </c>
      <c r="F97" s="6" t="n">
        <f aca="false">ROUND(B97*Assumptions!$B$6,2)</f>
        <v>2293.38</v>
      </c>
      <c r="G97" s="6" t="n">
        <f aca="false">ROUND(CohortData!G97*CohortData!I97-CohortData!G97*Assumptions!$B$7,2)</f>
        <v>0</v>
      </c>
      <c r="H97" s="7" t="n">
        <f aca="false">SUM(B97:E97,F97:G97)</f>
        <v>189142.2</v>
      </c>
      <c r="I97" s="6" t="n">
        <f aca="false">CEILING(H97,Assumptions!$B$8)</f>
        <v>189200</v>
      </c>
      <c r="J97" s="6" t="n">
        <f aca="false">FLOOR(H97,Assumptions!$B$8)</f>
        <v>189100</v>
      </c>
      <c r="K97" s="6" t="n">
        <f aca="false">ROUNDUP(H97,Assumptions!$B$9)</f>
        <v>189143</v>
      </c>
      <c r="L97" s="6" t="n">
        <f aca="false">ROUNDDOWN(H97,Assumptions!$B$10)</f>
        <v>189142</v>
      </c>
    </row>
    <row r="98" customFormat="false" ht="15" hidden="false" customHeight="false" outlineLevel="0" collapsed="false">
      <c r="A98" s="5" t="s">
        <v>141</v>
      </c>
      <c r="B98" s="6" t="n">
        <f aca="false">ROUND(CohortData!G98*CohortData!I98,2)</f>
        <v>178500</v>
      </c>
      <c r="C98" s="6" t="n">
        <f aca="false">ROUND(CohortData!L98*Assumptions!$B$4*CohortData!I98,2)</f>
        <v>23800</v>
      </c>
      <c r="D98" s="6" t="n">
        <f aca="false">ROUND(CohortData!E98*Assumptions!$B$5*CohortData!I98,2)</f>
        <v>8500</v>
      </c>
      <c r="E98" s="6" t="n">
        <f aca="false">ROUND(B98*Assumptions!$B$3,2)</f>
        <v>6247.5</v>
      </c>
      <c r="F98" s="6" t="n">
        <f aca="false">ROUND(B98*Assumptions!$B$6,2)</f>
        <v>2677.5</v>
      </c>
      <c r="G98" s="6" t="n">
        <f aca="false">ROUND(CohortData!G98*CohortData!I98-CohortData!G98*Assumptions!$B$7,2)</f>
        <v>0</v>
      </c>
      <c r="H98" s="7" t="n">
        <f aca="false">SUM(B98:E98,F98:G98)</f>
        <v>219725</v>
      </c>
      <c r="I98" s="6" t="n">
        <f aca="false">CEILING(H98,Assumptions!$B$8)</f>
        <v>219800</v>
      </c>
      <c r="J98" s="6" t="n">
        <f aca="false">FLOOR(H98,Assumptions!$B$8)</f>
        <v>219700</v>
      </c>
      <c r="K98" s="6" t="n">
        <f aca="false">ROUNDUP(H98,Assumptions!$B$9)</f>
        <v>219725</v>
      </c>
      <c r="L98" s="6" t="n">
        <f aca="false">ROUNDDOWN(H98,Assumptions!$B$10)</f>
        <v>219725</v>
      </c>
    </row>
    <row r="99" customFormat="false" ht="15" hidden="false" customHeight="false" outlineLevel="0" collapsed="false">
      <c r="A99" s="5" t="s">
        <v>142</v>
      </c>
      <c r="B99" s="6" t="n">
        <f aca="false">ROUND(CohortData!G99*CohortData!I99,2)</f>
        <v>70966.5</v>
      </c>
      <c r="C99" s="6" t="n">
        <f aca="false">ROUND(CohortData!L99*Assumptions!$B$4*CohortData!I99,2)</f>
        <v>9462.2</v>
      </c>
      <c r="D99" s="6" t="n">
        <f aca="false">ROUND(CohortData!E99*Assumptions!$B$5*CohortData!I99,2)</f>
        <v>4301</v>
      </c>
      <c r="E99" s="6" t="n">
        <f aca="false">ROUND(B99*Assumptions!$B$3,2)</f>
        <v>2483.83</v>
      </c>
      <c r="F99" s="6" t="n">
        <f aca="false">ROUND(B99*Assumptions!$B$6,2)</f>
        <v>1064.5</v>
      </c>
      <c r="G99" s="6" t="n">
        <f aca="false">ROUND(CohortData!G99*CohortData!I99-CohortData!G99*Assumptions!$B$7,2)</f>
        <v>9256.5</v>
      </c>
      <c r="H99" s="7" t="n">
        <f aca="false">SUM(B99:E99,F99:G99)</f>
        <v>97534.53</v>
      </c>
      <c r="I99" s="6" t="n">
        <f aca="false">CEILING(H99,Assumptions!$B$8)</f>
        <v>97600</v>
      </c>
      <c r="J99" s="6" t="n">
        <f aca="false">FLOOR(H99,Assumptions!$B$8)</f>
        <v>97500</v>
      </c>
      <c r="K99" s="6" t="n">
        <f aca="false">ROUNDUP(H99,Assumptions!$B$9)</f>
        <v>97535</v>
      </c>
      <c r="L99" s="6" t="n">
        <f aca="false">ROUNDDOWN(H99,Assumptions!$B$10)</f>
        <v>97534</v>
      </c>
    </row>
    <row r="100" customFormat="false" ht="15" hidden="false" customHeight="false" outlineLevel="0" collapsed="false">
      <c r="A100" s="5" t="s">
        <v>143</v>
      </c>
      <c r="B100" s="6" t="n">
        <f aca="false">ROUND(CohortData!G100*CohortData!I100,2)</f>
        <v>138756</v>
      </c>
      <c r="C100" s="6" t="n">
        <f aca="false">ROUND(CohortData!L100*Assumptions!$B$4*CohortData!I100,2)</f>
        <v>18500.8</v>
      </c>
      <c r="D100" s="6" t="n">
        <f aca="false">ROUND(CohortData!E100*Assumptions!$B$5*CohortData!I100,2)</f>
        <v>7460</v>
      </c>
      <c r="E100" s="6" t="n">
        <f aca="false">ROUND(B100*Assumptions!$B$3,2)</f>
        <v>4856.46</v>
      </c>
      <c r="F100" s="6" t="n">
        <f aca="false">ROUND(B100*Assumptions!$B$6,2)</f>
        <v>2081.34</v>
      </c>
      <c r="G100" s="6" t="n">
        <f aca="false">ROUND(CohortData!G100*CohortData!I100-CohortData!G100*Assumptions!$B$7,2)</f>
        <v>0</v>
      </c>
      <c r="H100" s="7" t="n">
        <f aca="false">SUM(B100:E100,F100:G100)</f>
        <v>171654.6</v>
      </c>
      <c r="I100" s="6" t="n">
        <f aca="false">CEILING(H100,Assumptions!$B$8)</f>
        <v>171700</v>
      </c>
      <c r="J100" s="6" t="n">
        <f aca="false">FLOOR(H100,Assumptions!$B$8)</f>
        <v>171600</v>
      </c>
      <c r="K100" s="6" t="n">
        <f aca="false">ROUNDUP(H100,Assumptions!$B$9)</f>
        <v>171655</v>
      </c>
      <c r="L100" s="6" t="n">
        <f aca="false">ROUNDDOWN(H100,Assumptions!$B$10)</f>
        <v>171654</v>
      </c>
    </row>
    <row r="101" customFormat="false" ht="15" hidden="false" customHeight="false" outlineLevel="0" collapsed="false">
      <c r="A101" s="5" t="s">
        <v>144</v>
      </c>
      <c r="B101" s="6" t="n">
        <f aca="false">ROUND(CohortData!G101*CohortData!I101,2)</f>
        <v>198660</v>
      </c>
      <c r="C101" s="6" t="n">
        <f aca="false">ROUND(CohortData!L101*Assumptions!$B$4*CohortData!I101,2)</f>
        <v>26488</v>
      </c>
      <c r="D101" s="6" t="n">
        <f aca="false">ROUND(CohortData!E101*Assumptions!$B$5*CohortData!I101,2)</f>
        <v>9460</v>
      </c>
      <c r="E101" s="6" t="n">
        <f aca="false">ROUND(B101*Assumptions!$B$3,2)</f>
        <v>6953.1</v>
      </c>
      <c r="F101" s="6" t="n">
        <f aca="false">ROUND(B101*Assumptions!$B$6,2)</f>
        <v>2979.9</v>
      </c>
      <c r="G101" s="6" t="n">
        <f aca="false">ROUND(CohortData!G101*CohortData!I101-CohortData!G101*Assumptions!$B$7,2)</f>
        <v>0</v>
      </c>
      <c r="H101" s="7" t="n">
        <f aca="false">SUM(B101:E101,F101:G101)</f>
        <v>244541</v>
      </c>
      <c r="I101" s="6" t="n">
        <f aca="false">CEILING(H101,Assumptions!$B$8)</f>
        <v>244600</v>
      </c>
      <c r="J101" s="6" t="n">
        <f aca="false">FLOOR(H101,Assumptions!$B$8)</f>
        <v>244500</v>
      </c>
      <c r="K101" s="6" t="n">
        <f aca="false">ROUNDUP(H101,Assumptions!$B$9)</f>
        <v>244541</v>
      </c>
      <c r="L101" s="6" t="n">
        <f aca="false">ROUNDDOWN(H101,Assumptions!$B$10)</f>
        <v>244541</v>
      </c>
    </row>
    <row r="102" customFormat="false" ht="15" hidden="false" customHeight="false" outlineLevel="0" collapsed="false">
      <c r="A102" s="5" t="s">
        <v>145</v>
      </c>
      <c r="B102" s="6" t="n">
        <f aca="false">ROUND(CohortData!G102*CohortData!I102,2)</f>
        <v>74250</v>
      </c>
      <c r="C102" s="6" t="n">
        <f aca="false">ROUND(CohortData!L102*Assumptions!$B$4*CohortData!I102,2)</f>
        <v>9900</v>
      </c>
      <c r="D102" s="6" t="n">
        <f aca="false">ROUND(CohortData!E102*Assumptions!$B$5*CohortData!I102,2)</f>
        <v>4500</v>
      </c>
      <c r="E102" s="6" t="n">
        <f aca="false">ROUND(B102*Assumptions!$B$3,2)</f>
        <v>2598.75</v>
      </c>
      <c r="F102" s="6" t="n">
        <f aca="false">ROUND(B102*Assumptions!$B$6,2)</f>
        <v>1113.75</v>
      </c>
      <c r="G102" s="6" t="n">
        <f aca="false">ROUND(CohortData!G102*CohortData!I102-CohortData!G102*Assumptions!$B$7,2)</f>
        <v>0</v>
      </c>
      <c r="H102" s="7" t="n">
        <f aca="false">SUM(B102:E102,F102:G102)</f>
        <v>92362.5</v>
      </c>
      <c r="I102" s="6" t="n">
        <f aca="false">CEILING(H102,Assumptions!$B$8)</f>
        <v>92400</v>
      </c>
      <c r="J102" s="6" t="n">
        <f aca="false">FLOOR(H102,Assumptions!$B$8)</f>
        <v>92300</v>
      </c>
      <c r="K102" s="6" t="n">
        <f aca="false">ROUNDUP(H102,Assumptions!$B$9)</f>
        <v>92363</v>
      </c>
      <c r="L102" s="6" t="n">
        <f aca="false">ROUNDDOWN(H102,Assumptions!$B$10)</f>
        <v>92362</v>
      </c>
    </row>
    <row r="103" customFormat="false" ht="15" hidden="false" customHeight="false" outlineLevel="0" collapsed="false">
      <c r="A103" s="5" t="s">
        <v>146</v>
      </c>
      <c r="B103" s="6" t="n">
        <f aca="false">ROUND(CohortData!G103*CohortData!I103,2)</f>
        <v>78287.4</v>
      </c>
      <c r="C103" s="6" t="n">
        <f aca="false">ROUND(CohortData!L103*Assumptions!$B$4*CohortData!I103,2)</f>
        <v>10438.32</v>
      </c>
      <c r="D103" s="6" t="n">
        <f aca="false">ROUND(CohortData!E103*Assumptions!$B$5*CohortData!I103,2)</f>
        <v>4209</v>
      </c>
      <c r="E103" s="6" t="n">
        <f aca="false">ROUND(B103*Assumptions!$B$3,2)</f>
        <v>2740.06</v>
      </c>
      <c r="F103" s="6" t="n">
        <f aca="false">ROUND(B103*Assumptions!$B$6,2)</f>
        <v>1174.31</v>
      </c>
      <c r="G103" s="6" t="n">
        <f aca="false">ROUND(CohortData!G103*CohortData!I103-CohortData!G103*Assumptions!$B$7,2)</f>
        <v>10211.4</v>
      </c>
      <c r="H103" s="7" t="n">
        <f aca="false">SUM(B103:E103,F103:G103)</f>
        <v>107060.49</v>
      </c>
      <c r="I103" s="6" t="n">
        <f aca="false">CEILING(H103,Assumptions!$B$8)</f>
        <v>107100</v>
      </c>
      <c r="J103" s="6" t="n">
        <f aca="false">FLOOR(H103,Assumptions!$B$8)</f>
        <v>107000</v>
      </c>
      <c r="K103" s="6" t="n">
        <f aca="false">ROUNDUP(H103,Assumptions!$B$9)</f>
        <v>107061</v>
      </c>
      <c r="L103" s="6" t="n">
        <f aca="false">ROUNDDOWN(H103,Assumptions!$B$10)</f>
        <v>107060</v>
      </c>
    </row>
    <row r="104" customFormat="false" ht="15" hidden="false" customHeight="false" outlineLevel="0" collapsed="false">
      <c r="A104" s="5" t="s">
        <v>147</v>
      </c>
      <c r="B104" s="6" t="n">
        <f aca="false">ROUND(CohortData!G104*CohortData!I104,2)</f>
        <v>141120</v>
      </c>
      <c r="C104" s="6" t="n">
        <f aca="false">ROUND(CohortData!L104*Assumptions!$B$4*CohortData!I104,2)</f>
        <v>18816</v>
      </c>
      <c r="D104" s="6" t="n">
        <f aca="false">ROUND(CohortData!E104*Assumptions!$B$5*CohortData!I104,2)</f>
        <v>6720</v>
      </c>
      <c r="E104" s="6" t="n">
        <f aca="false">ROUND(B104*Assumptions!$B$3,2)</f>
        <v>4939.2</v>
      </c>
      <c r="F104" s="6" t="n">
        <f aca="false">ROUND(B104*Assumptions!$B$6,2)</f>
        <v>2116.8</v>
      </c>
      <c r="G104" s="6" t="n">
        <f aca="false">ROUND(CohortData!G104*CohortData!I104-CohortData!G104*Assumptions!$B$7,2)</f>
        <v>0</v>
      </c>
      <c r="H104" s="7" t="n">
        <f aca="false">SUM(B104:E104,F104:G104)</f>
        <v>173712</v>
      </c>
      <c r="I104" s="6" t="n">
        <f aca="false">CEILING(H104,Assumptions!$B$8)</f>
        <v>173800</v>
      </c>
      <c r="J104" s="6" t="n">
        <f aca="false">FLOOR(H104,Assumptions!$B$8)</f>
        <v>173700</v>
      </c>
      <c r="K104" s="6" t="n">
        <f aca="false">ROUNDUP(H104,Assumptions!$B$9)</f>
        <v>173712</v>
      </c>
      <c r="L104" s="6" t="n">
        <f aca="false">ROUNDDOWN(H104,Assumptions!$B$10)</f>
        <v>173712</v>
      </c>
    </row>
    <row r="105" customFormat="false" ht="15" hidden="false" customHeight="false" outlineLevel="0" collapsed="false">
      <c r="A105" s="5" t="s">
        <v>148</v>
      </c>
      <c r="B105" s="6" t="n">
        <f aca="false">ROUND(CohortData!G105*CohortData!I105,2)</f>
        <v>97020</v>
      </c>
      <c r="C105" s="6" t="n">
        <f aca="false">ROUND(CohortData!L105*Assumptions!$B$4*CohortData!I105,2)</f>
        <v>0</v>
      </c>
      <c r="D105" s="6" t="n">
        <f aca="false">ROUND(CohortData!E105*Assumptions!$B$5*CohortData!I105,2)</f>
        <v>5880</v>
      </c>
      <c r="E105" s="6" t="n">
        <f aca="false">ROUND(B105*Assumptions!$B$3,2)</f>
        <v>3395.7</v>
      </c>
      <c r="F105" s="6" t="n">
        <f aca="false">ROUND(B105*Assumptions!$B$6,2)</f>
        <v>1455.3</v>
      </c>
      <c r="G105" s="6" t="n">
        <f aca="false">ROUND(CohortData!G105*CohortData!I105-CohortData!G105*Assumptions!$B$7,2)</f>
        <v>0</v>
      </c>
      <c r="H105" s="7" t="n">
        <f aca="false">SUM(B105:E105,F105:G105)</f>
        <v>107751</v>
      </c>
      <c r="I105" s="6" t="n">
        <f aca="false">CEILING(H105,Assumptions!$B$8)</f>
        <v>107800</v>
      </c>
      <c r="J105" s="6" t="n">
        <f aca="false">FLOOR(H105,Assumptions!$B$8)</f>
        <v>107700</v>
      </c>
      <c r="K105" s="6" t="n">
        <f aca="false">ROUNDUP(H105,Assumptions!$B$9)</f>
        <v>107751</v>
      </c>
      <c r="L105" s="6" t="n">
        <f aca="false">ROUNDDOWN(H105,Assumptions!$B$10)</f>
        <v>107751</v>
      </c>
    </row>
    <row r="106" customFormat="false" ht="15" hidden="false" customHeight="false" outlineLevel="0" collapsed="false">
      <c r="A106" s="5" t="s">
        <v>149</v>
      </c>
      <c r="B106" s="6" t="n">
        <f aca="false">ROUND(CohortData!G106*CohortData!I106,2)</f>
        <v>88536</v>
      </c>
      <c r="C106" s="6" t="n">
        <f aca="false">ROUND(CohortData!L106*Assumptions!$B$4*CohortData!I106,2)</f>
        <v>11804.8</v>
      </c>
      <c r="D106" s="6" t="n">
        <f aca="false">ROUND(CohortData!E106*Assumptions!$B$5*CohortData!I106,2)</f>
        <v>4760</v>
      </c>
      <c r="E106" s="6" t="n">
        <f aca="false">ROUND(B106*Assumptions!$B$3,2)</f>
        <v>3098.76</v>
      </c>
      <c r="F106" s="6" t="n">
        <f aca="false">ROUND(B106*Assumptions!$B$6,2)</f>
        <v>1328.04</v>
      </c>
      <c r="G106" s="6" t="n">
        <f aca="false">ROUND(CohortData!G106*CohortData!I106-CohortData!G106*Assumptions!$B$7,2)</f>
        <v>0</v>
      </c>
      <c r="H106" s="7" t="n">
        <f aca="false">SUM(B106:E106,F106:G106)</f>
        <v>109527.6</v>
      </c>
      <c r="I106" s="6" t="n">
        <f aca="false">CEILING(H106,Assumptions!$B$8)</f>
        <v>109600</v>
      </c>
      <c r="J106" s="6" t="n">
        <f aca="false">FLOOR(H106,Assumptions!$B$8)</f>
        <v>109500</v>
      </c>
      <c r="K106" s="6" t="n">
        <f aca="false">ROUNDUP(H106,Assumptions!$B$9)</f>
        <v>109528</v>
      </c>
      <c r="L106" s="6" t="n">
        <f aca="false">ROUNDDOWN(H106,Assumptions!$B$10)</f>
        <v>109527</v>
      </c>
    </row>
    <row r="107" customFormat="false" ht="15" hidden="false" customHeight="false" outlineLevel="0" collapsed="false">
      <c r="A107" s="5" t="s">
        <v>150</v>
      </c>
      <c r="B107" s="6" t="n">
        <f aca="false">ROUND(CohortData!G107*CohortData!I107,2)</f>
        <v>206241</v>
      </c>
      <c r="C107" s="6" t="n">
        <f aca="false">ROUND(CohortData!L107*Assumptions!$B$4*CohortData!I107,2)</f>
        <v>27498.8</v>
      </c>
      <c r="D107" s="6" t="n">
        <f aca="false">ROUND(CohortData!E107*Assumptions!$B$5*CohortData!I107,2)</f>
        <v>9821</v>
      </c>
      <c r="E107" s="6" t="n">
        <f aca="false">ROUND(B107*Assumptions!$B$3,2)</f>
        <v>7218.44</v>
      </c>
      <c r="F107" s="6" t="n">
        <f aca="false">ROUND(B107*Assumptions!$B$6,2)</f>
        <v>3093.62</v>
      </c>
      <c r="G107" s="6" t="n">
        <f aca="false">ROUND(CohortData!G107*CohortData!I107-CohortData!G107*Assumptions!$B$7,2)</f>
        <v>26901</v>
      </c>
      <c r="H107" s="7" t="n">
        <f aca="false">SUM(B107:E107,F107:G107)</f>
        <v>280773.86</v>
      </c>
      <c r="I107" s="6" t="n">
        <f aca="false">CEILING(H107,Assumptions!$B$8)</f>
        <v>280800</v>
      </c>
      <c r="J107" s="6" t="n">
        <f aca="false">FLOOR(H107,Assumptions!$B$8)</f>
        <v>280700</v>
      </c>
      <c r="K107" s="6" t="n">
        <f aca="false">ROUNDUP(H107,Assumptions!$B$9)</f>
        <v>280774</v>
      </c>
      <c r="L107" s="6" t="n">
        <f aca="false">ROUNDDOWN(H107,Assumptions!$B$10)</f>
        <v>280773</v>
      </c>
    </row>
    <row r="108" customFormat="false" ht="15" hidden="false" customHeight="false" outlineLevel="0" collapsed="false">
      <c r="A108" s="5" t="s">
        <v>151</v>
      </c>
      <c r="B108" s="6" t="n">
        <f aca="false">ROUND(CohortData!G108*CohortData!I108,2)</f>
        <v>149160</v>
      </c>
      <c r="C108" s="6" t="n">
        <f aca="false">ROUND(CohortData!L108*Assumptions!$B$4*CohortData!I108,2)</f>
        <v>19888</v>
      </c>
      <c r="D108" s="6" t="n">
        <f aca="false">ROUND(CohortData!E108*Assumptions!$B$5*CohortData!I108,2)</f>
        <v>9040</v>
      </c>
      <c r="E108" s="6" t="n">
        <f aca="false">ROUND(B108*Assumptions!$B$3,2)</f>
        <v>5220.6</v>
      </c>
      <c r="F108" s="6" t="n">
        <f aca="false">ROUND(B108*Assumptions!$B$6,2)</f>
        <v>2237.4</v>
      </c>
      <c r="G108" s="6" t="n">
        <f aca="false">ROUND(CohortData!G108*CohortData!I108-CohortData!G108*Assumptions!$B$7,2)</f>
        <v>0</v>
      </c>
      <c r="H108" s="7" t="n">
        <f aca="false">SUM(B108:E108,F108:G108)</f>
        <v>185546</v>
      </c>
      <c r="I108" s="6" t="n">
        <f aca="false">CEILING(H108,Assumptions!$B$8)</f>
        <v>185600</v>
      </c>
      <c r="J108" s="6" t="n">
        <f aca="false">FLOOR(H108,Assumptions!$B$8)</f>
        <v>185500</v>
      </c>
      <c r="K108" s="6" t="n">
        <f aca="false">ROUNDUP(H108,Assumptions!$B$9)</f>
        <v>185546</v>
      </c>
      <c r="L108" s="6" t="n">
        <f aca="false">ROUNDDOWN(H108,Assumptions!$B$10)</f>
        <v>185546</v>
      </c>
    </row>
    <row r="109" customFormat="false" ht="15" hidden="false" customHeight="false" outlineLevel="0" collapsed="false">
      <c r="A109" s="5" t="s">
        <v>152</v>
      </c>
      <c r="B109" s="6" t="n">
        <f aca="false">ROUND(CohortData!G109*CohortData!I109,2)</f>
        <v>143220</v>
      </c>
      <c r="C109" s="6" t="n">
        <f aca="false">ROUND(CohortData!L109*Assumptions!$B$4*CohortData!I109,2)</f>
        <v>19096</v>
      </c>
      <c r="D109" s="6" t="n">
        <f aca="false">ROUND(CohortData!E109*Assumptions!$B$5*CohortData!I109,2)</f>
        <v>7700</v>
      </c>
      <c r="E109" s="6" t="n">
        <f aca="false">ROUND(B109*Assumptions!$B$3,2)</f>
        <v>5012.7</v>
      </c>
      <c r="F109" s="6" t="n">
        <f aca="false">ROUND(B109*Assumptions!$B$6,2)</f>
        <v>2148.3</v>
      </c>
      <c r="G109" s="6" t="n">
        <f aca="false">ROUND(CohortData!G109*CohortData!I109-CohortData!G109*Assumptions!$B$7,2)</f>
        <v>0</v>
      </c>
      <c r="H109" s="7" t="n">
        <f aca="false">SUM(B109:E109,F109:G109)</f>
        <v>177177</v>
      </c>
      <c r="I109" s="6" t="n">
        <f aca="false">CEILING(H109,Assumptions!$B$8)</f>
        <v>177200</v>
      </c>
      <c r="J109" s="6" t="n">
        <f aca="false">FLOOR(H109,Assumptions!$B$8)</f>
        <v>177100</v>
      </c>
      <c r="K109" s="6" t="n">
        <f aca="false">ROUNDUP(H109,Assumptions!$B$9)</f>
        <v>177177</v>
      </c>
      <c r="L109" s="6" t="n">
        <f aca="false">ROUNDDOWN(H109,Assumptions!$B$10)</f>
        <v>177177</v>
      </c>
    </row>
    <row r="110" customFormat="false" ht="15" hidden="false" customHeight="false" outlineLevel="0" collapsed="false">
      <c r="A110" s="5" t="s">
        <v>153</v>
      </c>
      <c r="B110" s="6" t="n">
        <f aca="false">ROUND(CohortData!G110*CohortData!I110,2)</f>
        <v>89040</v>
      </c>
      <c r="C110" s="6" t="n">
        <f aca="false">ROUND(CohortData!L110*Assumptions!$B$4*CohortData!I110,2)</f>
        <v>11872</v>
      </c>
      <c r="D110" s="6" t="n">
        <f aca="false">ROUND(CohortData!E110*Assumptions!$B$5*CohortData!I110,2)</f>
        <v>4240</v>
      </c>
      <c r="E110" s="6" t="n">
        <f aca="false">ROUND(B110*Assumptions!$B$3,2)</f>
        <v>3116.4</v>
      </c>
      <c r="F110" s="6" t="n">
        <f aca="false">ROUND(B110*Assumptions!$B$6,2)</f>
        <v>1335.6</v>
      </c>
      <c r="G110" s="6" t="n">
        <f aca="false">ROUND(CohortData!G110*CohortData!I110-CohortData!G110*Assumptions!$B$7,2)</f>
        <v>0</v>
      </c>
      <c r="H110" s="7" t="n">
        <f aca="false">SUM(B110:E110,F110:G110)</f>
        <v>109604</v>
      </c>
      <c r="I110" s="6" t="n">
        <f aca="false">CEILING(H110,Assumptions!$B$8)</f>
        <v>109700</v>
      </c>
      <c r="J110" s="6" t="n">
        <f aca="false">FLOOR(H110,Assumptions!$B$8)</f>
        <v>109600</v>
      </c>
      <c r="K110" s="6" t="n">
        <f aca="false">ROUNDUP(H110,Assumptions!$B$9)</f>
        <v>109604</v>
      </c>
      <c r="L110" s="6" t="n">
        <f aca="false">ROUNDDOWN(H110,Assumptions!$B$10)</f>
        <v>109604</v>
      </c>
    </row>
    <row r="111" customFormat="false" ht="15" hidden="false" customHeight="false" outlineLevel="0" collapsed="false">
      <c r="A111" s="5" t="s">
        <v>154</v>
      </c>
      <c r="B111" s="6" t="n">
        <f aca="false">ROUND(CohortData!G111*CohortData!I111,2)</f>
        <v>170775</v>
      </c>
      <c r="C111" s="6" t="n">
        <f aca="false">ROUND(CohortData!L111*Assumptions!$B$4*CohortData!I111,2)</f>
        <v>22770</v>
      </c>
      <c r="D111" s="6" t="n">
        <f aca="false">ROUND(CohortData!E111*Assumptions!$B$5*CohortData!I111,2)</f>
        <v>10350</v>
      </c>
      <c r="E111" s="6" t="n">
        <f aca="false">ROUND(B111*Assumptions!$B$3,2)</f>
        <v>5977.13</v>
      </c>
      <c r="F111" s="6" t="n">
        <f aca="false">ROUND(B111*Assumptions!$B$6,2)</f>
        <v>2561.63</v>
      </c>
      <c r="G111" s="6" t="n">
        <f aca="false">ROUND(CohortData!G111*CohortData!I111-CohortData!G111*Assumptions!$B$7,2)</f>
        <v>22275</v>
      </c>
      <c r="H111" s="7" t="n">
        <f aca="false">SUM(B111:E111,F111:G111)</f>
        <v>234708.76</v>
      </c>
      <c r="I111" s="6" t="n">
        <f aca="false">CEILING(H111,Assumptions!$B$8)</f>
        <v>234800</v>
      </c>
      <c r="J111" s="6" t="n">
        <f aca="false">FLOOR(H111,Assumptions!$B$8)</f>
        <v>234700</v>
      </c>
      <c r="K111" s="6" t="n">
        <f aca="false">ROUNDUP(H111,Assumptions!$B$9)</f>
        <v>234709</v>
      </c>
      <c r="L111" s="6" t="n">
        <f aca="false">ROUNDDOWN(H111,Assumptions!$B$10)</f>
        <v>234708</v>
      </c>
    </row>
    <row r="112" customFormat="false" ht="15" hidden="false" customHeight="false" outlineLevel="0" collapsed="false">
      <c r="A112" s="5" t="s">
        <v>155</v>
      </c>
      <c r="B112" s="6" t="n">
        <f aca="false">ROUND(CohortData!G112*CohortData!I112,2)</f>
        <v>98952</v>
      </c>
      <c r="C112" s="6" t="n">
        <f aca="false">ROUND(CohortData!L112*Assumptions!$B$4*CohortData!I112,2)</f>
        <v>13193.6</v>
      </c>
      <c r="D112" s="6" t="n">
        <f aca="false">ROUND(CohortData!E112*Assumptions!$B$5*CohortData!I112,2)</f>
        <v>5320</v>
      </c>
      <c r="E112" s="6" t="n">
        <f aca="false">ROUND(B112*Assumptions!$B$3,2)</f>
        <v>3463.32</v>
      </c>
      <c r="F112" s="6" t="n">
        <f aca="false">ROUND(B112*Assumptions!$B$6,2)</f>
        <v>1484.28</v>
      </c>
      <c r="G112" s="6" t="n">
        <f aca="false">ROUND(CohortData!G112*CohortData!I112-CohortData!G112*Assumptions!$B$7,2)</f>
        <v>0</v>
      </c>
      <c r="H112" s="7" t="n">
        <f aca="false">SUM(B112:E112,F112:G112)</f>
        <v>122413.2</v>
      </c>
      <c r="I112" s="6" t="n">
        <f aca="false">CEILING(H112,Assumptions!$B$8)</f>
        <v>122500</v>
      </c>
      <c r="J112" s="6" t="n">
        <f aca="false">FLOOR(H112,Assumptions!$B$8)</f>
        <v>122400</v>
      </c>
      <c r="K112" s="6" t="n">
        <f aca="false">ROUNDUP(H112,Assumptions!$B$9)</f>
        <v>122414</v>
      </c>
      <c r="L112" s="6" t="n">
        <f aca="false">ROUNDDOWN(H112,Assumptions!$B$10)</f>
        <v>122413</v>
      </c>
    </row>
    <row r="113" customFormat="false" ht="15" hidden="false" customHeight="false" outlineLevel="0" collapsed="false">
      <c r="A113" s="5" t="s">
        <v>156</v>
      </c>
      <c r="B113" s="6" t="n">
        <f aca="false">ROUND(CohortData!G113*CohortData!I113,2)</f>
        <v>207060</v>
      </c>
      <c r="C113" s="6" t="n">
        <f aca="false">ROUND(CohortData!L113*Assumptions!$B$4*CohortData!I113,2)</f>
        <v>27608</v>
      </c>
      <c r="D113" s="6" t="n">
        <f aca="false">ROUND(CohortData!E113*Assumptions!$B$5*CohortData!I113,2)</f>
        <v>9860</v>
      </c>
      <c r="E113" s="6" t="n">
        <f aca="false">ROUND(B113*Assumptions!$B$3,2)</f>
        <v>7247.1</v>
      </c>
      <c r="F113" s="6" t="n">
        <f aca="false">ROUND(B113*Assumptions!$B$6,2)</f>
        <v>3105.9</v>
      </c>
      <c r="G113" s="6" t="n">
        <f aca="false">ROUND(CohortData!G113*CohortData!I113-CohortData!G113*Assumptions!$B$7,2)</f>
        <v>0</v>
      </c>
      <c r="H113" s="7" t="n">
        <f aca="false">SUM(B113:E113,F113:G113)</f>
        <v>254881</v>
      </c>
      <c r="I113" s="6" t="n">
        <f aca="false">CEILING(H113,Assumptions!$B$8)</f>
        <v>254900</v>
      </c>
      <c r="J113" s="6" t="n">
        <f aca="false">FLOOR(H113,Assumptions!$B$8)</f>
        <v>254800</v>
      </c>
      <c r="K113" s="6" t="n">
        <f aca="false">ROUNDUP(H113,Assumptions!$B$9)</f>
        <v>254881</v>
      </c>
      <c r="L113" s="6" t="n">
        <f aca="false">ROUNDDOWN(H113,Assumptions!$B$10)</f>
        <v>254881</v>
      </c>
    </row>
    <row r="114" customFormat="false" ht="15" hidden="false" customHeight="false" outlineLevel="0" collapsed="false">
      <c r="A114" s="5" t="s">
        <v>157</v>
      </c>
      <c r="B114" s="6" t="n">
        <f aca="false">ROUND(CohortData!G114*CohortData!I114,2)</f>
        <v>164010</v>
      </c>
      <c r="C114" s="6" t="n">
        <f aca="false">ROUND(CohortData!L114*Assumptions!$B$4*CohortData!I114,2)</f>
        <v>21868</v>
      </c>
      <c r="D114" s="6" t="n">
        <f aca="false">ROUND(CohortData!E114*Assumptions!$B$5*CohortData!I114,2)</f>
        <v>9940</v>
      </c>
      <c r="E114" s="6" t="n">
        <f aca="false">ROUND(B114*Assumptions!$B$3,2)</f>
        <v>5740.35</v>
      </c>
      <c r="F114" s="6" t="n">
        <f aca="false">ROUND(B114*Assumptions!$B$6,2)</f>
        <v>2460.15</v>
      </c>
      <c r="G114" s="6" t="n">
        <f aca="false">ROUND(CohortData!G114*CohortData!I114-CohortData!G114*Assumptions!$B$7,2)</f>
        <v>0</v>
      </c>
      <c r="H114" s="7" t="n">
        <f aca="false">SUM(B114:E114,F114:G114)</f>
        <v>204018.5</v>
      </c>
      <c r="I114" s="6" t="n">
        <f aca="false">CEILING(H114,Assumptions!$B$8)</f>
        <v>204100</v>
      </c>
      <c r="J114" s="6" t="n">
        <f aca="false">FLOOR(H114,Assumptions!$B$8)</f>
        <v>204000</v>
      </c>
      <c r="K114" s="6" t="n">
        <f aca="false">ROUNDUP(H114,Assumptions!$B$9)</f>
        <v>204019</v>
      </c>
      <c r="L114" s="6" t="n">
        <f aca="false">ROUNDDOWN(H114,Assumptions!$B$10)</f>
        <v>204018</v>
      </c>
    </row>
    <row r="115" customFormat="false" ht="15" hidden="false" customHeight="false" outlineLevel="0" collapsed="false">
      <c r="A115" s="5" t="s">
        <v>158</v>
      </c>
      <c r="B115" s="6" t="n">
        <f aca="false">ROUND(CohortData!G115*CohortData!I115,2)</f>
        <v>54758.4</v>
      </c>
      <c r="C115" s="6" t="n">
        <f aca="false">ROUND(CohortData!L115*Assumptions!$B$4*CohortData!I115,2)</f>
        <v>7301.12</v>
      </c>
      <c r="D115" s="6" t="n">
        <f aca="false">ROUND(CohortData!E115*Assumptions!$B$5*CohortData!I115,2)</f>
        <v>2944</v>
      </c>
      <c r="E115" s="6" t="n">
        <f aca="false">ROUND(B115*Assumptions!$B$3,2)</f>
        <v>1916.54</v>
      </c>
      <c r="F115" s="6" t="n">
        <f aca="false">ROUND(B115*Assumptions!$B$6,2)</f>
        <v>821.38</v>
      </c>
      <c r="G115" s="6" t="n">
        <f aca="false">ROUND(CohortData!G115*CohortData!I115-CohortData!G115*Assumptions!$B$7,2)</f>
        <v>7142.4</v>
      </c>
      <c r="H115" s="7" t="n">
        <f aca="false">SUM(B115:E115,F115:G115)</f>
        <v>74883.84</v>
      </c>
      <c r="I115" s="6" t="n">
        <f aca="false">CEILING(H115,Assumptions!$B$8)</f>
        <v>74900</v>
      </c>
      <c r="J115" s="6" t="n">
        <f aca="false">FLOOR(H115,Assumptions!$B$8)</f>
        <v>74800</v>
      </c>
      <c r="K115" s="6" t="n">
        <f aca="false">ROUNDUP(H115,Assumptions!$B$9)</f>
        <v>74884</v>
      </c>
      <c r="L115" s="6" t="n">
        <f aca="false">ROUNDDOWN(H115,Assumptions!$B$10)</f>
        <v>74883</v>
      </c>
    </row>
    <row r="116" customFormat="false" ht="15" hidden="false" customHeight="false" outlineLevel="0" collapsed="false">
      <c r="A116" s="5" t="s">
        <v>159</v>
      </c>
      <c r="B116" s="6" t="n">
        <f aca="false">ROUND(CohortData!G116*CohortData!I116,2)</f>
        <v>91140</v>
      </c>
      <c r="C116" s="6" t="n">
        <f aca="false">ROUND(CohortData!L116*Assumptions!$B$4*CohortData!I116,2)</f>
        <v>12152</v>
      </c>
      <c r="D116" s="6" t="n">
        <f aca="false">ROUND(CohortData!E116*Assumptions!$B$5*CohortData!I116,2)</f>
        <v>4340</v>
      </c>
      <c r="E116" s="6" t="n">
        <f aca="false">ROUND(B116*Assumptions!$B$3,2)</f>
        <v>3189.9</v>
      </c>
      <c r="F116" s="6" t="n">
        <f aca="false">ROUND(B116*Assumptions!$B$6,2)</f>
        <v>1367.1</v>
      </c>
      <c r="G116" s="6" t="n">
        <f aca="false">ROUND(CohortData!G116*CohortData!I116-CohortData!G116*Assumptions!$B$7,2)</f>
        <v>0</v>
      </c>
      <c r="H116" s="7" t="n">
        <f aca="false">SUM(B116:E116,F116:G116)</f>
        <v>112189</v>
      </c>
      <c r="I116" s="6" t="n">
        <f aca="false">CEILING(H116,Assumptions!$B$8)</f>
        <v>112200</v>
      </c>
      <c r="J116" s="6" t="n">
        <f aca="false">FLOOR(H116,Assumptions!$B$8)</f>
        <v>112100</v>
      </c>
      <c r="K116" s="6" t="n">
        <f aca="false">ROUNDUP(H116,Assumptions!$B$9)</f>
        <v>112189</v>
      </c>
      <c r="L116" s="6" t="n">
        <f aca="false">ROUNDDOWN(H116,Assumptions!$B$10)</f>
        <v>112189</v>
      </c>
    </row>
    <row r="117" customFormat="false" ht="15" hidden="false" customHeight="false" outlineLevel="0" collapsed="false">
      <c r="A117" s="5" t="s">
        <v>160</v>
      </c>
      <c r="B117" s="6" t="n">
        <f aca="false">ROUND(CohortData!G117*CohortData!I117,2)</f>
        <v>38280</v>
      </c>
      <c r="C117" s="6" t="n">
        <f aca="false">ROUND(CohortData!L117*Assumptions!$B$4*CohortData!I117,2)</f>
        <v>5104</v>
      </c>
      <c r="D117" s="6" t="n">
        <f aca="false">ROUND(CohortData!E117*Assumptions!$B$5*CohortData!I117,2)</f>
        <v>2320</v>
      </c>
      <c r="E117" s="6" t="n">
        <f aca="false">ROUND(B117*Assumptions!$B$3,2)</f>
        <v>1339.8</v>
      </c>
      <c r="F117" s="6" t="n">
        <f aca="false">ROUND(B117*Assumptions!$B$6,2)</f>
        <v>574.2</v>
      </c>
      <c r="G117" s="6" t="n">
        <f aca="false">ROUND(CohortData!G117*CohortData!I117-CohortData!G117*Assumptions!$B$7,2)</f>
        <v>0</v>
      </c>
      <c r="H117" s="7" t="n">
        <f aca="false">SUM(B117:E117,F117:G117)</f>
        <v>47618</v>
      </c>
      <c r="I117" s="6" t="n">
        <f aca="false">CEILING(H117,Assumptions!$B$8)</f>
        <v>47700</v>
      </c>
      <c r="J117" s="6" t="n">
        <f aca="false">FLOOR(H117,Assumptions!$B$8)</f>
        <v>47600</v>
      </c>
      <c r="K117" s="6" t="n">
        <f aca="false">ROUNDUP(H117,Assumptions!$B$9)</f>
        <v>47618</v>
      </c>
      <c r="L117" s="6" t="n">
        <f aca="false">ROUNDDOWN(H117,Assumptions!$B$10)</f>
        <v>47618</v>
      </c>
    </row>
    <row r="118" customFormat="false" ht="15" hidden="false" customHeight="false" outlineLevel="0" collapsed="false">
      <c r="A118" s="5" t="s">
        <v>161</v>
      </c>
      <c r="B118" s="6" t="n">
        <f aca="false">ROUND(CohortData!G118*CohortData!I118,2)</f>
        <v>97092</v>
      </c>
      <c r="C118" s="6" t="n">
        <f aca="false">ROUND(CohortData!L118*Assumptions!$B$4*CohortData!I118,2)</f>
        <v>12945.6</v>
      </c>
      <c r="D118" s="6" t="n">
        <f aca="false">ROUND(CohortData!E118*Assumptions!$B$5*CohortData!I118,2)</f>
        <v>5220</v>
      </c>
      <c r="E118" s="6" t="n">
        <f aca="false">ROUND(B118*Assumptions!$B$3,2)</f>
        <v>3398.22</v>
      </c>
      <c r="F118" s="6" t="n">
        <f aca="false">ROUND(B118*Assumptions!$B$6,2)</f>
        <v>1456.38</v>
      </c>
      <c r="G118" s="6" t="n">
        <f aca="false">ROUND(CohortData!G118*CohortData!I118-CohortData!G118*Assumptions!$B$7,2)</f>
        <v>0</v>
      </c>
      <c r="H118" s="7" t="n">
        <f aca="false">SUM(B118:E118,F118:G118)</f>
        <v>120112.2</v>
      </c>
      <c r="I118" s="6" t="n">
        <f aca="false">CEILING(H118,Assumptions!$B$8)</f>
        <v>120200</v>
      </c>
      <c r="J118" s="6" t="n">
        <f aca="false">FLOOR(H118,Assumptions!$B$8)</f>
        <v>120100</v>
      </c>
      <c r="K118" s="6" t="n">
        <f aca="false">ROUNDUP(H118,Assumptions!$B$9)</f>
        <v>120113</v>
      </c>
      <c r="L118" s="6" t="n">
        <f aca="false">ROUNDDOWN(H118,Assumptions!$B$10)</f>
        <v>120112</v>
      </c>
    </row>
    <row r="119" customFormat="false" ht="15" hidden="false" customHeight="false" outlineLevel="0" collapsed="false">
      <c r="A119" s="5" t="s">
        <v>162</v>
      </c>
      <c r="B119" s="6" t="n">
        <f aca="false">ROUND(CohortData!G119*CohortData!I119,2)</f>
        <v>147315</v>
      </c>
      <c r="C119" s="6" t="n">
        <f aca="false">ROUND(CohortData!L119*Assumptions!$B$4*CohortData!I119,2)</f>
        <v>19642</v>
      </c>
      <c r="D119" s="6" t="n">
        <f aca="false">ROUND(CohortData!E119*Assumptions!$B$5*CohortData!I119,2)</f>
        <v>7015</v>
      </c>
      <c r="E119" s="6" t="n">
        <f aca="false">ROUND(B119*Assumptions!$B$3,2)</f>
        <v>5156.03</v>
      </c>
      <c r="F119" s="6" t="n">
        <f aca="false">ROUND(B119*Assumptions!$B$6,2)</f>
        <v>2209.73</v>
      </c>
      <c r="G119" s="6" t="n">
        <f aca="false">ROUND(CohortData!G119*CohortData!I119-CohortData!G119*Assumptions!$B$7,2)</f>
        <v>19215</v>
      </c>
      <c r="H119" s="7" t="n">
        <f aca="false">SUM(B119:E119,F119:G119)</f>
        <v>200552.76</v>
      </c>
      <c r="I119" s="6" t="n">
        <f aca="false">CEILING(H119,Assumptions!$B$8)</f>
        <v>200600</v>
      </c>
      <c r="J119" s="6" t="n">
        <f aca="false">FLOOR(H119,Assumptions!$B$8)</f>
        <v>200500</v>
      </c>
      <c r="K119" s="6" t="n">
        <f aca="false">ROUNDUP(H119,Assumptions!$B$9)</f>
        <v>200553</v>
      </c>
      <c r="L119" s="6" t="n">
        <f aca="false">ROUNDDOWN(H119,Assumptions!$B$10)</f>
        <v>200552</v>
      </c>
    </row>
    <row r="120" customFormat="false" ht="15" hidden="false" customHeight="false" outlineLevel="0" collapsed="false">
      <c r="A120" s="5" t="s">
        <v>163</v>
      </c>
      <c r="B120" s="6" t="n">
        <f aca="false">ROUND(CohortData!G120*CohortData!I120,2)</f>
        <v>78210</v>
      </c>
      <c r="C120" s="6" t="n">
        <f aca="false">ROUND(CohortData!L120*Assumptions!$B$4*CohortData!I120,2)</f>
        <v>10428</v>
      </c>
      <c r="D120" s="6" t="n">
        <f aca="false">ROUND(CohortData!E120*Assumptions!$B$5*CohortData!I120,2)</f>
        <v>4740</v>
      </c>
      <c r="E120" s="6" t="n">
        <f aca="false">ROUND(B120*Assumptions!$B$3,2)</f>
        <v>2737.35</v>
      </c>
      <c r="F120" s="6" t="n">
        <f aca="false">ROUND(B120*Assumptions!$B$6,2)</f>
        <v>1173.15</v>
      </c>
      <c r="G120" s="6" t="n">
        <f aca="false">ROUND(CohortData!G120*CohortData!I120-CohortData!G120*Assumptions!$B$7,2)</f>
        <v>0</v>
      </c>
      <c r="H120" s="7" t="n">
        <f aca="false">SUM(B120:E120,F120:G120)</f>
        <v>97288.5</v>
      </c>
      <c r="I120" s="6" t="n">
        <f aca="false">CEILING(H120,Assumptions!$B$8)</f>
        <v>97300</v>
      </c>
      <c r="J120" s="6" t="n">
        <f aca="false">FLOOR(H120,Assumptions!$B$8)</f>
        <v>97200</v>
      </c>
      <c r="K120" s="6" t="n">
        <f aca="false">ROUNDUP(H120,Assumptions!$B$9)</f>
        <v>97289</v>
      </c>
      <c r="L120" s="6" t="n">
        <f aca="false">ROUNDDOWN(H120,Assumptions!$B$10)</f>
        <v>97288</v>
      </c>
    </row>
    <row r="121" customFormat="false" ht="15" hidden="false" customHeight="false" outlineLevel="0" collapsed="false">
      <c r="A121" s="5" t="s">
        <v>164</v>
      </c>
      <c r="B121" s="6" t="n">
        <f aca="false">ROUND(CohortData!G121*CohortData!I121,2)</f>
        <v>49476</v>
      </c>
      <c r="C121" s="6" t="n">
        <f aca="false">ROUND(CohortData!L121*Assumptions!$B$4*CohortData!I121,2)</f>
        <v>6596.8</v>
      </c>
      <c r="D121" s="6" t="n">
        <f aca="false">ROUND(CohortData!E121*Assumptions!$B$5*CohortData!I121,2)</f>
        <v>2660</v>
      </c>
      <c r="E121" s="6" t="n">
        <f aca="false">ROUND(B121*Assumptions!$B$3,2)</f>
        <v>1731.66</v>
      </c>
      <c r="F121" s="6" t="n">
        <f aca="false">ROUND(B121*Assumptions!$B$6,2)</f>
        <v>742.14</v>
      </c>
      <c r="G121" s="6" t="n">
        <f aca="false">ROUND(CohortData!G121*CohortData!I121-CohortData!G121*Assumptions!$B$7,2)</f>
        <v>0</v>
      </c>
      <c r="H121" s="7" t="n">
        <f aca="false">SUM(B121:E121,F121:G121)</f>
        <v>61206.6</v>
      </c>
      <c r="I121" s="6" t="n">
        <f aca="false">CEILING(H121,Assumptions!$B$8)</f>
        <v>61300</v>
      </c>
      <c r="J121" s="6" t="n">
        <f aca="false">FLOOR(H121,Assumptions!$B$8)</f>
        <v>61200</v>
      </c>
      <c r="K121" s="6" t="n">
        <f aca="false">ROUNDUP(H121,Assumptions!$B$9)</f>
        <v>61207</v>
      </c>
      <c r="L121" s="6" t="n">
        <f aca="false">ROUNDDOWN(H121,Assumptions!$B$10)</f>
        <v>61206</v>
      </c>
    </row>
    <row r="122" customFormat="false" ht="15" hidden="false" customHeight="false" outlineLevel="0" collapsed="false">
      <c r="A122" s="5" t="s">
        <v>165</v>
      </c>
      <c r="B122" s="6" t="n">
        <f aca="false">ROUND(CohortData!G122*CohortData!I122,2)</f>
        <v>87360</v>
      </c>
      <c r="C122" s="6" t="n">
        <f aca="false">ROUND(CohortData!L122*Assumptions!$B$4*CohortData!I122,2)</f>
        <v>0</v>
      </c>
      <c r="D122" s="6" t="n">
        <f aca="false">ROUND(CohortData!E122*Assumptions!$B$5*CohortData!I122,2)</f>
        <v>4160</v>
      </c>
      <c r="E122" s="6" t="n">
        <f aca="false">ROUND(B122*Assumptions!$B$3,2)</f>
        <v>3057.6</v>
      </c>
      <c r="F122" s="6" t="n">
        <f aca="false">ROUND(B122*Assumptions!$B$6,2)</f>
        <v>1310.4</v>
      </c>
      <c r="G122" s="6" t="n">
        <f aca="false">ROUND(CohortData!G122*CohortData!I122-CohortData!G122*Assumptions!$B$7,2)</f>
        <v>0</v>
      </c>
      <c r="H122" s="7" t="n">
        <f aca="false">SUM(B122:E122,F122:G122)</f>
        <v>95888</v>
      </c>
      <c r="I122" s="6" t="n">
        <f aca="false">CEILING(H122,Assumptions!$B$8)</f>
        <v>95900</v>
      </c>
      <c r="J122" s="6" t="n">
        <f aca="false">FLOOR(H122,Assumptions!$B$8)</f>
        <v>95800</v>
      </c>
      <c r="K122" s="6" t="n">
        <f aca="false">ROUNDUP(H122,Assumptions!$B$9)</f>
        <v>95888</v>
      </c>
      <c r="L122" s="6" t="n">
        <f aca="false">ROUNDDOWN(H122,Assumptions!$B$10)</f>
        <v>95888</v>
      </c>
    </row>
    <row r="123" customFormat="false" ht="15" hidden="false" customHeight="false" outlineLevel="0" collapsed="false">
      <c r="A123" s="5" t="s">
        <v>166</v>
      </c>
      <c r="B123" s="6" t="n">
        <f aca="false">ROUND(CohortData!G123*CohortData!I123,2)</f>
        <v>148005</v>
      </c>
      <c r="C123" s="6" t="n">
        <f aca="false">ROUND(CohortData!L123*Assumptions!$B$4*CohortData!I123,2)</f>
        <v>19734</v>
      </c>
      <c r="D123" s="6" t="n">
        <f aca="false">ROUND(CohortData!E123*Assumptions!$B$5*CohortData!I123,2)</f>
        <v>8970</v>
      </c>
      <c r="E123" s="6" t="n">
        <f aca="false">ROUND(B123*Assumptions!$B$3,2)</f>
        <v>5180.18</v>
      </c>
      <c r="F123" s="6" t="n">
        <f aca="false">ROUND(B123*Assumptions!$B$6,2)</f>
        <v>2220.08</v>
      </c>
      <c r="G123" s="6" t="n">
        <f aca="false">ROUND(CohortData!G123*CohortData!I123-CohortData!G123*Assumptions!$B$7,2)</f>
        <v>19305</v>
      </c>
      <c r="H123" s="7" t="n">
        <f aca="false">SUM(B123:E123,F123:G123)</f>
        <v>203414.26</v>
      </c>
      <c r="I123" s="6" t="n">
        <f aca="false">CEILING(H123,Assumptions!$B$8)</f>
        <v>203500</v>
      </c>
      <c r="J123" s="6" t="n">
        <f aca="false">FLOOR(H123,Assumptions!$B$8)</f>
        <v>203400</v>
      </c>
      <c r="K123" s="6" t="n">
        <f aca="false">ROUNDUP(H123,Assumptions!$B$9)</f>
        <v>203415</v>
      </c>
      <c r="L123" s="6" t="n">
        <f aca="false">ROUNDDOWN(H123,Assumptions!$B$10)</f>
        <v>203414</v>
      </c>
    </row>
    <row r="124" customFormat="false" ht="15" hidden="false" customHeight="false" outlineLevel="0" collapsed="false">
      <c r="A124" s="5" t="s">
        <v>167</v>
      </c>
      <c r="B124" s="6" t="n">
        <f aca="false">ROUND(CohortData!G124*CohortData!I124,2)</f>
        <v>173724</v>
      </c>
      <c r="C124" s="6" t="n">
        <f aca="false">ROUND(CohortData!L124*Assumptions!$B$4*CohortData!I124,2)</f>
        <v>23163.2</v>
      </c>
      <c r="D124" s="6" t="n">
        <f aca="false">ROUND(CohortData!E124*Assumptions!$B$5*CohortData!I124,2)</f>
        <v>9340</v>
      </c>
      <c r="E124" s="6" t="n">
        <f aca="false">ROUND(B124*Assumptions!$B$3,2)</f>
        <v>6080.34</v>
      </c>
      <c r="F124" s="6" t="n">
        <f aca="false">ROUND(B124*Assumptions!$B$6,2)</f>
        <v>2605.86</v>
      </c>
      <c r="G124" s="6" t="n">
        <f aca="false">ROUND(CohortData!G124*CohortData!I124-CohortData!G124*Assumptions!$B$7,2)</f>
        <v>0</v>
      </c>
      <c r="H124" s="7" t="n">
        <f aca="false">SUM(B124:E124,F124:G124)</f>
        <v>214913.4</v>
      </c>
      <c r="I124" s="6" t="n">
        <f aca="false">CEILING(H124,Assumptions!$B$8)</f>
        <v>215000</v>
      </c>
      <c r="J124" s="6" t="n">
        <f aca="false">FLOOR(H124,Assumptions!$B$8)</f>
        <v>214900</v>
      </c>
      <c r="K124" s="6" t="n">
        <f aca="false">ROUNDUP(H124,Assumptions!$B$9)</f>
        <v>214914</v>
      </c>
      <c r="L124" s="6" t="n">
        <f aca="false">ROUNDDOWN(H124,Assumptions!$B$10)</f>
        <v>214913</v>
      </c>
    </row>
    <row r="125" customFormat="false" ht="15" hidden="false" customHeight="false" outlineLevel="0" collapsed="false">
      <c r="A125" s="5" t="s">
        <v>168</v>
      </c>
      <c r="B125" s="6" t="n">
        <f aca="false">ROUND(CohortData!G125*CohortData!I125,2)</f>
        <v>109620</v>
      </c>
      <c r="C125" s="6" t="n">
        <f aca="false">ROUND(CohortData!L125*Assumptions!$B$4*CohortData!I125,2)</f>
        <v>14616</v>
      </c>
      <c r="D125" s="6" t="n">
        <f aca="false">ROUND(CohortData!E125*Assumptions!$B$5*CohortData!I125,2)</f>
        <v>5220</v>
      </c>
      <c r="E125" s="6" t="n">
        <f aca="false">ROUND(B125*Assumptions!$B$3,2)</f>
        <v>3836.7</v>
      </c>
      <c r="F125" s="6" t="n">
        <f aca="false">ROUND(B125*Assumptions!$B$6,2)</f>
        <v>1644.3</v>
      </c>
      <c r="G125" s="6" t="n">
        <f aca="false">ROUND(CohortData!G125*CohortData!I125-CohortData!G125*Assumptions!$B$7,2)</f>
        <v>0</v>
      </c>
      <c r="H125" s="7" t="n">
        <f aca="false">SUM(B125:E125,F125:G125)</f>
        <v>134937</v>
      </c>
      <c r="I125" s="6" t="n">
        <f aca="false">CEILING(H125,Assumptions!$B$8)</f>
        <v>135000</v>
      </c>
      <c r="J125" s="6" t="n">
        <f aca="false">FLOOR(H125,Assumptions!$B$8)</f>
        <v>134900</v>
      </c>
      <c r="K125" s="6" t="n">
        <f aca="false">ROUNDUP(H125,Assumptions!$B$9)</f>
        <v>134937</v>
      </c>
      <c r="L125" s="6" t="n">
        <f aca="false">ROUNDDOWN(H125,Assumptions!$B$10)</f>
        <v>134937</v>
      </c>
    </row>
    <row r="126" customFormat="false" ht="15" hidden="false" customHeight="false" outlineLevel="0" collapsed="false">
      <c r="A126" s="5" t="s">
        <v>169</v>
      </c>
      <c r="B126" s="6" t="n">
        <f aca="false">ROUND(CohortData!G126*CohortData!I126,2)</f>
        <v>68640</v>
      </c>
      <c r="C126" s="6" t="n">
        <f aca="false">ROUND(CohortData!L126*Assumptions!$B$4*CohortData!I126,2)</f>
        <v>9152</v>
      </c>
      <c r="D126" s="6" t="n">
        <f aca="false">ROUND(CohortData!E126*Assumptions!$B$5*CohortData!I126,2)</f>
        <v>4160</v>
      </c>
      <c r="E126" s="6" t="n">
        <f aca="false">ROUND(B126*Assumptions!$B$3,2)</f>
        <v>2402.4</v>
      </c>
      <c r="F126" s="6" t="n">
        <f aca="false">ROUND(B126*Assumptions!$B$6,2)</f>
        <v>1029.6</v>
      </c>
      <c r="G126" s="6" t="n">
        <f aca="false">ROUND(CohortData!G126*CohortData!I126-CohortData!G126*Assumptions!$B$7,2)</f>
        <v>0</v>
      </c>
      <c r="H126" s="7" t="n">
        <f aca="false">SUM(B126:E126,F126:G126)</f>
        <v>85384</v>
      </c>
      <c r="I126" s="6" t="n">
        <f aca="false">CEILING(H126,Assumptions!$B$8)</f>
        <v>85400</v>
      </c>
      <c r="J126" s="6" t="n">
        <f aca="false">FLOOR(H126,Assumptions!$B$8)</f>
        <v>85300</v>
      </c>
      <c r="K126" s="6" t="n">
        <f aca="false">ROUNDUP(H126,Assumptions!$B$9)</f>
        <v>85384</v>
      </c>
      <c r="L126" s="6" t="n">
        <f aca="false">ROUNDDOWN(H126,Assumptions!$B$10)</f>
        <v>85384</v>
      </c>
    </row>
    <row r="127" customFormat="false" ht="15" hidden="false" customHeight="false" outlineLevel="0" collapsed="false">
      <c r="A127" s="5" t="s">
        <v>170</v>
      </c>
      <c r="B127" s="6" t="n">
        <f aca="false">ROUND(CohortData!G127*CohortData!I127,2)</f>
        <v>186093</v>
      </c>
      <c r="C127" s="6" t="n">
        <f aca="false">ROUND(CohortData!L127*Assumptions!$B$4*CohortData!I127,2)</f>
        <v>24812.4</v>
      </c>
      <c r="D127" s="6" t="n">
        <f aca="false">ROUND(CohortData!E127*Assumptions!$B$5*CohortData!I127,2)</f>
        <v>10005</v>
      </c>
      <c r="E127" s="6" t="n">
        <f aca="false">ROUND(B127*Assumptions!$B$3,2)</f>
        <v>6513.26</v>
      </c>
      <c r="F127" s="6" t="n">
        <f aca="false">ROUND(B127*Assumptions!$B$6,2)</f>
        <v>2791.4</v>
      </c>
      <c r="G127" s="6" t="n">
        <f aca="false">ROUND(CohortData!G127*CohortData!I127-CohortData!G127*Assumptions!$B$7,2)</f>
        <v>24273</v>
      </c>
      <c r="H127" s="7" t="n">
        <f aca="false">SUM(B127:E127,F127:G127)</f>
        <v>254488.06</v>
      </c>
      <c r="I127" s="6" t="n">
        <f aca="false">CEILING(H127,Assumptions!$B$8)</f>
        <v>254500</v>
      </c>
      <c r="J127" s="6" t="n">
        <f aca="false">FLOOR(H127,Assumptions!$B$8)</f>
        <v>254400</v>
      </c>
      <c r="K127" s="6" t="n">
        <f aca="false">ROUNDUP(H127,Assumptions!$B$9)</f>
        <v>254489</v>
      </c>
      <c r="L127" s="6" t="n">
        <f aca="false">ROUNDDOWN(H127,Assumptions!$B$10)</f>
        <v>254488</v>
      </c>
    </row>
    <row r="128" customFormat="false" ht="15" hidden="false" customHeight="false" outlineLevel="0" collapsed="false">
      <c r="A128" s="5" t="s">
        <v>171</v>
      </c>
      <c r="B128" s="6" t="n">
        <f aca="false">ROUND(CohortData!G128*CohortData!I128,2)</f>
        <v>149100</v>
      </c>
      <c r="C128" s="6" t="n">
        <f aca="false">ROUND(CohortData!L128*Assumptions!$B$4*CohortData!I128,2)</f>
        <v>19880</v>
      </c>
      <c r="D128" s="6" t="n">
        <f aca="false">ROUND(CohortData!E128*Assumptions!$B$5*CohortData!I128,2)</f>
        <v>7100</v>
      </c>
      <c r="E128" s="6" t="n">
        <f aca="false">ROUND(B128*Assumptions!$B$3,2)</f>
        <v>5218.5</v>
      </c>
      <c r="F128" s="6" t="n">
        <f aca="false">ROUND(B128*Assumptions!$B$6,2)</f>
        <v>2236.5</v>
      </c>
      <c r="G128" s="6" t="n">
        <f aca="false">ROUND(CohortData!G128*CohortData!I128-CohortData!G128*Assumptions!$B$7,2)</f>
        <v>0</v>
      </c>
      <c r="H128" s="7" t="n">
        <f aca="false">SUM(B128:E128,F128:G128)</f>
        <v>183535</v>
      </c>
      <c r="I128" s="6" t="n">
        <f aca="false">CEILING(H128,Assumptions!$B$8)</f>
        <v>183600</v>
      </c>
      <c r="J128" s="6" t="n">
        <f aca="false">FLOOR(H128,Assumptions!$B$8)</f>
        <v>183500</v>
      </c>
      <c r="K128" s="6" t="n">
        <f aca="false">ROUNDUP(H128,Assumptions!$B$9)</f>
        <v>183535</v>
      </c>
      <c r="L128" s="6" t="n">
        <f aca="false">ROUNDDOWN(H128,Assumptions!$B$10)</f>
        <v>183535</v>
      </c>
    </row>
    <row r="129" customFormat="false" ht="15" hidden="false" customHeight="false" outlineLevel="0" collapsed="false">
      <c r="A129" s="5" t="s">
        <v>172</v>
      </c>
      <c r="B129" s="6" t="n">
        <f aca="false">ROUND(CohortData!G129*CohortData!I129,2)</f>
        <v>99660</v>
      </c>
      <c r="C129" s="6" t="n">
        <f aca="false">ROUND(CohortData!L129*Assumptions!$B$4*CohortData!I129,2)</f>
        <v>13288</v>
      </c>
      <c r="D129" s="6" t="n">
        <f aca="false">ROUND(CohortData!E129*Assumptions!$B$5*CohortData!I129,2)</f>
        <v>6040</v>
      </c>
      <c r="E129" s="6" t="n">
        <f aca="false">ROUND(B129*Assumptions!$B$3,2)</f>
        <v>3488.1</v>
      </c>
      <c r="F129" s="6" t="n">
        <f aca="false">ROUND(B129*Assumptions!$B$6,2)</f>
        <v>1494.9</v>
      </c>
      <c r="G129" s="6" t="n">
        <f aca="false">ROUND(CohortData!G129*CohortData!I129-CohortData!G129*Assumptions!$B$7,2)</f>
        <v>0</v>
      </c>
      <c r="H129" s="7" t="n">
        <f aca="false">SUM(B129:E129,F129:G129)</f>
        <v>123971</v>
      </c>
      <c r="I129" s="6" t="n">
        <f aca="false">CEILING(H129,Assumptions!$B$8)</f>
        <v>124000</v>
      </c>
      <c r="J129" s="6" t="n">
        <f aca="false">FLOOR(H129,Assumptions!$B$8)</f>
        <v>123900</v>
      </c>
      <c r="K129" s="6" t="n">
        <f aca="false">ROUNDUP(H129,Assumptions!$B$9)</f>
        <v>123971</v>
      </c>
      <c r="L129" s="6" t="n">
        <f aca="false">ROUNDDOWN(H129,Assumptions!$B$10)</f>
        <v>123971</v>
      </c>
    </row>
    <row r="130" customFormat="false" ht="15" hidden="false" customHeight="false" outlineLevel="0" collapsed="false">
      <c r="A130" s="5" t="s">
        <v>173</v>
      </c>
      <c r="B130" s="6" t="n">
        <f aca="false">ROUND(CohortData!G130*CohortData!I130,2)</f>
        <v>159588</v>
      </c>
      <c r="C130" s="6" t="n">
        <f aca="false">ROUND(CohortData!L130*Assumptions!$B$4*CohortData!I130,2)</f>
        <v>21278.4</v>
      </c>
      <c r="D130" s="6" t="n">
        <f aca="false">ROUND(CohortData!E130*Assumptions!$B$5*CohortData!I130,2)</f>
        <v>8580</v>
      </c>
      <c r="E130" s="6" t="n">
        <f aca="false">ROUND(B130*Assumptions!$B$3,2)</f>
        <v>5585.58</v>
      </c>
      <c r="F130" s="6" t="n">
        <f aca="false">ROUND(B130*Assumptions!$B$6,2)</f>
        <v>2393.82</v>
      </c>
      <c r="G130" s="6" t="n">
        <f aca="false">ROUND(CohortData!G130*CohortData!I130-CohortData!G130*Assumptions!$B$7,2)</f>
        <v>0</v>
      </c>
      <c r="H130" s="7" t="n">
        <f aca="false">SUM(B130:E130,F130:G130)</f>
        <v>197425.8</v>
      </c>
      <c r="I130" s="6" t="n">
        <f aca="false">CEILING(H130,Assumptions!$B$8)</f>
        <v>197500</v>
      </c>
      <c r="J130" s="6" t="n">
        <f aca="false">FLOOR(H130,Assumptions!$B$8)</f>
        <v>197400</v>
      </c>
      <c r="K130" s="6" t="n">
        <f aca="false">ROUNDUP(H130,Assumptions!$B$9)</f>
        <v>197426</v>
      </c>
      <c r="L130" s="6" t="n">
        <f aca="false">ROUNDDOWN(H130,Assumptions!$B$10)</f>
        <v>197425</v>
      </c>
    </row>
    <row r="131" customFormat="false" ht="15" hidden="false" customHeight="false" outlineLevel="0" collapsed="false">
      <c r="A131" s="5" t="s">
        <v>174</v>
      </c>
      <c r="B131" s="6" t="n">
        <f aca="false">ROUND(CohortData!G131*CohortData!I131,2)</f>
        <v>161322</v>
      </c>
      <c r="C131" s="6" t="n">
        <f aca="false">ROUND(CohortData!L131*Assumptions!$B$4*CohortData!I131,2)</f>
        <v>21509.6</v>
      </c>
      <c r="D131" s="6" t="n">
        <f aca="false">ROUND(CohortData!E131*Assumptions!$B$5*CohortData!I131,2)</f>
        <v>7682</v>
      </c>
      <c r="E131" s="6" t="n">
        <f aca="false">ROUND(B131*Assumptions!$B$3,2)</f>
        <v>5646.27</v>
      </c>
      <c r="F131" s="6" t="n">
        <f aca="false">ROUND(B131*Assumptions!$B$6,2)</f>
        <v>2419.83</v>
      </c>
      <c r="G131" s="6" t="n">
        <f aca="false">ROUND(CohortData!G131*CohortData!I131-CohortData!G131*Assumptions!$B$7,2)</f>
        <v>21042</v>
      </c>
      <c r="H131" s="7" t="n">
        <f aca="false">SUM(B131:E131,F131:G131)</f>
        <v>219621.7</v>
      </c>
      <c r="I131" s="6" t="n">
        <f aca="false">CEILING(H131,Assumptions!$B$8)</f>
        <v>219700</v>
      </c>
      <c r="J131" s="6" t="n">
        <f aca="false">FLOOR(H131,Assumptions!$B$8)</f>
        <v>219600</v>
      </c>
      <c r="K131" s="6" t="n">
        <f aca="false">ROUNDUP(H131,Assumptions!$B$9)</f>
        <v>219622</v>
      </c>
      <c r="L131" s="6" t="n">
        <f aca="false">ROUNDDOWN(H131,Assumptions!$B$10)</f>
        <v>219621</v>
      </c>
    </row>
    <row r="132" customFormat="false" ht="15" hidden="false" customHeight="false" outlineLevel="0" collapsed="false">
      <c r="A132" s="5" t="s">
        <v>175</v>
      </c>
      <c r="B132" s="6" t="n">
        <f aca="false">ROUND(CohortData!G132*CohortData!I132,2)</f>
        <v>57090</v>
      </c>
      <c r="C132" s="6" t="n">
        <f aca="false">ROUND(CohortData!L132*Assumptions!$B$4*CohortData!I132,2)</f>
        <v>7612</v>
      </c>
      <c r="D132" s="6" t="n">
        <f aca="false">ROUND(CohortData!E132*Assumptions!$B$5*CohortData!I132,2)</f>
        <v>3460</v>
      </c>
      <c r="E132" s="6" t="n">
        <f aca="false">ROUND(B132*Assumptions!$B$3,2)</f>
        <v>1998.15</v>
      </c>
      <c r="F132" s="6" t="n">
        <f aca="false">ROUND(B132*Assumptions!$B$6,2)</f>
        <v>856.35</v>
      </c>
      <c r="G132" s="6" t="n">
        <f aca="false">ROUND(CohortData!G132*CohortData!I132-CohortData!G132*Assumptions!$B$7,2)</f>
        <v>0</v>
      </c>
      <c r="H132" s="7" t="n">
        <f aca="false">SUM(B132:E132,F132:G132)</f>
        <v>71016.5</v>
      </c>
      <c r="I132" s="6" t="n">
        <f aca="false">CEILING(H132,Assumptions!$B$8)</f>
        <v>71100</v>
      </c>
      <c r="J132" s="6" t="n">
        <f aca="false">FLOOR(H132,Assumptions!$B$8)</f>
        <v>71000</v>
      </c>
      <c r="K132" s="6" t="n">
        <f aca="false">ROUNDUP(H132,Assumptions!$B$9)</f>
        <v>71017</v>
      </c>
      <c r="L132" s="6" t="n">
        <f aca="false">ROUNDDOWN(H132,Assumptions!$B$10)</f>
        <v>71016</v>
      </c>
    </row>
    <row r="133" customFormat="false" ht="15" hidden="false" customHeight="false" outlineLevel="0" collapsed="false">
      <c r="A133" s="5" t="s">
        <v>176</v>
      </c>
      <c r="B133" s="6" t="n">
        <f aca="false">ROUND(CohortData!G133*CohortData!I133,2)</f>
        <v>87420</v>
      </c>
      <c r="C133" s="6" t="n">
        <f aca="false">ROUND(CohortData!L133*Assumptions!$B$4*CohortData!I133,2)</f>
        <v>11656</v>
      </c>
      <c r="D133" s="6" t="n">
        <f aca="false">ROUND(CohortData!E133*Assumptions!$B$5*CohortData!I133,2)</f>
        <v>4700</v>
      </c>
      <c r="E133" s="6" t="n">
        <f aca="false">ROUND(B133*Assumptions!$B$3,2)</f>
        <v>3059.7</v>
      </c>
      <c r="F133" s="6" t="n">
        <f aca="false">ROUND(B133*Assumptions!$B$6,2)</f>
        <v>1311.3</v>
      </c>
      <c r="G133" s="6" t="n">
        <f aca="false">ROUND(CohortData!G133*CohortData!I133-CohortData!G133*Assumptions!$B$7,2)</f>
        <v>0</v>
      </c>
      <c r="H133" s="7" t="n">
        <f aca="false">SUM(B133:E133,F133:G133)</f>
        <v>108147</v>
      </c>
      <c r="I133" s="6" t="n">
        <f aca="false">CEILING(H133,Assumptions!$B$8)</f>
        <v>108200</v>
      </c>
      <c r="J133" s="6" t="n">
        <f aca="false">FLOOR(H133,Assumptions!$B$8)</f>
        <v>108100</v>
      </c>
      <c r="K133" s="6" t="n">
        <f aca="false">ROUNDUP(H133,Assumptions!$B$9)</f>
        <v>108147</v>
      </c>
      <c r="L133" s="6" t="n">
        <f aca="false">ROUNDDOWN(H133,Assumptions!$B$10)</f>
        <v>108147</v>
      </c>
    </row>
    <row r="134" customFormat="false" ht="15" hidden="false" customHeight="false" outlineLevel="0" collapsed="false">
      <c r="A134" s="5" t="s">
        <v>177</v>
      </c>
      <c r="B134" s="6" t="n">
        <f aca="false">ROUND(CohortData!G134*CohortData!I134,2)</f>
        <v>71820</v>
      </c>
      <c r="C134" s="6" t="n">
        <f aca="false">ROUND(CohortData!L134*Assumptions!$B$4*CohortData!I134,2)</f>
        <v>9576</v>
      </c>
      <c r="D134" s="6" t="n">
        <f aca="false">ROUND(CohortData!E134*Assumptions!$B$5*CohortData!I134,2)</f>
        <v>3420</v>
      </c>
      <c r="E134" s="6" t="n">
        <f aca="false">ROUND(B134*Assumptions!$B$3,2)</f>
        <v>2513.7</v>
      </c>
      <c r="F134" s="6" t="n">
        <f aca="false">ROUND(B134*Assumptions!$B$6,2)</f>
        <v>1077.3</v>
      </c>
      <c r="G134" s="6" t="n">
        <f aca="false">ROUND(CohortData!G134*CohortData!I134-CohortData!G134*Assumptions!$B$7,2)</f>
        <v>0</v>
      </c>
      <c r="H134" s="7" t="n">
        <f aca="false">SUM(B134:E134,F134:G134)</f>
        <v>88407</v>
      </c>
      <c r="I134" s="6" t="n">
        <f aca="false">CEILING(H134,Assumptions!$B$8)</f>
        <v>88500</v>
      </c>
      <c r="J134" s="6" t="n">
        <f aca="false">FLOOR(H134,Assumptions!$B$8)</f>
        <v>88400</v>
      </c>
      <c r="K134" s="6" t="n">
        <f aca="false">ROUNDUP(H134,Assumptions!$B$9)</f>
        <v>88407</v>
      </c>
      <c r="L134" s="6" t="n">
        <f aca="false">ROUNDDOWN(H134,Assumptions!$B$10)</f>
        <v>88407</v>
      </c>
    </row>
    <row r="135" customFormat="false" ht="15" hidden="false" customHeight="false" outlineLevel="0" collapsed="false">
      <c r="A135" s="5" t="s">
        <v>178</v>
      </c>
      <c r="B135" s="6" t="n">
        <f aca="false">ROUND(CohortData!G135*CohortData!I135,2)</f>
        <v>85767</v>
      </c>
      <c r="C135" s="6" t="n">
        <f aca="false">ROUND(CohortData!L135*Assumptions!$B$4*CohortData!I135,2)</f>
        <v>11435.6</v>
      </c>
      <c r="D135" s="6" t="n">
        <f aca="false">ROUND(CohortData!E135*Assumptions!$B$5*CohortData!I135,2)</f>
        <v>5198</v>
      </c>
      <c r="E135" s="6" t="n">
        <f aca="false">ROUND(B135*Assumptions!$B$3,2)</f>
        <v>3001.85</v>
      </c>
      <c r="F135" s="6" t="n">
        <f aca="false">ROUND(B135*Assumptions!$B$6,2)</f>
        <v>1286.51</v>
      </c>
      <c r="G135" s="6" t="n">
        <f aca="false">ROUND(CohortData!G135*CohortData!I135-CohortData!G135*Assumptions!$B$7,2)</f>
        <v>11187</v>
      </c>
      <c r="H135" s="7" t="n">
        <f aca="false">SUM(B135:E135,F135:G135)</f>
        <v>117875.96</v>
      </c>
      <c r="I135" s="6" t="n">
        <f aca="false">CEILING(H135,Assumptions!$B$8)</f>
        <v>117900</v>
      </c>
      <c r="J135" s="6" t="n">
        <f aca="false">FLOOR(H135,Assumptions!$B$8)</f>
        <v>117800</v>
      </c>
      <c r="K135" s="6" t="n">
        <f aca="false">ROUNDUP(H135,Assumptions!$B$9)</f>
        <v>117876</v>
      </c>
      <c r="L135" s="6" t="n">
        <f aca="false">ROUNDDOWN(H135,Assumptions!$B$10)</f>
        <v>117875</v>
      </c>
    </row>
    <row r="136" customFormat="false" ht="15" hidden="false" customHeight="false" outlineLevel="0" collapsed="false">
      <c r="A136" s="5" t="s">
        <v>179</v>
      </c>
      <c r="B136" s="6" t="n">
        <f aca="false">ROUND(CohortData!G136*CohortData!I136,2)</f>
        <v>178932</v>
      </c>
      <c r="C136" s="6" t="n">
        <f aca="false">ROUND(CohortData!L136*Assumptions!$B$4*CohortData!I136,2)</f>
        <v>23857.6</v>
      </c>
      <c r="D136" s="6" t="n">
        <f aca="false">ROUND(CohortData!E136*Assumptions!$B$5*CohortData!I136,2)</f>
        <v>9620</v>
      </c>
      <c r="E136" s="6" t="n">
        <f aca="false">ROUND(B136*Assumptions!$B$3,2)</f>
        <v>6262.62</v>
      </c>
      <c r="F136" s="6" t="n">
        <f aca="false">ROUND(B136*Assumptions!$B$6,2)</f>
        <v>2683.98</v>
      </c>
      <c r="G136" s="6" t="n">
        <f aca="false">ROUND(CohortData!G136*CohortData!I136-CohortData!G136*Assumptions!$B$7,2)</f>
        <v>0</v>
      </c>
      <c r="H136" s="7" t="n">
        <f aca="false">SUM(B136:E136,F136:G136)</f>
        <v>221356.2</v>
      </c>
      <c r="I136" s="6" t="n">
        <f aca="false">CEILING(H136,Assumptions!$B$8)</f>
        <v>221400</v>
      </c>
      <c r="J136" s="6" t="n">
        <f aca="false">FLOOR(H136,Assumptions!$B$8)</f>
        <v>221300</v>
      </c>
      <c r="K136" s="6" t="n">
        <f aca="false">ROUNDUP(H136,Assumptions!$B$9)</f>
        <v>221357</v>
      </c>
      <c r="L136" s="6" t="n">
        <f aca="false">ROUNDDOWN(H136,Assumptions!$B$10)</f>
        <v>221356</v>
      </c>
    </row>
    <row r="137" customFormat="false" ht="15" hidden="false" customHeight="false" outlineLevel="0" collapsed="false">
      <c r="A137" s="5" t="s">
        <v>180</v>
      </c>
      <c r="B137" s="6" t="n">
        <f aca="false">ROUND(CohortData!G137*CohortData!I137,2)</f>
        <v>162540</v>
      </c>
      <c r="C137" s="6" t="n">
        <f aca="false">ROUND(CohortData!L137*Assumptions!$B$4*CohortData!I137,2)</f>
        <v>21672</v>
      </c>
      <c r="D137" s="6" t="n">
        <f aca="false">ROUND(CohortData!E137*Assumptions!$B$5*CohortData!I137,2)</f>
        <v>7740</v>
      </c>
      <c r="E137" s="6" t="n">
        <f aca="false">ROUND(B137*Assumptions!$B$3,2)</f>
        <v>5688.9</v>
      </c>
      <c r="F137" s="6" t="n">
        <f aca="false">ROUND(B137*Assumptions!$B$6,2)</f>
        <v>2438.1</v>
      </c>
      <c r="G137" s="6" t="n">
        <f aca="false">ROUND(CohortData!G137*CohortData!I137-CohortData!G137*Assumptions!$B$7,2)</f>
        <v>0</v>
      </c>
      <c r="H137" s="7" t="n">
        <f aca="false">SUM(B137:E137,F137:G137)</f>
        <v>200079</v>
      </c>
      <c r="I137" s="6" t="n">
        <f aca="false">CEILING(H137,Assumptions!$B$8)</f>
        <v>200100</v>
      </c>
      <c r="J137" s="6" t="n">
        <f aca="false">FLOOR(H137,Assumptions!$B$8)</f>
        <v>200000</v>
      </c>
      <c r="K137" s="6" t="n">
        <f aca="false">ROUNDUP(H137,Assumptions!$B$9)</f>
        <v>200079</v>
      </c>
      <c r="L137" s="6" t="n">
        <f aca="false">ROUNDDOWN(H137,Assumptions!$B$10)</f>
        <v>200079</v>
      </c>
    </row>
    <row r="138" customFormat="false" ht="15" hidden="false" customHeight="false" outlineLevel="0" collapsed="false">
      <c r="A138" s="5" t="s">
        <v>181</v>
      </c>
      <c r="B138" s="6" t="n">
        <f aca="false">ROUND(CohortData!G138*CohortData!I138,2)</f>
        <v>123750</v>
      </c>
      <c r="C138" s="6" t="n">
        <f aca="false">ROUND(CohortData!L138*Assumptions!$B$4*CohortData!I138,2)</f>
        <v>16500</v>
      </c>
      <c r="D138" s="6" t="n">
        <f aca="false">ROUND(CohortData!E138*Assumptions!$B$5*CohortData!I138,2)</f>
        <v>7500</v>
      </c>
      <c r="E138" s="6" t="n">
        <f aca="false">ROUND(B138*Assumptions!$B$3,2)</f>
        <v>4331.25</v>
      </c>
      <c r="F138" s="6" t="n">
        <f aca="false">ROUND(B138*Assumptions!$B$6,2)</f>
        <v>1856.25</v>
      </c>
      <c r="G138" s="6" t="n">
        <f aca="false">ROUND(CohortData!G138*CohortData!I138-CohortData!G138*Assumptions!$B$7,2)</f>
        <v>0</v>
      </c>
      <c r="H138" s="7" t="n">
        <f aca="false">SUM(B138:E138,F138:G138)</f>
        <v>153937.5</v>
      </c>
      <c r="I138" s="6" t="n">
        <f aca="false">CEILING(H138,Assumptions!$B$8)</f>
        <v>154000</v>
      </c>
      <c r="J138" s="6" t="n">
        <f aca="false">FLOOR(H138,Assumptions!$B$8)</f>
        <v>153900</v>
      </c>
      <c r="K138" s="6" t="n">
        <f aca="false">ROUNDUP(H138,Assumptions!$B$9)</f>
        <v>153938</v>
      </c>
      <c r="L138" s="6" t="n">
        <f aca="false">ROUNDDOWN(H138,Assumptions!$B$10)</f>
        <v>153937</v>
      </c>
    </row>
    <row r="139" customFormat="false" ht="15" hidden="false" customHeight="false" outlineLevel="0" collapsed="false">
      <c r="A139" s="5" t="s">
        <v>182</v>
      </c>
      <c r="B139" s="6" t="n">
        <f aca="false">ROUND(CohortData!G139*CohortData!I139,2)</f>
        <v>100105.2</v>
      </c>
      <c r="C139" s="6" t="n">
        <f aca="false">ROUND(CohortData!L139*Assumptions!$B$4*CohortData!I139,2)</f>
        <v>0</v>
      </c>
      <c r="D139" s="6" t="n">
        <f aca="false">ROUND(CohortData!E139*Assumptions!$B$5*CohortData!I139,2)</f>
        <v>5382</v>
      </c>
      <c r="E139" s="6" t="n">
        <f aca="false">ROUND(B139*Assumptions!$B$3,2)</f>
        <v>3503.68</v>
      </c>
      <c r="F139" s="6" t="n">
        <f aca="false">ROUND(B139*Assumptions!$B$6,2)</f>
        <v>1501.58</v>
      </c>
      <c r="G139" s="6" t="n">
        <f aca="false">ROUND(CohortData!G139*CohortData!I139-CohortData!G139*Assumptions!$B$7,2)</f>
        <v>13057.2</v>
      </c>
      <c r="H139" s="7" t="n">
        <f aca="false">SUM(B139:E139,F139:G139)</f>
        <v>123549.66</v>
      </c>
      <c r="I139" s="6" t="n">
        <f aca="false">CEILING(H139,Assumptions!$B$8)</f>
        <v>123600</v>
      </c>
      <c r="J139" s="6" t="n">
        <f aca="false">FLOOR(H139,Assumptions!$B$8)</f>
        <v>123500</v>
      </c>
      <c r="K139" s="6" t="n">
        <f aca="false">ROUNDUP(H139,Assumptions!$B$9)</f>
        <v>123550</v>
      </c>
      <c r="L139" s="6" t="n">
        <f aca="false">ROUNDDOWN(H139,Assumptions!$B$10)</f>
        <v>123549</v>
      </c>
    </row>
    <row r="140" customFormat="false" ht="15" hidden="false" customHeight="false" outlineLevel="0" collapsed="false">
      <c r="A140" s="5" t="s">
        <v>183</v>
      </c>
      <c r="B140" s="6" t="n">
        <f aca="false">ROUND(CohortData!G140*CohortData!I140,2)</f>
        <v>202440</v>
      </c>
      <c r="C140" s="6" t="n">
        <f aca="false">ROUND(CohortData!L140*Assumptions!$B$4*CohortData!I140,2)</f>
        <v>26992</v>
      </c>
      <c r="D140" s="6" t="n">
        <f aca="false">ROUND(CohortData!E140*Assumptions!$B$5*CohortData!I140,2)</f>
        <v>9640</v>
      </c>
      <c r="E140" s="6" t="n">
        <f aca="false">ROUND(B140*Assumptions!$B$3,2)</f>
        <v>7085.4</v>
      </c>
      <c r="F140" s="6" t="n">
        <f aca="false">ROUND(B140*Assumptions!$B$6,2)</f>
        <v>3036.6</v>
      </c>
      <c r="G140" s="6" t="n">
        <f aca="false">ROUND(CohortData!G140*CohortData!I140-CohortData!G140*Assumptions!$B$7,2)</f>
        <v>0</v>
      </c>
      <c r="H140" s="7" t="n">
        <f aca="false">SUM(B140:E140,F140:G140)</f>
        <v>249194</v>
      </c>
      <c r="I140" s="6" t="n">
        <f aca="false">CEILING(H140,Assumptions!$B$8)</f>
        <v>249200</v>
      </c>
      <c r="J140" s="6" t="n">
        <f aca="false">FLOOR(H140,Assumptions!$B$8)</f>
        <v>249100</v>
      </c>
      <c r="K140" s="6" t="n">
        <f aca="false">ROUNDUP(H140,Assumptions!$B$9)</f>
        <v>249194</v>
      </c>
      <c r="L140" s="6" t="n">
        <f aca="false">ROUNDDOWN(H140,Assumptions!$B$10)</f>
        <v>249194</v>
      </c>
    </row>
    <row r="141" customFormat="false" ht="15" hidden="false" customHeight="false" outlineLevel="0" collapsed="false">
      <c r="A141" s="5" t="s">
        <v>184</v>
      </c>
      <c r="B141" s="6" t="n">
        <f aca="false">ROUND(CohortData!G141*CohortData!I141,2)</f>
        <v>131670</v>
      </c>
      <c r="C141" s="6" t="n">
        <f aca="false">ROUND(CohortData!L141*Assumptions!$B$4*CohortData!I141,2)</f>
        <v>17556</v>
      </c>
      <c r="D141" s="6" t="n">
        <f aca="false">ROUND(CohortData!E141*Assumptions!$B$5*CohortData!I141,2)</f>
        <v>7980</v>
      </c>
      <c r="E141" s="6" t="n">
        <f aca="false">ROUND(B141*Assumptions!$B$3,2)</f>
        <v>4608.45</v>
      </c>
      <c r="F141" s="6" t="n">
        <f aca="false">ROUND(B141*Assumptions!$B$6,2)</f>
        <v>1975.05</v>
      </c>
      <c r="G141" s="6" t="n">
        <f aca="false">ROUND(CohortData!G141*CohortData!I141-CohortData!G141*Assumptions!$B$7,2)</f>
        <v>0</v>
      </c>
      <c r="H141" s="7" t="n">
        <f aca="false">SUM(B141:E141,F141:G141)</f>
        <v>163789.5</v>
      </c>
      <c r="I141" s="6" t="n">
        <f aca="false">CEILING(H141,Assumptions!$B$8)</f>
        <v>163800</v>
      </c>
      <c r="J141" s="6" t="n">
        <f aca="false">FLOOR(H141,Assumptions!$B$8)</f>
        <v>163700</v>
      </c>
      <c r="K141" s="6" t="n">
        <f aca="false">ROUNDUP(H141,Assumptions!$B$9)</f>
        <v>163790</v>
      </c>
      <c r="L141" s="6" t="n">
        <f aca="false">ROUNDDOWN(H141,Assumptions!$B$10)</f>
        <v>163789</v>
      </c>
    </row>
    <row r="142" customFormat="false" ht="15" hidden="false" customHeight="false" outlineLevel="0" collapsed="false">
      <c r="A142" s="5" t="s">
        <v>185</v>
      </c>
      <c r="B142" s="6" t="n">
        <f aca="false">ROUND(CohortData!G142*CohortData!I142,2)</f>
        <v>118668</v>
      </c>
      <c r="C142" s="6" t="n">
        <f aca="false">ROUND(CohortData!L142*Assumptions!$B$4*CohortData!I142,2)</f>
        <v>15822.4</v>
      </c>
      <c r="D142" s="6" t="n">
        <f aca="false">ROUND(CohortData!E142*Assumptions!$B$5*CohortData!I142,2)</f>
        <v>6380</v>
      </c>
      <c r="E142" s="6" t="n">
        <f aca="false">ROUND(B142*Assumptions!$B$3,2)</f>
        <v>4153.38</v>
      </c>
      <c r="F142" s="6" t="n">
        <f aca="false">ROUND(B142*Assumptions!$B$6,2)</f>
        <v>1780.02</v>
      </c>
      <c r="G142" s="6" t="n">
        <f aca="false">ROUND(CohortData!G142*CohortData!I142-CohortData!G142*Assumptions!$B$7,2)</f>
        <v>0</v>
      </c>
      <c r="H142" s="7" t="n">
        <f aca="false">SUM(B142:E142,F142:G142)</f>
        <v>146803.8</v>
      </c>
      <c r="I142" s="6" t="n">
        <f aca="false">CEILING(H142,Assumptions!$B$8)</f>
        <v>146900</v>
      </c>
      <c r="J142" s="6" t="n">
        <f aca="false">FLOOR(H142,Assumptions!$B$8)</f>
        <v>146800</v>
      </c>
      <c r="K142" s="6" t="n">
        <f aca="false">ROUNDUP(H142,Assumptions!$B$9)</f>
        <v>146804</v>
      </c>
      <c r="L142" s="6" t="n">
        <f aca="false">ROUNDDOWN(H142,Assumptions!$B$10)</f>
        <v>146803</v>
      </c>
    </row>
    <row r="143" customFormat="false" ht="15" hidden="false" customHeight="false" outlineLevel="0" collapsed="false">
      <c r="A143" s="5" t="s">
        <v>186</v>
      </c>
      <c r="B143" s="6" t="n">
        <f aca="false">ROUND(CohortData!G143*CohortData!I143,2)</f>
        <v>192234</v>
      </c>
      <c r="C143" s="6" t="n">
        <f aca="false">ROUND(CohortData!L143*Assumptions!$B$4*CohortData!I143,2)</f>
        <v>25631.2</v>
      </c>
      <c r="D143" s="6" t="n">
        <f aca="false">ROUND(CohortData!E143*Assumptions!$B$5*CohortData!I143,2)</f>
        <v>9154</v>
      </c>
      <c r="E143" s="6" t="n">
        <f aca="false">ROUND(B143*Assumptions!$B$3,2)</f>
        <v>6728.19</v>
      </c>
      <c r="F143" s="6" t="n">
        <f aca="false">ROUND(B143*Assumptions!$B$6,2)</f>
        <v>2883.51</v>
      </c>
      <c r="G143" s="6" t="n">
        <f aca="false">ROUND(CohortData!G143*CohortData!I143-CohortData!G143*Assumptions!$B$7,2)</f>
        <v>25074</v>
      </c>
      <c r="H143" s="7" t="n">
        <f aca="false">SUM(B143:E143,F143:G143)</f>
        <v>261704.9</v>
      </c>
      <c r="I143" s="6" t="n">
        <f aca="false">CEILING(H143,Assumptions!$B$8)</f>
        <v>261800</v>
      </c>
      <c r="J143" s="6" t="n">
        <f aca="false">FLOOR(H143,Assumptions!$B$8)</f>
        <v>261700</v>
      </c>
      <c r="K143" s="6" t="n">
        <f aca="false">ROUNDUP(H143,Assumptions!$B$9)</f>
        <v>261705</v>
      </c>
      <c r="L143" s="6" t="n">
        <f aca="false">ROUNDDOWN(H143,Assumptions!$B$10)</f>
        <v>261704</v>
      </c>
    </row>
    <row r="144" customFormat="false" ht="15" hidden="false" customHeight="false" outlineLevel="0" collapsed="false">
      <c r="A144" s="5" t="s">
        <v>187</v>
      </c>
      <c r="B144" s="6" t="n">
        <f aca="false">ROUND(CohortData!G144*CohortData!I144,2)</f>
        <v>100320</v>
      </c>
      <c r="C144" s="6" t="n">
        <f aca="false">ROUND(CohortData!L144*Assumptions!$B$4*CohortData!I144,2)</f>
        <v>13376</v>
      </c>
      <c r="D144" s="6" t="n">
        <f aca="false">ROUND(CohortData!E144*Assumptions!$B$5*CohortData!I144,2)</f>
        <v>6080</v>
      </c>
      <c r="E144" s="6" t="n">
        <f aca="false">ROUND(B144*Assumptions!$B$3,2)</f>
        <v>3511.2</v>
      </c>
      <c r="F144" s="6" t="n">
        <f aca="false">ROUND(B144*Assumptions!$B$6,2)</f>
        <v>1504.8</v>
      </c>
      <c r="G144" s="6" t="n">
        <f aca="false">ROUND(CohortData!G144*CohortData!I144-CohortData!G144*Assumptions!$B$7,2)</f>
        <v>0</v>
      </c>
      <c r="H144" s="7" t="n">
        <f aca="false">SUM(B144:E144,F144:G144)</f>
        <v>124792</v>
      </c>
      <c r="I144" s="6" t="n">
        <f aca="false">CEILING(H144,Assumptions!$B$8)</f>
        <v>124800</v>
      </c>
      <c r="J144" s="6" t="n">
        <f aca="false">FLOOR(H144,Assumptions!$B$8)</f>
        <v>124700</v>
      </c>
      <c r="K144" s="6" t="n">
        <f aca="false">ROUNDUP(H144,Assumptions!$B$9)</f>
        <v>124792</v>
      </c>
      <c r="L144" s="6" t="n">
        <f aca="false">ROUNDDOWN(H144,Assumptions!$B$10)</f>
        <v>124792</v>
      </c>
    </row>
    <row r="145" customFormat="false" ht="15" hidden="false" customHeight="false" outlineLevel="0" collapsed="false">
      <c r="A145" s="5" t="s">
        <v>188</v>
      </c>
      <c r="B145" s="6" t="n">
        <f aca="false">ROUND(CohortData!G145*CohortData!I145,2)</f>
        <v>106020</v>
      </c>
      <c r="C145" s="6" t="n">
        <f aca="false">ROUND(CohortData!L145*Assumptions!$B$4*CohortData!I145,2)</f>
        <v>14136</v>
      </c>
      <c r="D145" s="6" t="n">
        <f aca="false">ROUND(CohortData!E145*Assumptions!$B$5*CohortData!I145,2)</f>
        <v>5700</v>
      </c>
      <c r="E145" s="6" t="n">
        <f aca="false">ROUND(B145*Assumptions!$B$3,2)</f>
        <v>3710.7</v>
      </c>
      <c r="F145" s="6" t="n">
        <f aca="false">ROUND(B145*Assumptions!$B$6,2)</f>
        <v>1590.3</v>
      </c>
      <c r="G145" s="6" t="n">
        <f aca="false">ROUND(CohortData!G145*CohortData!I145-CohortData!G145*Assumptions!$B$7,2)</f>
        <v>0</v>
      </c>
      <c r="H145" s="7" t="n">
        <f aca="false">SUM(B145:E145,F145:G145)</f>
        <v>131157</v>
      </c>
      <c r="I145" s="6" t="n">
        <f aca="false">CEILING(H145,Assumptions!$B$8)</f>
        <v>131200</v>
      </c>
      <c r="J145" s="6" t="n">
        <f aca="false">FLOOR(H145,Assumptions!$B$8)</f>
        <v>131100</v>
      </c>
      <c r="K145" s="6" t="n">
        <f aca="false">ROUNDUP(H145,Assumptions!$B$9)</f>
        <v>131157</v>
      </c>
      <c r="L145" s="6" t="n">
        <f aca="false">ROUNDDOWN(H145,Assumptions!$B$10)</f>
        <v>131157</v>
      </c>
    </row>
    <row r="146" customFormat="false" ht="15" hidden="false" customHeight="false" outlineLevel="0" collapsed="false">
      <c r="A146" s="5" t="s">
        <v>189</v>
      </c>
      <c r="B146" s="6" t="n">
        <f aca="false">ROUND(CohortData!G146*CohortData!I146,2)</f>
        <v>89040</v>
      </c>
      <c r="C146" s="6" t="n">
        <f aca="false">ROUND(CohortData!L146*Assumptions!$B$4*CohortData!I146,2)</f>
        <v>11872</v>
      </c>
      <c r="D146" s="6" t="n">
        <f aca="false">ROUND(CohortData!E146*Assumptions!$B$5*CohortData!I146,2)</f>
        <v>4240</v>
      </c>
      <c r="E146" s="6" t="n">
        <f aca="false">ROUND(B146*Assumptions!$B$3,2)</f>
        <v>3116.4</v>
      </c>
      <c r="F146" s="6" t="n">
        <f aca="false">ROUND(B146*Assumptions!$B$6,2)</f>
        <v>1335.6</v>
      </c>
      <c r="G146" s="6" t="n">
        <f aca="false">ROUND(CohortData!G146*CohortData!I146-CohortData!G146*Assumptions!$B$7,2)</f>
        <v>0</v>
      </c>
      <c r="H146" s="7" t="n">
        <f aca="false">SUM(B146:E146,F146:G146)</f>
        <v>109604</v>
      </c>
      <c r="I146" s="6" t="n">
        <f aca="false">CEILING(H146,Assumptions!$B$8)</f>
        <v>109700</v>
      </c>
      <c r="J146" s="6" t="n">
        <f aca="false">FLOOR(H146,Assumptions!$B$8)</f>
        <v>109600</v>
      </c>
      <c r="K146" s="6" t="n">
        <f aca="false">ROUNDUP(H146,Assumptions!$B$9)</f>
        <v>109604</v>
      </c>
      <c r="L146" s="6" t="n">
        <f aca="false">ROUNDDOWN(H146,Assumptions!$B$10)</f>
        <v>109604</v>
      </c>
    </row>
    <row r="147" customFormat="false" ht="15" hidden="false" customHeight="false" outlineLevel="0" collapsed="false">
      <c r="A147" s="5" t="s">
        <v>190</v>
      </c>
      <c r="B147" s="6" t="n">
        <f aca="false">ROUND(CohortData!G147*CohortData!I147,2)</f>
        <v>64515</v>
      </c>
      <c r="C147" s="6" t="n">
        <f aca="false">ROUND(CohortData!L147*Assumptions!$B$4*CohortData!I147,2)</f>
        <v>8602</v>
      </c>
      <c r="D147" s="6" t="n">
        <f aca="false">ROUND(CohortData!E147*Assumptions!$B$5*CohortData!I147,2)</f>
        <v>3910</v>
      </c>
      <c r="E147" s="6" t="n">
        <f aca="false">ROUND(B147*Assumptions!$B$3,2)</f>
        <v>2258.03</v>
      </c>
      <c r="F147" s="6" t="n">
        <f aca="false">ROUND(B147*Assumptions!$B$6,2)</f>
        <v>967.73</v>
      </c>
      <c r="G147" s="6" t="n">
        <f aca="false">ROUND(CohortData!G147*CohortData!I147-CohortData!G147*Assumptions!$B$7,2)</f>
        <v>8415</v>
      </c>
      <c r="H147" s="7" t="n">
        <f aca="false">SUM(B147:E147,F147:G147)</f>
        <v>88667.76</v>
      </c>
      <c r="I147" s="6" t="n">
        <f aca="false">CEILING(H147,Assumptions!$B$8)</f>
        <v>88700</v>
      </c>
      <c r="J147" s="6" t="n">
        <f aca="false">FLOOR(H147,Assumptions!$B$8)</f>
        <v>88600</v>
      </c>
      <c r="K147" s="6" t="n">
        <f aca="false">ROUNDUP(H147,Assumptions!$B$9)</f>
        <v>88668</v>
      </c>
      <c r="L147" s="6" t="n">
        <f aca="false">ROUNDDOWN(H147,Assumptions!$B$10)</f>
        <v>88667</v>
      </c>
    </row>
    <row r="148" customFormat="false" ht="15" hidden="false" customHeight="false" outlineLevel="0" collapsed="false">
      <c r="A148" s="5" t="s">
        <v>191</v>
      </c>
      <c r="B148" s="6" t="n">
        <f aca="false">ROUND(CohortData!G148*CohortData!I148,2)</f>
        <v>133920</v>
      </c>
      <c r="C148" s="6" t="n">
        <f aca="false">ROUND(CohortData!L148*Assumptions!$B$4*CohortData!I148,2)</f>
        <v>17856</v>
      </c>
      <c r="D148" s="6" t="n">
        <f aca="false">ROUND(CohortData!E148*Assumptions!$B$5*CohortData!I148,2)</f>
        <v>7200</v>
      </c>
      <c r="E148" s="6" t="n">
        <f aca="false">ROUND(B148*Assumptions!$B$3,2)</f>
        <v>4687.2</v>
      </c>
      <c r="F148" s="6" t="n">
        <f aca="false">ROUND(B148*Assumptions!$B$6,2)</f>
        <v>2008.8</v>
      </c>
      <c r="G148" s="6" t="n">
        <f aca="false">ROUND(CohortData!G148*CohortData!I148-CohortData!G148*Assumptions!$B$7,2)</f>
        <v>0</v>
      </c>
      <c r="H148" s="7" t="n">
        <f aca="false">SUM(B148:E148,F148:G148)</f>
        <v>165672</v>
      </c>
      <c r="I148" s="6" t="n">
        <f aca="false">CEILING(H148,Assumptions!$B$8)</f>
        <v>165700</v>
      </c>
      <c r="J148" s="6" t="n">
        <f aca="false">FLOOR(H148,Assumptions!$B$8)</f>
        <v>165600</v>
      </c>
      <c r="K148" s="6" t="n">
        <f aca="false">ROUNDUP(H148,Assumptions!$B$9)</f>
        <v>165672</v>
      </c>
      <c r="L148" s="6" t="n">
        <f aca="false">ROUNDDOWN(H148,Assumptions!$B$10)</f>
        <v>165672</v>
      </c>
    </row>
    <row r="149" customFormat="false" ht="15" hidden="false" customHeight="false" outlineLevel="0" collapsed="false">
      <c r="A149" s="5" t="s">
        <v>192</v>
      </c>
      <c r="B149" s="6" t="n">
        <f aca="false">ROUND(CohortData!G149*CohortData!I149,2)</f>
        <v>147840</v>
      </c>
      <c r="C149" s="6" t="n">
        <f aca="false">ROUND(CohortData!L149*Assumptions!$B$4*CohortData!I149,2)</f>
        <v>19712</v>
      </c>
      <c r="D149" s="6" t="n">
        <f aca="false">ROUND(CohortData!E149*Assumptions!$B$5*CohortData!I149,2)</f>
        <v>7040</v>
      </c>
      <c r="E149" s="6" t="n">
        <f aca="false">ROUND(B149*Assumptions!$B$3,2)</f>
        <v>5174.4</v>
      </c>
      <c r="F149" s="6" t="n">
        <f aca="false">ROUND(B149*Assumptions!$B$6,2)</f>
        <v>2217.6</v>
      </c>
      <c r="G149" s="6" t="n">
        <f aca="false">ROUND(CohortData!G149*CohortData!I149-CohortData!G149*Assumptions!$B$7,2)</f>
        <v>0</v>
      </c>
      <c r="H149" s="7" t="n">
        <f aca="false">SUM(B149:E149,F149:G149)</f>
        <v>181984</v>
      </c>
      <c r="I149" s="6" t="n">
        <f aca="false">CEILING(H149,Assumptions!$B$8)</f>
        <v>182000</v>
      </c>
      <c r="J149" s="6" t="n">
        <f aca="false">FLOOR(H149,Assumptions!$B$8)</f>
        <v>181900</v>
      </c>
      <c r="K149" s="6" t="n">
        <f aca="false">ROUNDUP(H149,Assumptions!$B$9)</f>
        <v>181984</v>
      </c>
      <c r="L149" s="6" t="n">
        <f aca="false">ROUNDDOWN(H149,Assumptions!$B$10)</f>
        <v>181984</v>
      </c>
    </row>
    <row r="150" customFormat="false" ht="15" hidden="false" customHeight="false" outlineLevel="0" collapsed="false">
      <c r="A150" s="5" t="s">
        <v>193</v>
      </c>
      <c r="B150" s="6" t="n">
        <f aca="false">ROUND(CohortData!G150*CohortData!I150,2)</f>
        <v>48180</v>
      </c>
      <c r="C150" s="6" t="n">
        <f aca="false">ROUND(CohortData!L150*Assumptions!$B$4*CohortData!I150,2)</f>
        <v>6424</v>
      </c>
      <c r="D150" s="6" t="n">
        <f aca="false">ROUND(CohortData!E150*Assumptions!$B$5*CohortData!I150,2)</f>
        <v>2920</v>
      </c>
      <c r="E150" s="6" t="n">
        <f aca="false">ROUND(B150*Assumptions!$B$3,2)</f>
        <v>1686.3</v>
      </c>
      <c r="F150" s="6" t="n">
        <f aca="false">ROUND(B150*Assumptions!$B$6,2)</f>
        <v>722.7</v>
      </c>
      <c r="G150" s="6" t="n">
        <f aca="false">ROUND(CohortData!G150*CohortData!I150-CohortData!G150*Assumptions!$B$7,2)</f>
        <v>0</v>
      </c>
      <c r="H150" s="7" t="n">
        <f aca="false">SUM(B150:E150,F150:G150)</f>
        <v>59933</v>
      </c>
      <c r="I150" s="6" t="n">
        <f aca="false">CEILING(H150,Assumptions!$B$8)</f>
        <v>60000</v>
      </c>
      <c r="J150" s="6" t="n">
        <f aca="false">FLOOR(H150,Assumptions!$B$8)</f>
        <v>59900</v>
      </c>
      <c r="K150" s="6" t="n">
        <f aca="false">ROUNDUP(H150,Assumptions!$B$9)</f>
        <v>59933</v>
      </c>
      <c r="L150" s="6" t="n">
        <f aca="false">ROUNDDOWN(H150,Assumptions!$B$10)</f>
        <v>59933</v>
      </c>
    </row>
    <row r="151" customFormat="false" ht="15" hidden="false" customHeight="false" outlineLevel="0" collapsed="false">
      <c r="A151" s="5" t="s">
        <v>194</v>
      </c>
      <c r="B151" s="6" t="n">
        <f aca="false">ROUND(CohortData!G151*CohortData!I151,2)</f>
        <v>207910.8</v>
      </c>
      <c r="C151" s="6" t="n">
        <f aca="false">ROUND(CohortData!L151*Assumptions!$B$4*CohortData!I151,2)</f>
        <v>27721.44</v>
      </c>
      <c r="D151" s="6" t="n">
        <f aca="false">ROUND(CohortData!E151*Assumptions!$B$5*CohortData!I151,2)</f>
        <v>11178</v>
      </c>
      <c r="E151" s="6" t="n">
        <f aca="false">ROUND(B151*Assumptions!$B$3,2)</f>
        <v>7276.88</v>
      </c>
      <c r="F151" s="6" t="n">
        <f aca="false">ROUND(B151*Assumptions!$B$6,2)</f>
        <v>3118.66</v>
      </c>
      <c r="G151" s="6" t="n">
        <f aca="false">ROUND(CohortData!G151*CohortData!I151-CohortData!G151*Assumptions!$B$7,2)</f>
        <v>27118.8</v>
      </c>
      <c r="H151" s="7" t="n">
        <f aca="false">SUM(B151:E151,F151:G151)</f>
        <v>284324.58</v>
      </c>
      <c r="I151" s="6" t="n">
        <f aca="false">CEILING(H151,Assumptions!$B$8)</f>
        <v>284400</v>
      </c>
      <c r="J151" s="6" t="n">
        <f aca="false">FLOOR(H151,Assumptions!$B$8)</f>
        <v>284300</v>
      </c>
      <c r="K151" s="6" t="n">
        <f aca="false">ROUNDUP(H151,Assumptions!$B$9)</f>
        <v>284325</v>
      </c>
      <c r="L151" s="6" t="n">
        <f aca="false">ROUNDDOWN(H151,Assumptions!$B$10)</f>
        <v>284324</v>
      </c>
    </row>
    <row r="152" customFormat="false" ht="15" hidden="false" customHeight="false" outlineLevel="0" collapsed="false">
      <c r="A152" s="5" t="s">
        <v>195</v>
      </c>
      <c r="B152" s="6" t="n">
        <f aca="false">ROUND(CohortData!G152*CohortData!I152,2)</f>
        <v>52080</v>
      </c>
      <c r="C152" s="6" t="n">
        <f aca="false">ROUND(CohortData!L152*Assumptions!$B$4*CohortData!I152,2)</f>
        <v>6944</v>
      </c>
      <c r="D152" s="6" t="n">
        <f aca="false">ROUND(CohortData!E152*Assumptions!$B$5*CohortData!I152,2)</f>
        <v>2480</v>
      </c>
      <c r="E152" s="6" t="n">
        <f aca="false">ROUND(B152*Assumptions!$B$3,2)</f>
        <v>1822.8</v>
      </c>
      <c r="F152" s="6" t="n">
        <f aca="false">ROUND(B152*Assumptions!$B$6,2)</f>
        <v>781.2</v>
      </c>
      <c r="G152" s="6" t="n">
        <f aca="false">ROUND(CohortData!G152*CohortData!I152-CohortData!G152*Assumptions!$B$7,2)</f>
        <v>0</v>
      </c>
      <c r="H152" s="7" t="n">
        <f aca="false">SUM(B152:E152,F152:G152)</f>
        <v>64108</v>
      </c>
      <c r="I152" s="6" t="n">
        <f aca="false">CEILING(H152,Assumptions!$B$8)</f>
        <v>64200</v>
      </c>
      <c r="J152" s="6" t="n">
        <f aca="false">FLOOR(H152,Assumptions!$B$8)</f>
        <v>64100</v>
      </c>
      <c r="K152" s="6" t="n">
        <f aca="false">ROUNDUP(H152,Assumptions!$B$9)</f>
        <v>64108</v>
      </c>
      <c r="L152" s="6" t="n">
        <f aca="false">ROUNDDOWN(H152,Assumptions!$B$10)</f>
        <v>64108</v>
      </c>
    </row>
    <row r="153" customFormat="false" ht="15" hidden="false" customHeight="false" outlineLevel="0" collapsed="false">
      <c r="A153" s="5" t="s">
        <v>196</v>
      </c>
      <c r="B153" s="6" t="n">
        <f aca="false">ROUND(CohortData!G153*CohortData!I153,2)</f>
        <v>51480</v>
      </c>
      <c r="C153" s="6" t="n">
        <f aca="false">ROUND(CohortData!L153*Assumptions!$B$4*CohortData!I153,2)</f>
        <v>6864</v>
      </c>
      <c r="D153" s="6" t="n">
        <f aca="false">ROUND(CohortData!E153*Assumptions!$B$5*CohortData!I153,2)</f>
        <v>3120</v>
      </c>
      <c r="E153" s="6" t="n">
        <f aca="false">ROUND(B153*Assumptions!$B$3,2)</f>
        <v>1801.8</v>
      </c>
      <c r="F153" s="6" t="n">
        <f aca="false">ROUND(B153*Assumptions!$B$6,2)</f>
        <v>772.2</v>
      </c>
      <c r="G153" s="6" t="n">
        <f aca="false">ROUND(CohortData!G153*CohortData!I153-CohortData!G153*Assumptions!$B$7,2)</f>
        <v>0</v>
      </c>
      <c r="H153" s="7" t="n">
        <f aca="false">SUM(B153:E153,F153:G153)</f>
        <v>64038</v>
      </c>
      <c r="I153" s="6" t="n">
        <f aca="false">CEILING(H153,Assumptions!$B$8)</f>
        <v>64100</v>
      </c>
      <c r="J153" s="6" t="n">
        <f aca="false">FLOOR(H153,Assumptions!$B$8)</f>
        <v>64000</v>
      </c>
      <c r="K153" s="6" t="n">
        <f aca="false">ROUNDUP(H153,Assumptions!$B$9)</f>
        <v>64038</v>
      </c>
      <c r="L153" s="6" t="n">
        <f aca="false">ROUNDDOWN(H153,Assumptions!$B$10)</f>
        <v>64038</v>
      </c>
    </row>
    <row r="154" customFormat="false" ht="15" hidden="false" customHeight="false" outlineLevel="0" collapsed="false">
      <c r="A154" s="5" t="s">
        <v>197</v>
      </c>
      <c r="B154" s="6" t="n">
        <f aca="false">ROUND(CohortData!G154*CohortData!I154,2)</f>
        <v>66216</v>
      </c>
      <c r="C154" s="6" t="n">
        <f aca="false">ROUND(CohortData!L154*Assumptions!$B$4*CohortData!I154,2)</f>
        <v>8828.8</v>
      </c>
      <c r="D154" s="6" t="n">
        <f aca="false">ROUND(CohortData!E154*Assumptions!$B$5*CohortData!I154,2)</f>
        <v>3560</v>
      </c>
      <c r="E154" s="6" t="n">
        <f aca="false">ROUND(B154*Assumptions!$B$3,2)</f>
        <v>2317.56</v>
      </c>
      <c r="F154" s="6" t="n">
        <f aca="false">ROUND(B154*Assumptions!$B$6,2)</f>
        <v>993.24</v>
      </c>
      <c r="G154" s="6" t="n">
        <f aca="false">ROUND(CohortData!G154*CohortData!I154-CohortData!G154*Assumptions!$B$7,2)</f>
        <v>0</v>
      </c>
      <c r="H154" s="7" t="n">
        <f aca="false">SUM(B154:E154,F154:G154)</f>
        <v>81915.6</v>
      </c>
      <c r="I154" s="6" t="n">
        <f aca="false">CEILING(H154,Assumptions!$B$8)</f>
        <v>82000</v>
      </c>
      <c r="J154" s="6" t="n">
        <f aca="false">FLOOR(H154,Assumptions!$B$8)</f>
        <v>81900</v>
      </c>
      <c r="K154" s="6" t="n">
        <f aca="false">ROUNDUP(H154,Assumptions!$B$9)</f>
        <v>81916</v>
      </c>
      <c r="L154" s="6" t="n">
        <f aca="false">ROUNDDOWN(H154,Assumptions!$B$10)</f>
        <v>81915</v>
      </c>
    </row>
    <row r="155" customFormat="false" ht="15" hidden="false" customHeight="false" outlineLevel="0" collapsed="false">
      <c r="A155" s="5" t="s">
        <v>198</v>
      </c>
      <c r="B155" s="6" t="n">
        <f aca="false">ROUND(CohortData!G155*CohortData!I155,2)</f>
        <v>203343</v>
      </c>
      <c r="C155" s="6" t="n">
        <f aca="false">ROUND(CohortData!L155*Assumptions!$B$4*CohortData!I155,2)</f>
        <v>27112.4</v>
      </c>
      <c r="D155" s="6" t="n">
        <f aca="false">ROUND(CohortData!E155*Assumptions!$B$5*CohortData!I155,2)</f>
        <v>9683</v>
      </c>
      <c r="E155" s="6" t="n">
        <f aca="false">ROUND(B155*Assumptions!$B$3,2)</f>
        <v>7117.01</v>
      </c>
      <c r="F155" s="6" t="n">
        <f aca="false">ROUND(B155*Assumptions!$B$6,2)</f>
        <v>3050.15</v>
      </c>
      <c r="G155" s="6" t="n">
        <f aca="false">ROUND(CohortData!G155*CohortData!I155-CohortData!G155*Assumptions!$B$7,2)</f>
        <v>26523</v>
      </c>
      <c r="H155" s="7" t="n">
        <f aca="false">SUM(B155:E155,F155:G155)</f>
        <v>276828.56</v>
      </c>
      <c r="I155" s="6" t="n">
        <f aca="false">CEILING(H155,Assumptions!$B$8)</f>
        <v>276900</v>
      </c>
      <c r="J155" s="6" t="n">
        <f aca="false">FLOOR(H155,Assumptions!$B$8)</f>
        <v>276800</v>
      </c>
      <c r="K155" s="6" t="n">
        <f aca="false">ROUNDUP(H155,Assumptions!$B$9)</f>
        <v>276829</v>
      </c>
      <c r="L155" s="6" t="n">
        <f aca="false">ROUNDDOWN(H155,Assumptions!$B$10)</f>
        <v>276828</v>
      </c>
    </row>
    <row r="156" customFormat="false" ht="15" hidden="false" customHeight="false" outlineLevel="0" collapsed="false">
      <c r="A156" s="5" t="s">
        <v>199</v>
      </c>
      <c r="B156" s="6" t="n">
        <f aca="false">ROUND(CohortData!G156*CohortData!I156,2)</f>
        <v>59730</v>
      </c>
      <c r="C156" s="6" t="n">
        <f aca="false">ROUND(CohortData!L156*Assumptions!$B$4*CohortData!I156,2)</f>
        <v>0</v>
      </c>
      <c r="D156" s="6" t="n">
        <f aca="false">ROUND(CohortData!E156*Assumptions!$B$5*CohortData!I156,2)</f>
        <v>3620</v>
      </c>
      <c r="E156" s="6" t="n">
        <f aca="false">ROUND(B156*Assumptions!$B$3,2)</f>
        <v>2090.55</v>
      </c>
      <c r="F156" s="6" t="n">
        <f aca="false">ROUND(B156*Assumptions!$B$6,2)</f>
        <v>895.95</v>
      </c>
      <c r="G156" s="6" t="n">
        <f aca="false">ROUND(CohortData!G156*CohortData!I156-CohortData!G156*Assumptions!$B$7,2)</f>
        <v>0</v>
      </c>
      <c r="H156" s="7" t="n">
        <f aca="false">SUM(B156:E156,F156:G156)</f>
        <v>66336.5</v>
      </c>
      <c r="I156" s="6" t="n">
        <f aca="false">CEILING(H156,Assumptions!$B$8)</f>
        <v>66400</v>
      </c>
      <c r="J156" s="6" t="n">
        <f aca="false">FLOOR(H156,Assumptions!$B$8)</f>
        <v>66300</v>
      </c>
      <c r="K156" s="6" t="n">
        <f aca="false">ROUNDUP(H156,Assumptions!$B$9)</f>
        <v>66337</v>
      </c>
      <c r="L156" s="6" t="n">
        <f aca="false">ROUNDDOWN(H156,Assumptions!$B$10)</f>
        <v>66336</v>
      </c>
    </row>
    <row r="157" customFormat="false" ht="15" hidden="false" customHeight="false" outlineLevel="0" collapsed="false">
      <c r="A157" s="5" t="s">
        <v>200</v>
      </c>
      <c r="B157" s="6" t="n">
        <f aca="false">ROUND(CohortData!G157*CohortData!I157,2)</f>
        <v>166656</v>
      </c>
      <c r="C157" s="6" t="n">
        <f aca="false">ROUND(CohortData!L157*Assumptions!$B$4*CohortData!I157,2)</f>
        <v>22220.8</v>
      </c>
      <c r="D157" s="6" t="n">
        <f aca="false">ROUND(CohortData!E157*Assumptions!$B$5*CohortData!I157,2)</f>
        <v>8960</v>
      </c>
      <c r="E157" s="6" t="n">
        <f aca="false">ROUND(B157*Assumptions!$B$3,2)</f>
        <v>5832.96</v>
      </c>
      <c r="F157" s="6" t="n">
        <f aca="false">ROUND(B157*Assumptions!$B$6,2)</f>
        <v>2499.84</v>
      </c>
      <c r="G157" s="6" t="n">
        <f aca="false">ROUND(CohortData!G157*CohortData!I157-CohortData!G157*Assumptions!$B$7,2)</f>
        <v>0</v>
      </c>
      <c r="H157" s="7" t="n">
        <f aca="false">SUM(B157:E157,F157:G157)</f>
        <v>206169.6</v>
      </c>
      <c r="I157" s="6" t="n">
        <f aca="false">CEILING(H157,Assumptions!$B$8)</f>
        <v>206200</v>
      </c>
      <c r="J157" s="6" t="n">
        <f aca="false">FLOOR(H157,Assumptions!$B$8)</f>
        <v>206100</v>
      </c>
      <c r="K157" s="6" t="n">
        <f aca="false">ROUNDUP(H157,Assumptions!$B$9)</f>
        <v>206170</v>
      </c>
      <c r="L157" s="6" t="n">
        <f aca="false">ROUNDDOWN(H157,Assumptions!$B$10)</f>
        <v>206169</v>
      </c>
    </row>
    <row r="158" customFormat="false" ht="15" hidden="false" customHeight="false" outlineLevel="0" collapsed="false">
      <c r="A158" s="5" t="s">
        <v>201</v>
      </c>
      <c r="B158" s="6" t="n">
        <f aca="false">ROUND(CohortData!G158*CohortData!I158,2)</f>
        <v>132720</v>
      </c>
      <c r="C158" s="6" t="n">
        <f aca="false">ROUND(CohortData!L158*Assumptions!$B$4*CohortData!I158,2)</f>
        <v>17696</v>
      </c>
      <c r="D158" s="6" t="n">
        <f aca="false">ROUND(CohortData!E158*Assumptions!$B$5*CohortData!I158,2)</f>
        <v>6320</v>
      </c>
      <c r="E158" s="6" t="n">
        <f aca="false">ROUND(B158*Assumptions!$B$3,2)</f>
        <v>4645.2</v>
      </c>
      <c r="F158" s="6" t="n">
        <f aca="false">ROUND(B158*Assumptions!$B$6,2)</f>
        <v>1990.8</v>
      </c>
      <c r="G158" s="6" t="n">
        <f aca="false">ROUND(CohortData!G158*CohortData!I158-CohortData!G158*Assumptions!$B$7,2)</f>
        <v>0</v>
      </c>
      <c r="H158" s="7" t="n">
        <f aca="false">SUM(B158:E158,F158:G158)</f>
        <v>163372</v>
      </c>
      <c r="I158" s="6" t="n">
        <f aca="false">CEILING(H158,Assumptions!$B$8)</f>
        <v>163400</v>
      </c>
      <c r="J158" s="6" t="n">
        <f aca="false">FLOOR(H158,Assumptions!$B$8)</f>
        <v>163300</v>
      </c>
      <c r="K158" s="6" t="n">
        <f aca="false">ROUNDUP(H158,Assumptions!$B$9)</f>
        <v>163372</v>
      </c>
      <c r="L158" s="6" t="n">
        <f aca="false">ROUNDDOWN(H158,Assumptions!$B$10)</f>
        <v>163372</v>
      </c>
    </row>
    <row r="159" customFormat="false" ht="15" hidden="false" customHeight="false" outlineLevel="0" collapsed="false">
      <c r="A159" s="5" t="s">
        <v>202</v>
      </c>
      <c r="B159" s="6" t="n">
        <f aca="false">ROUND(CohortData!G159*CohortData!I159,2)</f>
        <v>153697.5</v>
      </c>
      <c r="C159" s="6" t="n">
        <f aca="false">ROUND(CohortData!L159*Assumptions!$B$4*CohortData!I159,2)</f>
        <v>20493</v>
      </c>
      <c r="D159" s="6" t="n">
        <f aca="false">ROUND(CohortData!E159*Assumptions!$B$5*CohortData!I159,2)</f>
        <v>9315</v>
      </c>
      <c r="E159" s="6" t="n">
        <f aca="false">ROUND(B159*Assumptions!$B$3,2)</f>
        <v>5379.41</v>
      </c>
      <c r="F159" s="6" t="n">
        <f aca="false">ROUND(B159*Assumptions!$B$6,2)</f>
        <v>2305.46</v>
      </c>
      <c r="G159" s="6" t="n">
        <f aca="false">ROUND(CohortData!G159*CohortData!I159-CohortData!G159*Assumptions!$B$7,2)</f>
        <v>20047.5</v>
      </c>
      <c r="H159" s="7" t="n">
        <f aca="false">SUM(B159:E159,F159:G159)</f>
        <v>211237.87</v>
      </c>
      <c r="I159" s="6" t="n">
        <f aca="false">CEILING(H159,Assumptions!$B$8)</f>
        <v>211300</v>
      </c>
      <c r="J159" s="6" t="n">
        <f aca="false">FLOOR(H159,Assumptions!$B$8)</f>
        <v>211200</v>
      </c>
      <c r="K159" s="6" t="n">
        <f aca="false">ROUNDUP(H159,Assumptions!$B$9)</f>
        <v>211238</v>
      </c>
      <c r="L159" s="6" t="n">
        <f aca="false">ROUNDDOWN(H159,Assumptions!$B$10)</f>
        <v>211237</v>
      </c>
    </row>
    <row r="160" customFormat="false" ht="15" hidden="false" customHeight="false" outlineLevel="0" collapsed="false">
      <c r="A160" s="5" t="s">
        <v>203</v>
      </c>
      <c r="B160" s="6" t="n">
        <f aca="false">ROUND(CohortData!G160*CohortData!I160,2)</f>
        <v>49104</v>
      </c>
      <c r="C160" s="6" t="n">
        <f aca="false">ROUND(CohortData!L160*Assumptions!$B$4*CohortData!I160,2)</f>
        <v>6547.2</v>
      </c>
      <c r="D160" s="6" t="n">
        <f aca="false">ROUND(CohortData!E160*Assumptions!$B$5*CohortData!I160,2)</f>
        <v>2640</v>
      </c>
      <c r="E160" s="6" t="n">
        <f aca="false">ROUND(B160*Assumptions!$B$3,2)</f>
        <v>1718.64</v>
      </c>
      <c r="F160" s="6" t="n">
        <f aca="false">ROUND(B160*Assumptions!$B$6,2)</f>
        <v>736.56</v>
      </c>
      <c r="G160" s="6" t="n">
        <f aca="false">ROUND(CohortData!G160*CohortData!I160-CohortData!G160*Assumptions!$B$7,2)</f>
        <v>0</v>
      </c>
      <c r="H160" s="7" t="n">
        <f aca="false">SUM(B160:E160,F160:G160)</f>
        <v>60746.4</v>
      </c>
      <c r="I160" s="6" t="n">
        <f aca="false">CEILING(H160,Assumptions!$B$8)</f>
        <v>60800</v>
      </c>
      <c r="J160" s="6" t="n">
        <f aca="false">FLOOR(H160,Assumptions!$B$8)</f>
        <v>60700</v>
      </c>
      <c r="K160" s="6" t="n">
        <f aca="false">ROUNDUP(H160,Assumptions!$B$9)</f>
        <v>60747</v>
      </c>
      <c r="L160" s="6" t="n">
        <f aca="false">ROUNDDOWN(H160,Assumptions!$B$10)</f>
        <v>60746</v>
      </c>
    </row>
    <row r="161" customFormat="false" ht="15" hidden="false" customHeight="false" outlineLevel="0" collapsed="false">
      <c r="A161" s="5" t="s">
        <v>204</v>
      </c>
      <c r="B161" s="6" t="n">
        <f aca="false">ROUND(CohortData!G161*CohortData!I161,2)</f>
        <v>124740</v>
      </c>
      <c r="C161" s="6" t="n">
        <f aca="false">ROUND(CohortData!L161*Assumptions!$B$4*CohortData!I161,2)</f>
        <v>16632</v>
      </c>
      <c r="D161" s="6" t="n">
        <f aca="false">ROUND(CohortData!E161*Assumptions!$B$5*CohortData!I161,2)</f>
        <v>5940</v>
      </c>
      <c r="E161" s="6" t="n">
        <f aca="false">ROUND(B161*Assumptions!$B$3,2)</f>
        <v>4365.9</v>
      </c>
      <c r="F161" s="6" t="n">
        <f aca="false">ROUND(B161*Assumptions!$B$6,2)</f>
        <v>1871.1</v>
      </c>
      <c r="G161" s="6" t="n">
        <f aca="false">ROUND(CohortData!G161*CohortData!I161-CohortData!G161*Assumptions!$B$7,2)</f>
        <v>0</v>
      </c>
      <c r="H161" s="7" t="n">
        <f aca="false">SUM(B161:E161,F161:G161)</f>
        <v>153549</v>
      </c>
      <c r="I161" s="6" t="n">
        <f aca="false">CEILING(H161,Assumptions!$B$8)</f>
        <v>153600</v>
      </c>
      <c r="J161" s="6" t="n">
        <f aca="false">FLOOR(H161,Assumptions!$B$8)</f>
        <v>153500</v>
      </c>
      <c r="K161" s="6" t="n">
        <f aca="false">ROUNDUP(H161,Assumptions!$B$9)</f>
        <v>153549</v>
      </c>
      <c r="L161" s="6" t="n">
        <f aca="false">ROUNDDOWN(H161,Assumptions!$B$10)</f>
        <v>153549</v>
      </c>
    </row>
    <row r="162" customFormat="false" ht="15" hidden="false" customHeight="false" outlineLevel="0" collapsed="false">
      <c r="A162" s="5" t="s">
        <v>205</v>
      </c>
      <c r="B162" s="6" t="n">
        <f aca="false">ROUND(CohortData!G162*CohortData!I162,2)</f>
        <v>97350</v>
      </c>
      <c r="C162" s="6" t="n">
        <f aca="false">ROUND(CohortData!L162*Assumptions!$B$4*CohortData!I162,2)</f>
        <v>12980</v>
      </c>
      <c r="D162" s="6" t="n">
        <f aca="false">ROUND(CohortData!E162*Assumptions!$B$5*CohortData!I162,2)</f>
        <v>5900</v>
      </c>
      <c r="E162" s="6" t="n">
        <f aca="false">ROUND(B162*Assumptions!$B$3,2)</f>
        <v>3407.25</v>
      </c>
      <c r="F162" s="6" t="n">
        <f aca="false">ROUND(B162*Assumptions!$B$6,2)</f>
        <v>1460.25</v>
      </c>
      <c r="G162" s="6" t="n">
        <f aca="false">ROUND(CohortData!G162*CohortData!I162-CohortData!G162*Assumptions!$B$7,2)</f>
        <v>0</v>
      </c>
      <c r="H162" s="7" t="n">
        <f aca="false">SUM(B162:E162,F162:G162)</f>
        <v>121097.5</v>
      </c>
      <c r="I162" s="6" t="n">
        <f aca="false">CEILING(H162,Assumptions!$B$8)</f>
        <v>121100</v>
      </c>
      <c r="J162" s="6" t="n">
        <f aca="false">FLOOR(H162,Assumptions!$B$8)</f>
        <v>121000</v>
      </c>
      <c r="K162" s="6" t="n">
        <f aca="false">ROUNDUP(H162,Assumptions!$B$9)</f>
        <v>121098</v>
      </c>
      <c r="L162" s="6" t="n">
        <f aca="false">ROUNDDOWN(H162,Assumptions!$B$10)</f>
        <v>121097</v>
      </c>
    </row>
    <row r="163" customFormat="false" ht="15" hidden="false" customHeight="false" outlineLevel="0" collapsed="false">
      <c r="A163" s="5" t="s">
        <v>206</v>
      </c>
      <c r="B163" s="6" t="n">
        <f aca="false">ROUND(CohortData!G163*CohortData!I163,2)</f>
        <v>173259</v>
      </c>
      <c r="C163" s="6" t="n">
        <f aca="false">ROUND(CohortData!L163*Assumptions!$B$4*CohortData!I163,2)</f>
        <v>23101.2</v>
      </c>
      <c r="D163" s="6" t="n">
        <f aca="false">ROUND(CohortData!E163*Assumptions!$B$5*CohortData!I163,2)</f>
        <v>9315</v>
      </c>
      <c r="E163" s="6" t="n">
        <f aca="false">ROUND(B163*Assumptions!$B$3,2)</f>
        <v>6064.07</v>
      </c>
      <c r="F163" s="6" t="n">
        <f aca="false">ROUND(B163*Assumptions!$B$6,2)</f>
        <v>2598.89</v>
      </c>
      <c r="G163" s="6" t="n">
        <f aca="false">ROUND(CohortData!G163*CohortData!I163-CohortData!G163*Assumptions!$B$7,2)</f>
        <v>22599</v>
      </c>
      <c r="H163" s="7" t="n">
        <f aca="false">SUM(B163:E163,F163:G163)</f>
        <v>236937.16</v>
      </c>
      <c r="I163" s="6" t="n">
        <f aca="false">CEILING(H163,Assumptions!$B$8)</f>
        <v>237000</v>
      </c>
      <c r="J163" s="6" t="n">
        <f aca="false">FLOOR(H163,Assumptions!$B$8)</f>
        <v>236900</v>
      </c>
      <c r="K163" s="6" t="n">
        <f aca="false">ROUNDUP(H163,Assumptions!$B$9)</f>
        <v>236938</v>
      </c>
      <c r="L163" s="6" t="n">
        <f aca="false">ROUNDDOWN(H163,Assumptions!$B$10)</f>
        <v>236937</v>
      </c>
    </row>
    <row r="164" customFormat="false" ht="15" hidden="false" customHeight="false" outlineLevel="0" collapsed="false">
      <c r="A164" s="5" t="s">
        <v>207</v>
      </c>
      <c r="B164" s="6" t="n">
        <f aca="false">ROUND(CohortData!G164*CohortData!I164,2)</f>
        <v>142380</v>
      </c>
      <c r="C164" s="6" t="n">
        <f aca="false">ROUND(CohortData!L164*Assumptions!$B$4*CohortData!I164,2)</f>
        <v>18984</v>
      </c>
      <c r="D164" s="6" t="n">
        <f aca="false">ROUND(CohortData!E164*Assumptions!$B$5*CohortData!I164,2)</f>
        <v>6780</v>
      </c>
      <c r="E164" s="6" t="n">
        <f aca="false">ROUND(B164*Assumptions!$B$3,2)</f>
        <v>4983.3</v>
      </c>
      <c r="F164" s="6" t="n">
        <f aca="false">ROUND(B164*Assumptions!$B$6,2)</f>
        <v>2135.7</v>
      </c>
      <c r="G164" s="6" t="n">
        <f aca="false">ROUND(CohortData!G164*CohortData!I164-CohortData!G164*Assumptions!$B$7,2)</f>
        <v>0</v>
      </c>
      <c r="H164" s="7" t="n">
        <f aca="false">SUM(B164:E164,F164:G164)</f>
        <v>175263</v>
      </c>
      <c r="I164" s="6" t="n">
        <f aca="false">CEILING(H164,Assumptions!$B$8)</f>
        <v>175300</v>
      </c>
      <c r="J164" s="6" t="n">
        <f aca="false">FLOOR(H164,Assumptions!$B$8)</f>
        <v>175200</v>
      </c>
      <c r="K164" s="6" t="n">
        <f aca="false">ROUNDUP(H164,Assumptions!$B$9)</f>
        <v>175263</v>
      </c>
      <c r="L164" s="6" t="n">
        <f aca="false">ROUNDDOWN(H164,Assumptions!$B$10)</f>
        <v>175263</v>
      </c>
    </row>
    <row r="165" customFormat="false" ht="15" hidden="false" customHeight="false" outlineLevel="0" collapsed="false">
      <c r="A165" s="5" t="s">
        <v>208</v>
      </c>
      <c r="B165" s="6" t="n">
        <f aca="false">ROUND(CohortData!G165*CohortData!I165,2)</f>
        <v>122100</v>
      </c>
      <c r="C165" s="6" t="n">
        <f aca="false">ROUND(CohortData!L165*Assumptions!$B$4*CohortData!I165,2)</f>
        <v>16280</v>
      </c>
      <c r="D165" s="6" t="n">
        <f aca="false">ROUND(CohortData!E165*Assumptions!$B$5*CohortData!I165,2)</f>
        <v>7400</v>
      </c>
      <c r="E165" s="6" t="n">
        <f aca="false">ROUND(B165*Assumptions!$B$3,2)</f>
        <v>4273.5</v>
      </c>
      <c r="F165" s="6" t="n">
        <f aca="false">ROUND(B165*Assumptions!$B$6,2)</f>
        <v>1831.5</v>
      </c>
      <c r="G165" s="6" t="n">
        <f aca="false">ROUND(CohortData!G165*CohortData!I165-CohortData!G165*Assumptions!$B$7,2)</f>
        <v>0</v>
      </c>
      <c r="H165" s="7" t="n">
        <f aca="false">SUM(B165:E165,F165:G165)</f>
        <v>151885</v>
      </c>
      <c r="I165" s="6" t="n">
        <f aca="false">CEILING(H165,Assumptions!$B$8)</f>
        <v>151900</v>
      </c>
      <c r="J165" s="6" t="n">
        <f aca="false">FLOOR(H165,Assumptions!$B$8)</f>
        <v>151800</v>
      </c>
      <c r="K165" s="6" t="n">
        <f aca="false">ROUNDUP(H165,Assumptions!$B$9)</f>
        <v>151885</v>
      </c>
      <c r="L165" s="6" t="n">
        <f aca="false">ROUNDDOWN(H165,Assumptions!$B$10)</f>
        <v>151885</v>
      </c>
    </row>
    <row r="166" customFormat="false" ht="15" hidden="false" customHeight="false" outlineLevel="0" collapsed="false">
      <c r="A166" s="5" t="s">
        <v>209</v>
      </c>
      <c r="B166" s="6" t="n">
        <f aca="false">ROUND(CohortData!G166*CohortData!I166,2)</f>
        <v>84816</v>
      </c>
      <c r="C166" s="6" t="n">
        <f aca="false">ROUND(CohortData!L166*Assumptions!$B$4*CohortData!I166,2)</f>
        <v>11308.8</v>
      </c>
      <c r="D166" s="6" t="n">
        <f aca="false">ROUND(CohortData!E166*Assumptions!$B$5*CohortData!I166,2)</f>
        <v>4560</v>
      </c>
      <c r="E166" s="6" t="n">
        <f aca="false">ROUND(B166*Assumptions!$B$3,2)</f>
        <v>2968.56</v>
      </c>
      <c r="F166" s="6" t="n">
        <f aca="false">ROUND(B166*Assumptions!$B$6,2)</f>
        <v>1272.24</v>
      </c>
      <c r="G166" s="6" t="n">
        <f aca="false">ROUND(CohortData!G166*CohortData!I166-CohortData!G166*Assumptions!$B$7,2)</f>
        <v>0</v>
      </c>
      <c r="H166" s="7" t="n">
        <f aca="false">SUM(B166:E166,F166:G166)</f>
        <v>104925.6</v>
      </c>
      <c r="I166" s="6" t="n">
        <f aca="false">CEILING(H166,Assumptions!$B$8)</f>
        <v>105000</v>
      </c>
      <c r="J166" s="6" t="n">
        <f aca="false">FLOOR(H166,Assumptions!$B$8)</f>
        <v>104900</v>
      </c>
      <c r="K166" s="6" t="n">
        <f aca="false">ROUNDUP(H166,Assumptions!$B$9)</f>
        <v>104926</v>
      </c>
      <c r="L166" s="6" t="n">
        <f aca="false">ROUNDDOWN(H166,Assumptions!$B$10)</f>
        <v>104925</v>
      </c>
    </row>
    <row r="167" customFormat="false" ht="15" hidden="false" customHeight="false" outlineLevel="0" collapsed="false">
      <c r="A167" s="5" t="s">
        <v>210</v>
      </c>
      <c r="B167" s="6" t="n">
        <f aca="false">ROUND(CohortData!G167*CohortData!I167,2)</f>
        <v>184989</v>
      </c>
      <c r="C167" s="6" t="n">
        <f aca="false">ROUND(CohortData!L167*Assumptions!$B$4*CohortData!I167,2)</f>
        <v>24665.2</v>
      </c>
      <c r="D167" s="6" t="n">
        <f aca="false">ROUND(CohortData!E167*Assumptions!$B$5*CohortData!I167,2)</f>
        <v>8809</v>
      </c>
      <c r="E167" s="6" t="n">
        <f aca="false">ROUND(B167*Assumptions!$B$3,2)</f>
        <v>6474.62</v>
      </c>
      <c r="F167" s="6" t="n">
        <f aca="false">ROUND(B167*Assumptions!$B$6,2)</f>
        <v>2774.84</v>
      </c>
      <c r="G167" s="6" t="n">
        <f aca="false">ROUND(CohortData!G167*CohortData!I167-CohortData!G167*Assumptions!$B$7,2)</f>
        <v>24129</v>
      </c>
      <c r="H167" s="7" t="n">
        <f aca="false">SUM(B167:E167,F167:G167)</f>
        <v>251841.66</v>
      </c>
      <c r="I167" s="6" t="n">
        <f aca="false">CEILING(H167,Assumptions!$B$8)</f>
        <v>251900</v>
      </c>
      <c r="J167" s="6" t="n">
        <f aca="false">FLOOR(H167,Assumptions!$B$8)</f>
        <v>251800</v>
      </c>
      <c r="K167" s="6" t="n">
        <f aca="false">ROUNDUP(H167,Assumptions!$B$9)</f>
        <v>251842</v>
      </c>
      <c r="L167" s="6" t="n">
        <f aca="false">ROUNDDOWN(H167,Assumptions!$B$10)</f>
        <v>251841</v>
      </c>
    </row>
    <row r="168" customFormat="false" ht="15" hidden="false" customHeight="false" outlineLevel="0" collapsed="false">
      <c r="A168" s="5" t="s">
        <v>211</v>
      </c>
      <c r="B168" s="6" t="n">
        <f aca="false">ROUND(CohortData!G168*CohortData!I168,2)</f>
        <v>34650</v>
      </c>
      <c r="C168" s="6" t="n">
        <f aca="false">ROUND(CohortData!L168*Assumptions!$B$4*CohortData!I168,2)</f>
        <v>4620</v>
      </c>
      <c r="D168" s="6" t="n">
        <f aca="false">ROUND(CohortData!E168*Assumptions!$B$5*CohortData!I168,2)</f>
        <v>2100</v>
      </c>
      <c r="E168" s="6" t="n">
        <f aca="false">ROUND(B168*Assumptions!$B$3,2)</f>
        <v>1212.75</v>
      </c>
      <c r="F168" s="6" t="n">
        <f aca="false">ROUND(B168*Assumptions!$B$6,2)</f>
        <v>519.75</v>
      </c>
      <c r="G168" s="6" t="n">
        <f aca="false">ROUND(CohortData!G168*CohortData!I168-CohortData!G168*Assumptions!$B$7,2)</f>
        <v>0</v>
      </c>
      <c r="H168" s="7" t="n">
        <f aca="false">SUM(B168:E168,F168:G168)</f>
        <v>43102.5</v>
      </c>
      <c r="I168" s="6" t="n">
        <f aca="false">CEILING(H168,Assumptions!$B$8)</f>
        <v>43200</v>
      </c>
      <c r="J168" s="6" t="n">
        <f aca="false">FLOOR(H168,Assumptions!$B$8)</f>
        <v>43100</v>
      </c>
      <c r="K168" s="6" t="n">
        <f aca="false">ROUNDUP(H168,Assumptions!$B$9)</f>
        <v>43103</v>
      </c>
      <c r="L168" s="6" t="n">
        <f aca="false">ROUNDDOWN(H168,Assumptions!$B$10)</f>
        <v>43102</v>
      </c>
    </row>
    <row r="169" customFormat="false" ht="15" hidden="false" customHeight="false" outlineLevel="0" collapsed="false">
      <c r="A169" s="5" t="s">
        <v>212</v>
      </c>
      <c r="B169" s="6" t="n">
        <f aca="false">ROUND(CohortData!G169*CohortData!I169,2)</f>
        <v>166656</v>
      </c>
      <c r="C169" s="6" t="n">
        <f aca="false">ROUND(CohortData!L169*Assumptions!$B$4*CohortData!I169,2)</f>
        <v>22220.8</v>
      </c>
      <c r="D169" s="6" t="n">
        <f aca="false">ROUND(CohortData!E169*Assumptions!$B$5*CohortData!I169,2)</f>
        <v>8960</v>
      </c>
      <c r="E169" s="6" t="n">
        <f aca="false">ROUND(B169*Assumptions!$B$3,2)</f>
        <v>5832.96</v>
      </c>
      <c r="F169" s="6" t="n">
        <f aca="false">ROUND(B169*Assumptions!$B$6,2)</f>
        <v>2499.84</v>
      </c>
      <c r="G169" s="6" t="n">
        <f aca="false">ROUND(CohortData!G169*CohortData!I169-CohortData!G169*Assumptions!$B$7,2)</f>
        <v>0</v>
      </c>
      <c r="H169" s="7" t="n">
        <f aca="false">SUM(B169:E169,F169:G169)</f>
        <v>206169.6</v>
      </c>
      <c r="I169" s="6" t="n">
        <f aca="false">CEILING(H169,Assumptions!$B$8)</f>
        <v>206200</v>
      </c>
      <c r="J169" s="6" t="n">
        <f aca="false">FLOOR(H169,Assumptions!$B$8)</f>
        <v>206100</v>
      </c>
      <c r="K169" s="6" t="n">
        <f aca="false">ROUNDUP(H169,Assumptions!$B$9)</f>
        <v>206170</v>
      </c>
      <c r="L169" s="6" t="n">
        <f aca="false">ROUNDDOWN(H169,Assumptions!$B$10)</f>
        <v>206169</v>
      </c>
    </row>
    <row r="170" customFormat="false" ht="15" hidden="false" customHeight="false" outlineLevel="0" collapsed="false">
      <c r="A170" s="5" t="s">
        <v>213</v>
      </c>
      <c r="B170" s="6" t="n">
        <f aca="false">ROUND(CohortData!G170*CohortData!I170,2)</f>
        <v>196980</v>
      </c>
      <c r="C170" s="6" t="n">
        <f aca="false">ROUND(CohortData!L170*Assumptions!$B$4*CohortData!I170,2)</f>
        <v>26264</v>
      </c>
      <c r="D170" s="6" t="n">
        <f aca="false">ROUND(CohortData!E170*Assumptions!$B$5*CohortData!I170,2)</f>
        <v>9380</v>
      </c>
      <c r="E170" s="6" t="n">
        <f aca="false">ROUND(B170*Assumptions!$B$3,2)</f>
        <v>6894.3</v>
      </c>
      <c r="F170" s="6" t="n">
        <f aca="false">ROUND(B170*Assumptions!$B$6,2)</f>
        <v>2954.7</v>
      </c>
      <c r="G170" s="6" t="n">
        <f aca="false">ROUND(CohortData!G170*CohortData!I170-CohortData!G170*Assumptions!$B$7,2)</f>
        <v>0</v>
      </c>
      <c r="H170" s="7" t="n">
        <f aca="false">SUM(B170:E170,F170:G170)</f>
        <v>242473</v>
      </c>
      <c r="I170" s="6" t="n">
        <f aca="false">CEILING(H170,Assumptions!$B$8)</f>
        <v>242500</v>
      </c>
      <c r="J170" s="6" t="n">
        <f aca="false">FLOOR(H170,Assumptions!$B$8)</f>
        <v>242400</v>
      </c>
      <c r="K170" s="6" t="n">
        <f aca="false">ROUNDUP(H170,Assumptions!$B$9)</f>
        <v>242473</v>
      </c>
      <c r="L170" s="6" t="n">
        <f aca="false">ROUNDDOWN(H170,Assumptions!$B$10)</f>
        <v>242473</v>
      </c>
    </row>
    <row r="171" customFormat="false" ht="15" hidden="false" customHeight="false" outlineLevel="0" collapsed="false">
      <c r="A171" s="5" t="s">
        <v>214</v>
      </c>
      <c r="B171" s="6" t="n">
        <f aca="false">ROUND(CohortData!G171*CohortData!I171,2)</f>
        <v>59961</v>
      </c>
      <c r="C171" s="6" t="n">
        <f aca="false">ROUND(CohortData!L171*Assumptions!$B$4*CohortData!I171,2)</f>
        <v>7994.8</v>
      </c>
      <c r="D171" s="6" t="n">
        <f aca="false">ROUND(CohortData!E171*Assumptions!$B$5*CohortData!I171,2)</f>
        <v>3634</v>
      </c>
      <c r="E171" s="6" t="n">
        <f aca="false">ROUND(B171*Assumptions!$B$3,2)</f>
        <v>2098.64</v>
      </c>
      <c r="F171" s="6" t="n">
        <f aca="false">ROUND(B171*Assumptions!$B$6,2)</f>
        <v>899.42</v>
      </c>
      <c r="G171" s="6" t="n">
        <f aca="false">ROUND(CohortData!G171*CohortData!I171-CohortData!G171*Assumptions!$B$7,2)</f>
        <v>7821</v>
      </c>
      <c r="H171" s="7" t="n">
        <f aca="false">SUM(B171:E171,F171:G171)</f>
        <v>82408.86</v>
      </c>
      <c r="I171" s="6" t="n">
        <f aca="false">CEILING(H171,Assumptions!$B$8)</f>
        <v>82500</v>
      </c>
      <c r="J171" s="6" t="n">
        <f aca="false">FLOOR(H171,Assumptions!$B$8)</f>
        <v>82400</v>
      </c>
      <c r="K171" s="6" t="n">
        <f aca="false">ROUNDUP(H171,Assumptions!$B$9)</f>
        <v>82409</v>
      </c>
      <c r="L171" s="6" t="n">
        <f aca="false">ROUNDDOWN(H171,Assumptions!$B$10)</f>
        <v>82408</v>
      </c>
    </row>
    <row r="172" customFormat="false" ht="15" hidden="false" customHeight="false" outlineLevel="0" collapsed="false">
      <c r="A172" s="5" t="s">
        <v>215</v>
      </c>
      <c r="B172" s="6" t="n">
        <f aca="false">ROUND(CohortData!G172*CohortData!I172,2)</f>
        <v>167028</v>
      </c>
      <c r="C172" s="6" t="n">
        <f aca="false">ROUND(CohortData!L172*Assumptions!$B$4*CohortData!I172,2)</f>
        <v>22270.4</v>
      </c>
      <c r="D172" s="6" t="n">
        <f aca="false">ROUND(CohortData!E172*Assumptions!$B$5*CohortData!I172,2)</f>
        <v>8980</v>
      </c>
      <c r="E172" s="6" t="n">
        <f aca="false">ROUND(B172*Assumptions!$B$3,2)</f>
        <v>5845.98</v>
      </c>
      <c r="F172" s="6" t="n">
        <f aca="false">ROUND(B172*Assumptions!$B$6,2)</f>
        <v>2505.42</v>
      </c>
      <c r="G172" s="6" t="n">
        <f aca="false">ROUND(CohortData!G172*CohortData!I172-CohortData!G172*Assumptions!$B$7,2)</f>
        <v>0</v>
      </c>
      <c r="H172" s="7" t="n">
        <f aca="false">SUM(B172:E172,F172:G172)</f>
        <v>206629.8</v>
      </c>
      <c r="I172" s="6" t="n">
        <f aca="false">CEILING(H172,Assumptions!$B$8)</f>
        <v>206700</v>
      </c>
      <c r="J172" s="6" t="n">
        <f aca="false">FLOOR(H172,Assumptions!$B$8)</f>
        <v>206600</v>
      </c>
      <c r="K172" s="6" t="n">
        <f aca="false">ROUNDUP(H172,Assumptions!$B$9)</f>
        <v>206630</v>
      </c>
      <c r="L172" s="6" t="n">
        <f aca="false">ROUNDDOWN(H172,Assumptions!$B$10)</f>
        <v>206629</v>
      </c>
    </row>
    <row r="173" customFormat="false" ht="15" hidden="false" customHeight="false" outlineLevel="0" collapsed="false">
      <c r="A173" s="5" t="s">
        <v>216</v>
      </c>
      <c r="B173" s="6" t="n">
        <f aca="false">ROUND(CohortData!G173*CohortData!I173,2)</f>
        <v>157080</v>
      </c>
      <c r="C173" s="6" t="n">
        <f aca="false">ROUND(CohortData!L173*Assumptions!$B$4*CohortData!I173,2)</f>
        <v>0</v>
      </c>
      <c r="D173" s="6" t="n">
        <f aca="false">ROUND(CohortData!E173*Assumptions!$B$5*CohortData!I173,2)</f>
        <v>7480</v>
      </c>
      <c r="E173" s="6" t="n">
        <f aca="false">ROUND(B173*Assumptions!$B$3,2)</f>
        <v>5497.8</v>
      </c>
      <c r="F173" s="6" t="n">
        <f aca="false">ROUND(B173*Assumptions!$B$6,2)</f>
        <v>2356.2</v>
      </c>
      <c r="G173" s="6" t="n">
        <f aca="false">ROUND(CohortData!G173*CohortData!I173-CohortData!G173*Assumptions!$B$7,2)</f>
        <v>0</v>
      </c>
      <c r="H173" s="7" t="n">
        <f aca="false">SUM(B173:E173,F173:G173)</f>
        <v>172414</v>
      </c>
      <c r="I173" s="6" t="n">
        <f aca="false">CEILING(H173,Assumptions!$B$8)</f>
        <v>172500</v>
      </c>
      <c r="J173" s="6" t="n">
        <f aca="false">FLOOR(H173,Assumptions!$B$8)</f>
        <v>172400</v>
      </c>
      <c r="K173" s="6" t="n">
        <f aca="false">ROUNDUP(H173,Assumptions!$B$9)</f>
        <v>172414</v>
      </c>
      <c r="L173" s="6" t="n">
        <f aca="false">ROUNDDOWN(H173,Assumptions!$B$10)</f>
        <v>172414</v>
      </c>
    </row>
    <row r="174" customFormat="false" ht="15" hidden="false" customHeight="false" outlineLevel="0" collapsed="false">
      <c r="A174" s="5" t="s">
        <v>217</v>
      </c>
      <c r="B174" s="6" t="n">
        <f aca="false">ROUND(CohortData!G174*CohortData!I174,2)</f>
        <v>159720</v>
      </c>
      <c r="C174" s="6" t="n">
        <f aca="false">ROUND(CohortData!L174*Assumptions!$B$4*CohortData!I174,2)</f>
        <v>21296</v>
      </c>
      <c r="D174" s="6" t="n">
        <f aca="false">ROUND(CohortData!E174*Assumptions!$B$5*CohortData!I174,2)</f>
        <v>9680</v>
      </c>
      <c r="E174" s="6" t="n">
        <f aca="false">ROUND(B174*Assumptions!$B$3,2)</f>
        <v>5590.2</v>
      </c>
      <c r="F174" s="6" t="n">
        <f aca="false">ROUND(B174*Assumptions!$B$6,2)</f>
        <v>2395.8</v>
      </c>
      <c r="G174" s="6" t="n">
        <f aca="false">ROUND(CohortData!G174*CohortData!I174-CohortData!G174*Assumptions!$B$7,2)</f>
        <v>0</v>
      </c>
      <c r="H174" s="7" t="n">
        <f aca="false">SUM(B174:E174,F174:G174)</f>
        <v>198682</v>
      </c>
      <c r="I174" s="6" t="n">
        <f aca="false">CEILING(H174,Assumptions!$B$8)</f>
        <v>198700</v>
      </c>
      <c r="J174" s="6" t="n">
        <f aca="false">FLOOR(H174,Assumptions!$B$8)</f>
        <v>198600</v>
      </c>
      <c r="K174" s="6" t="n">
        <f aca="false">ROUNDUP(H174,Assumptions!$B$9)</f>
        <v>198682</v>
      </c>
      <c r="L174" s="6" t="n">
        <f aca="false">ROUNDDOWN(H174,Assumptions!$B$10)</f>
        <v>198682</v>
      </c>
    </row>
    <row r="175" customFormat="false" ht="15" hidden="false" customHeight="false" outlineLevel="0" collapsed="false">
      <c r="A175" s="5" t="s">
        <v>218</v>
      </c>
      <c r="B175" s="6" t="n">
        <f aca="false">ROUND(CohortData!G175*CohortData!I175,2)</f>
        <v>100960.8</v>
      </c>
      <c r="C175" s="6" t="n">
        <f aca="false">ROUND(CohortData!L175*Assumptions!$B$4*CohortData!I175,2)</f>
        <v>13461.44</v>
      </c>
      <c r="D175" s="6" t="n">
        <f aca="false">ROUND(CohortData!E175*Assumptions!$B$5*CohortData!I175,2)</f>
        <v>5428</v>
      </c>
      <c r="E175" s="6" t="n">
        <f aca="false">ROUND(B175*Assumptions!$B$3,2)</f>
        <v>3533.63</v>
      </c>
      <c r="F175" s="6" t="n">
        <f aca="false">ROUND(B175*Assumptions!$B$6,2)</f>
        <v>1514.41</v>
      </c>
      <c r="G175" s="6" t="n">
        <f aca="false">ROUND(CohortData!G175*CohortData!I175-CohortData!G175*Assumptions!$B$7,2)</f>
        <v>13168.8</v>
      </c>
      <c r="H175" s="7" t="n">
        <f aca="false">SUM(B175:E175,F175:G175)</f>
        <v>138067.08</v>
      </c>
      <c r="I175" s="6" t="n">
        <f aca="false">CEILING(H175,Assumptions!$B$8)</f>
        <v>138100</v>
      </c>
      <c r="J175" s="6" t="n">
        <f aca="false">FLOOR(H175,Assumptions!$B$8)</f>
        <v>138000</v>
      </c>
      <c r="K175" s="6" t="n">
        <f aca="false">ROUNDUP(H175,Assumptions!$B$9)</f>
        <v>138068</v>
      </c>
      <c r="L175" s="6" t="n">
        <f aca="false">ROUNDDOWN(H175,Assumptions!$B$10)</f>
        <v>138067</v>
      </c>
    </row>
    <row r="176" customFormat="false" ht="15" hidden="false" customHeight="false" outlineLevel="0" collapsed="false">
      <c r="A176" s="5" t="s">
        <v>219</v>
      </c>
      <c r="B176" s="6" t="n">
        <f aca="false">ROUND(CohortData!G176*CohortData!I176,2)</f>
        <v>207060</v>
      </c>
      <c r="C176" s="6" t="n">
        <f aca="false">ROUND(CohortData!L176*Assumptions!$B$4*CohortData!I176,2)</f>
        <v>27608</v>
      </c>
      <c r="D176" s="6" t="n">
        <f aca="false">ROUND(CohortData!E176*Assumptions!$B$5*CohortData!I176,2)</f>
        <v>9860</v>
      </c>
      <c r="E176" s="6" t="n">
        <f aca="false">ROUND(B176*Assumptions!$B$3,2)</f>
        <v>7247.1</v>
      </c>
      <c r="F176" s="6" t="n">
        <f aca="false">ROUND(B176*Assumptions!$B$6,2)</f>
        <v>3105.9</v>
      </c>
      <c r="G176" s="6" t="n">
        <f aca="false">ROUND(CohortData!G176*CohortData!I176-CohortData!G176*Assumptions!$B$7,2)</f>
        <v>0</v>
      </c>
      <c r="H176" s="7" t="n">
        <f aca="false">SUM(B176:E176,F176:G176)</f>
        <v>254881</v>
      </c>
      <c r="I176" s="6" t="n">
        <f aca="false">CEILING(H176,Assumptions!$B$8)</f>
        <v>254900</v>
      </c>
      <c r="J176" s="6" t="n">
        <f aca="false">FLOOR(H176,Assumptions!$B$8)</f>
        <v>254800</v>
      </c>
      <c r="K176" s="6" t="n">
        <f aca="false">ROUNDUP(H176,Assumptions!$B$9)</f>
        <v>254881</v>
      </c>
      <c r="L176" s="6" t="n">
        <f aca="false">ROUNDDOWN(H176,Assumptions!$B$10)</f>
        <v>254881</v>
      </c>
    </row>
    <row r="177" customFormat="false" ht="15" hidden="false" customHeight="false" outlineLevel="0" collapsed="false">
      <c r="A177" s="5" t="s">
        <v>220</v>
      </c>
      <c r="B177" s="6" t="n">
        <f aca="false">ROUND(CohortData!G177*CohortData!I177,2)</f>
        <v>141240</v>
      </c>
      <c r="C177" s="6" t="n">
        <f aca="false">ROUND(CohortData!L177*Assumptions!$B$4*CohortData!I177,2)</f>
        <v>18832</v>
      </c>
      <c r="D177" s="6" t="n">
        <f aca="false">ROUND(CohortData!E177*Assumptions!$B$5*CohortData!I177,2)</f>
        <v>8560</v>
      </c>
      <c r="E177" s="6" t="n">
        <f aca="false">ROUND(B177*Assumptions!$B$3,2)</f>
        <v>4943.4</v>
      </c>
      <c r="F177" s="6" t="n">
        <f aca="false">ROUND(B177*Assumptions!$B$6,2)</f>
        <v>2118.6</v>
      </c>
      <c r="G177" s="6" t="n">
        <f aca="false">ROUND(CohortData!G177*CohortData!I177-CohortData!G177*Assumptions!$B$7,2)</f>
        <v>0</v>
      </c>
      <c r="H177" s="7" t="n">
        <f aca="false">SUM(B177:E177,F177:G177)</f>
        <v>175694</v>
      </c>
      <c r="I177" s="6" t="n">
        <f aca="false">CEILING(H177,Assumptions!$B$8)</f>
        <v>175700</v>
      </c>
      <c r="J177" s="6" t="n">
        <f aca="false">FLOOR(H177,Assumptions!$B$8)</f>
        <v>175600</v>
      </c>
      <c r="K177" s="6" t="n">
        <f aca="false">ROUNDUP(H177,Assumptions!$B$9)</f>
        <v>175694</v>
      </c>
      <c r="L177" s="6" t="n">
        <f aca="false">ROUNDDOWN(H177,Assumptions!$B$10)</f>
        <v>175694</v>
      </c>
    </row>
    <row r="178" customFormat="false" ht="15" hidden="false" customHeight="false" outlineLevel="0" collapsed="false">
      <c r="A178" s="5" t="s">
        <v>221</v>
      </c>
      <c r="B178" s="6" t="n">
        <f aca="false">ROUND(CohortData!G178*CohortData!I178,2)</f>
        <v>101928</v>
      </c>
      <c r="C178" s="6" t="n">
        <f aca="false">ROUND(CohortData!L178*Assumptions!$B$4*CohortData!I178,2)</f>
        <v>13590.4</v>
      </c>
      <c r="D178" s="6" t="n">
        <f aca="false">ROUND(CohortData!E178*Assumptions!$B$5*CohortData!I178,2)</f>
        <v>5480</v>
      </c>
      <c r="E178" s="6" t="n">
        <f aca="false">ROUND(B178*Assumptions!$B$3,2)</f>
        <v>3567.48</v>
      </c>
      <c r="F178" s="6" t="n">
        <f aca="false">ROUND(B178*Assumptions!$B$6,2)</f>
        <v>1528.92</v>
      </c>
      <c r="G178" s="6" t="n">
        <f aca="false">ROUND(CohortData!G178*CohortData!I178-CohortData!G178*Assumptions!$B$7,2)</f>
        <v>0</v>
      </c>
      <c r="H178" s="7" t="n">
        <f aca="false">SUM(B178:E178,F178:G178)</f>
        <v>126094.8</v>
      </c>
      <c r="I178" s="6" t="n">
        <f aca="false">CEILING(H178,Assumptions!$B$8)</f>
        <v>126100</v>
      </c>
      <c r="J178" s="6" t="n">
        <f aca="false">FLOOR(H178,Assumptions!$B$8)</f>
        <v>126000</v>
      </c>
      <c r="K178" s="6" t="n">
        <f aca="false">ROUNDUP(H178,Assumptions!$B$9)</f>
        <v>126095</v>
      </c>
      <c r="L178" s="6" t="n">
        <f aca="false">ROUNDDOWN(H178,Assumptions!$B$10)</f>
        <v>126094</v>
      </c>
    </row>
    <row r="179" customFormat="false" ht="15" hidden="false" customHeight="false" outlineLevel="0" collapsed="false">
      <c r="A179" s="5" t="s">
        <v>222</v>
      </c>
      <c r="B179" s="6" t="n">
        <f aca="false">ROUND(CohortData!G179*CohortData!I179,2)</f>
        <v>75831</v>
      </c>
      <c r="C179" s="6" t="n">
        <f aca="false">ROUND(CohortData!L179*Assumptions!$B$4*CohortData!I179,2)</f>
        <v>10110.8</v>
      </c>
      <c r="D179" s="6" t="n">
        <f aca="false">ROUND(CohortData!E179*Assumptions!$B$5*CohortData!I179,2)</f>
        <v>3611</v>
      </c>
      <c r="E179" s="6" t="n">
        <f aca="false">ROUND(B179*Assumptions!$B$3,2)</f>
        <v>2654.09</v>
      </c>
      <c r="F179" s="6" t="n">
        <f aca="false">ROUND(B179*Assumptions!$B$6,2)</f>
        <v>1137.47</v>
      </c>
      <c r="G179" s="6" t="n">
        <f aca="false">ROUND(CohortData!G179*CohortData!I179-CohortData!G179*Assumptions!$B$7,2)</f>
        <v>9891</v>
      </c>
      <c r="H179" s="7" t="n">
        <f aca="false">SUM(B179:E179,F179:G179)</f>
        <v>103235.36</v>
      </c>
      <c r="I179" s="6" t="n">
        <f aca="false">CEILING(H179,Assumptions!$B$8)</f>
        <v>103300</v>
      </c>
      <c r="J179" s="6" t="n">
        <f aca="false">FLOOR(H179,Assumptions!$B$8)</f>
        <v>103200</v>
      </c>
      <c r="K179" s="6" t="n">
        <f aca="false">ROUNDUP(H179,Assumptions!$B$9)</f>
        <v>103236</v>
      </c>
      <c r="L179" s="6" t="n">
        <f aca="false">ROUNDDOWN(H179,Assumptions!$B$10)</f>
        <v>103235</v>
      </c>
    </row>
    <row r="180" customFormat="false" ht="15" hidden="false" customHeight="false" outlineLevel="0" collapsed="false">
      <c r="A180" s="5" t="s">
        <v>223</v>
      </c>
      <c r="B180" s="6" t="n">
        <f aca="false">ROUND(CohortData!G180*CohortData!I180,2)</f>
        <v>82500</v>
      </c>
      <c r="C180" s="6" t="n">
        <f aca="false">ROUND(CohortData!L180*Assumptions!$B$4*CohortData!I180,2)</f>
        <v>11000</v>
      </c>
      <c r="D180" s="6" t="n">
        <f aca="false">ROUND(CohortData!E180*Assumptions!$B$5*CohortData!I180,2)</f>
        <v>5000</v>
      </c>
      <c r="E180" s="6" t="n">
        <f aca="false">ROUND(B180*Assumptions!$B$3,2)</f>
        <v>2887.5</v>
      </c>
      <c r="F180" s="6" t="n">
        <f aca="false">ROUND(B180*Assumptions!$B$6,2)</f>
        <v>1237.5</v>
      </c>
      <c r="G180" s="6" t="n">
        <f aca="false">ROUND(CohortData!G180*CohortData!I180-CohortData!G180*Assumptions!$B$7,2)</f>
        <v>0</v>
      </c>
      <c r="H180" s="7" t="n">
        <f aca="false">SUM(B180:E180,F180:G180)</f>
        <v>102625</v>
      </c>
      <c r="I180" s="6" t="n">
        <f aca="false">CEILING(H180,Assumptions!$B$8)</f>
        <v>102700</v>
      </c>
      <c r="J180" s="6" t="n">
        <f aca="false">FLOOR(H180,Assumptions!$B$8)</f>
        <v>102600</v>
      </c>
      <c r="K180" s="6" t="n">
        <f aca="false">ROUNDUP(H180,Assumptions!$B$9)</f>
        <v>102625</v>
      </c>
      <c r="L180" s="6" t="n">
        <f aca="false">ROUNDDOWN(H180,Assumptions!$B$10)</f>
        <v>102625</v>
      </c>
    </row>
    <row r="181" customFormat="false" ht="15" hidden="false" customHeight="false" outlineLevel="0" collapsed="false">
      <c r="A181" s="5" t="s">
        <v>224</v>
      </c>
      <c r="B181" s="6" t="n">
        <f aca="false">ROUND(CohortData!G181*CohortData!I181,2)</f>
        <v>119784</v>
      </c>
      <c r="C181" s="6" t="n">
        <f aca="false">ROUND(CohortData!L181*Assumptions!$B$4*CohortData!I181,2)</f>
        <v>15971.2</v>
      </c>
      <c r="D181" s="6" t="n">
        <f aca="false">ROUND(CohortData!E181*Assumptions!$B$5*CohortData!I181,2)</f>
        <v>6440</v>
      </c>
      <c r="E181" s="6" t="n">
        <f aca="false">ROUND(B181*Assumptions!$B$3,2)</f>
        <v>4192.44</v>
      </c>
      <c r="F181" s="6" t="n">
        <f aca="false">ROUND(B181*Assumptions!$B$6,2)</f>
        <v>1796.76</v>
      </c>
      <c r="G181" s="6" t="n">
        <f aca="false">ROUND(CohortData!G181*CohortData!I181-CohortData!G181*Assumptions!$B$7,2)</f>
        <v>0</v>
      </c>
      <c r="H181" s="7" t="n">
        <f aca="false">SUM(B181:E181,F181:G181)</f>
        <v>148184.4</v>
      </c>
      <c r="I181" s="6" t="n">
        <f aca="false">CEILING(H181,Assumptions!$B$8)</f>
        <v>148200</v>
      </c>
      <c r="J181" s="6" t="n">
        <f aca="false">FLOOR(H181,Assumptions!$B$8)</f>
        <v>148100</v>
      </c>
      <c r="K181" s="6" t="n">
        <f aca="false">ROUNDUP(H181,Assumptions!$B$9)</f>
        <v>148185</v>
      </c>
      <c r="L181" s="6" t="n">
        <f aca="false">ROUNDDOWN(H181,Assumptions!$B$10)</f>
        <v>148184</v>
      </c>
    </row>
    <row r="182" customFormat="false" ht="15" hidden="false" customHeight="false" outlineLevel="0" collapsed="false">
      <c r="A182" s="5" t="s">
        <v>225</v>
      </c>
      <c r="B182" s="6" t="n">
        <f aca="false">ROUND(CohortData!G182*CohortData!I182,2)</f>
        <v>75600</v>
      </c>
      <c r="C182" s="6" t="n">
        <f aca="false">ROUND(CohortData!L182*Assumptions!$B$4*CohortData!I182,2)</f>
        <v>10080</v>
      </c>
      <c r="D182" s="6" t="n">
        <f aca="false">ROUND(CohortData!E182*Assumptions!$B$5*CohortData!I182,2)</f>
        <v>3600</v>
      </c>
      <c r="E182" s="6" t="n">
        <f aca="false">ROUND(B182*Assumptions!$B$3,2)</f>
        <v>2646</v>
      </c>
      <c r="F182" s="6" t="n">
        <f aca="false">ROUND(B182*Assumptions!$B$6,2)</f>
        <v>1134</v>
      </c>
      <c r="G182" s="6" t="n">
        <f aca="false">ROUND(CohortData!G182*CohortData!I182-CohortData!G182*Assumptions!$B$7,2)</f>
        <v>0</v>
      </c>
      <c r="H182" s="7" t="n">
        <f aca="false">SUM(B182:E182,F182:G182)</f>
        <v>93060</v>
      </c>
      <c r="I182" s="6" t="n">
        <f aca="false">CEILING(H182,Assumptions!$B$8)</f>
        <v>93100</v>
      </c>
      <c r="J182" s="6" t="n">
        <f aca="false">FLOOR(H182,Assumptions!$B$8)</f>
        <v>93000</v>
      </c>
      <c r="K182" s="6" t="n">
        <f aca="false">ROUNDUP(H182,Assumptions!$B$9)</f>
        <v>93060</v>
      </c>
      <c r="L182" s="6" t="n">
        <f aca="false">ROUNDDOWN(H182,Assumptions!$B$10)</f>
        <v>93060</v>
      </c>
    </row>
    <row r="183" customFormat="false" ht="15" hidden="false" customHeight="false" outlineLevel="0" collapsed="false">
      <c r="A183" s="5" t="s">
        <v>226</v>
      </c>
      <c r="B183" s="6" t="n">
        <f aca="false">ROUND(CohortData!G183*CohortData!I183,2)</f>
        <v>125994</v>
      </c>
      <c r="C183" s="6" t="n">
        <f aca="false">ROUND(CohortData!L183*Assumptions!$B$4*CohortData!I183,2)</f>
        <v>16799.2</v>
      </c>
      <c r="D183" s="6" t="n">
        <f aca="false">ROUND(CohortData!E183*Assumptions!$B$5*CohortData!I183,2)</f>
        <v>7636</v>
      </c>
      <c r="E183" s="6" t="n">
        <f aca="false">ROUND(B183*Assumptions!$B$3,2)</f>
        <v>4409.79</v>
      </c>
      <c r="F183" s="6" t="n">
        <f aca="false">ROUND(B183*Assumptions!$B$6,2)</f>
        <v>1889.91</v>
      </c>
      <c r="G183" s="6" t="n">
        <f aca="false">ROUND(CohortData!G183*CohortData!I183-CohortData!G183*Assumptions!$B$7,2)</f>
        <v>16434</v>
      </c>
      <c r="H183" s="7" t="n">
        <f aca="false">SUM(B183:E183,F183:G183)</f>
        <v>173162.9</v>
      </c>
      <c r="I183" s="6" t="n">
        <f aca="false">CEILING(H183,Assumptions!$B$8)</f>
        <v>173200</v>
      </c>
      <c r="J183" s="6" t="n">
        <f aca="false">FLOOR(H183,Assumptions!$B$8)</f>
        <v>173100</v>
      </c>
      <c r="K183" s="6" t="n">
        <f aca="false">ROUNDUP(H183,Assumptions!$B$9)</f>
        <v>173163</v>
      </c>
      <c r="L183" s="6" t="n">
        <f aca="false">ROUNDDOWN(H183,Assumptions!$B$10)</f>
        <v>173162</v>
      </c>
    </row>
    <row r="184" customFormat="false" ht="15" hidden="false" customHeight="false" outlineLevel="0" collapsed="false">
      <c r="A184" s="5" t="s">
        <v>227</v>
      </c>
      <c r="B184" s="6" t="n">
        <f aca="false">ROUND(CohortData!G184*CohortData!I184,2)</f>
        <v>37572</v>
      </c>
      <c r="C184" s="6" t="n">
        <f aca="false">ROUND(CohortData!L184*Assumptions!$B$4*CohortData!I184,2)</f>
        <v>5009.6</v>
      </c>
      <c r="D184" s="6" t="n">
        <f aca="false">ROUND(CohortData!E184*Assumptions!$B$5*CohortData!I184,2)</f>
        <v>2020</v>
      </c>
      <c r="E184" s="6" t="n">
        <f aca="false">ROUND(B184*Assumptions!$B$3,2)</f>
        <v>1315.02</v>
      </c>
      <c r="F184" s="6" t="n">
        <f aca="false">ROUND(B184*Assumptions!$B$6,2)</f>
        <v>563.58</v>
      </c>
      <c r="G184" s="6" t="n">
        <f aca="false">ROUND(CohortData!G184*CohortData!I184-CohortData!G184*Assumptions!$B$7,2)</f>
        <v>0</v>
      </c>
      <c r="H184" s="7" t="n">
        <f aca="false">SUM(B184:E184,F184:G184)</f>
        <v>46480.2</v>
      </c>
      <c r="I184" s="6" t="n">
        <f aca="false">CEILING(H184,Assumptions!$B$8)</f>
        <v>46500</v>
      </c>
      <c r="J184" s="6" t="n">
        <f aca="false">FLOOR(H184,Assumptions!$B$8)</f>
        <v>46400</v>
      </c>
      <c r="K184" s="6" t="n">
        <f aca="false">ROUNDUP(H184,Assumptions!$B$9)</f>
        <v>46481</v>
      </c>
      <c r="L184" s="6" t="n">
        <f aca="false">ROUNDDOWN(H184,Assumptions!$B$10)</f>
        <v>46480</v>
      </c>
    </row>
    <row r="185" customFormat="false" ht="15" hidden="false" customHeight="false" outlineLevel="0" collapsed="false">
      <c r="A185" s="5" t="s">
        <v>228</v>
      </c>
      <c r="B185" s="6" t="n">
        <f aca="false">ROUND(CohortData!G185*CohortData!I185,2)</f>
        <v>196980</v>
      </c>
      <c r="C185" s="6" t="n">
        <f aca="false">ROUND(CohortData!L185*Assumptions!$B$4*CohortData!I185,2)</f>
        <v>26264</v>
      </c>
      <c r="D185" s="6" t="n">
        <f aca="false">ROUND(CohortData!E185*Assumptions!$B$5*CohortData!I185,2)</f>
        <v>9380</v>
      </c>
      <c r="E185" s="6" t="n">
        <f aca="false">ROUND(B185*Assumptions!$B$3,2)</f>
        <v>6894.3</v>
      </c>
      <c r="F185" s="6" t="n">
        <f aca="false">ROUND(B185*Assumptions!$B$6,2)</f>
        <v>2954.7</v>
      </c>
      <c r="G185" s="6" t="n">
        <f aca="false">ROUND(CohortData!G185*CohortData!I185-CohortData!G185*Assumptions!$B$7,2)</f>
        <v>0</v>
      </c>
      <c r="H185" s="7" t="n">
        <f aca="false">SUM(B185:E185,F185:G185)</f>
        <v>242473</v>
      </c>
      <c r="I185" s="6" t="n">
        <f aca="false">CEILING(H185,Assumptions!$B$8)</f>
        <v>242500</v>
      </c>
      <c r="J185" s="6" t="n">
        <f aca="false">FLOOR(H185,Assumptions!$B$8)</f>
        <v>242400</v>
      </c>
      <c r="K185" s="6" t="n">
        <f aca="false">ROUNDUP(H185,Assumptions!$B$9)</f>
        <v>242473</v>
      </c>
      <c r="L185" s="6" t="n">
        <f aca="false">ROUNDDOWN(H185,Assumptions!$B$10)</f>
        <v>242473</v>
      </c>
    </row>
    <row r="186" customFormat="false" ht="15" hidden="false" customHeight="false" outlineLevel="0" collapsed="false">
      <c r="A186" s="5" t="s">
        <v>229</v>
      </c>
      <c r="B186" s="6" t="n">
        <f aca="false">ROUND(CohortData!G186*CohortData!I186,2)</f>
        <v>154440</v>
      </c>
      <c r="C186" s="6" t="n">
        <f aca="false">ROUND(CohortData!L186*Assumptions!$B$4*CohortData!I186,2)</f>
        <v>20592</v>
      </c>
      <c r="D186" s="6" t="n">
        <f aca="false">ROUND(CohortData!E186*Assumptions!$B$5*CohortData!I186,2)</f>
        <v>9360</v>
      </c>
      <c r="E186" s="6" t="n">
        <f aca="false">ROUND(B186*Assumptions!$B$3,2)</f>
        <v>5405.4</v>
      </c>
      <c r="F186" s="6" t="n">
        <f aca="false">ROUND(B186*Assumptions!$B$6,2)</f>
        <v>2316.6</v>
      </c>
      <c r="G186" s="6" t="n">
        <f aca="false">ROUND(CohortData!G186*CohortData!I186-CohortData!G186*Assumptions!$B$7,2)</f>
        <v>0</v>
      </c>
      <c r="H186" s="7" t="n">
        <f aca="false">SUM(B186:E186,F186:G186)</f>
        <v>192114</v>
      </c>
      <c r="I186" s="6" t="n">
        <f aca="false">CEILING(H186,Assumptions!$B$8)</f>
        <v>192200</v>
      </c>
      <c r="J186" s="6" t="n">
        <f aca="false">FLOOR(H186,Assumptions!$B$8)</f>
        <v>192100</v>
      </c>
      <c r="K186" s="6" t="n">
        <f aca="false">ROUNDUP(H186,Assumptions!$B$9)</f>
        <v>192114</v>
      </c>
      <c r="L186" s="6" t="n">
        <f aca="false">ROUNDDOWN(H186,Assumptions!$B$10)</f>
        <v>192114</v>
      </c>
    </row>
    <row r="187" customFormat="false" ht="15" hidden="false" customHeight="false" outlineLevel="0" collapsed="false">
      <c r="A187" s="5" t="s">
        <v>230</v>
      </c>
      <c r="B187" s="6" t="n">
        <f aca="false">ROUND(CohortData!G187*CohortData!I187,2)</f>
        <v>100105.2</v>
      </c>
      <c r="C187" s="6" t="n">
        <f aca="false">ROUND(CohortData!L187*Assumptions!$B$4*CohortData!I187,2)</f>
        <v>13347.36</v>
      </c>
      <c r="D187" s="6" t="n">
        <f aca="false">ROUND(CohortData!E187*Assumptions!$B$5*CohortData!I187,2)</f>
        <v>5382</v>
      </c>
      <c r="E187" s="6" t="n">
        <f aca="false">ROUND(B187*Assumptions!$B$3,2)</f>
        <v>3503.68</v>
      </c>
      <c r="F187" s="6" t="n">
        <f aca="false">ROUND(B187*Assumptions!$B$6,2)</f>
        <v>1501.58</v>
      </c>
      <c r="G187" s="6" t="n">
        <f aca="false">ROUND(CohortData!G187*CohortData!I187-CohortData!G187*Assumptions!$B$7,2)</f>
        <v>13057.2</v>
      </c>
      <c r="H187" s="7" t="n">
        <f aca="false">SUM(B187:E187,F187:G187)</f>
        <v>136897.02</v>
      </c>
      <c r="I187" s="6" t="n">
        <f aca="false">CEILING(H187,Assumptions!$B$8)</f>
        <v>136900</v>
      </c>
      <c r="J187" s="6" t="n">
        <f aca="false">FLOOR(H187,Assumptions!$B$8)</f>
        <v>136800</v>
      </c>
      <c r="K187" s="6" t="n">
        <f aca="false">ROUNDUP(H187,Assumptions!$B$9)</f>
        <v>136898</v>
      </c>
      <c r="L187" s="6" t="n">
        <f aca="false">ROUNDDOWN(H187,Assumptions!$B$10)</f>
        <v>136897</v>
      </c>
    </row>
    <row r="188" customFormat="false" ht="15" hidden="false" customHeight="false" outlineLevel="0" collapsed="false">
      <c r="A188" s="5" t="s">
        <v>231</v>
      </c>
      <c r="B188" s="6" t="n">
        <f aca="false">ROUND(CohortData!G188*CohortData!I188,2)</f>
        <v>149520</v>
      </c>
      <c r="C188" s="6" t="n">
        <f aca="false">ROUND(CohortData!L188*Assumptions!$B$4*CohortData!I188,2)</f>
        <v>19936</v>
      </c>
      <c r="D188" s="6" t="n">
        <f aca="false">ROUND(CohortData!E188*Assumptions!$B$5*CohortData!I188,2)</f>
        <v>7120</v>
      </c>
      <c r="E188" s="6" t="n">
        <f aca="false">ROUND(B188*Assumptions!$B$3,2)</f>
        <v>5233.2</v>
      </c>
      <c r="F188" s="6" t="n">
        <f aca="false">ROUND(B188*Assumptions!$B$6,2)</f>
        <v>2242.8</v>
      </c>
      <c r="G188" s="6" t="n">
        <f aca="false">ROUND(CohortData!G188*CohortData!I188-CohortData!G188*Assumptions!$B$7,2)</f>
        <v>0</v>
      </c>
      <c r="H188" s="7" t="n">
        <f aca="false">SUM(B188:E188,F188:G188)</f>
        <v>184052</v>
      </c>
      <c r="I188" s="6" t="n">
        <f aca="false">CEILING(H188,Assumptions!$B$8)</f>
        <v>184100</v>
      </c>
      <c r="J188" s="6" t="n">
        <f aca="false">FLOOR(H188,Assumptions!$B$8)</f>
        <v>184000</v>
      </c>
      <c r="K188" s="6" t="n">
        <f aca="false">ROUNDUP(H188,Assumptions!$B$9)</f>
        <v>184052</v>
      </c>
      <c r="L188" s="6" t="n">
        <f aca="false">ROUNDDOWN(H188,Assumptions!$B$10)</f>
        <v>184052</v>
      </c>
    </row>
    <row r="189" customFormat="false" ht="15" hidden="false" customHeight="false" outlineLevel="0" collapsed="false">
      <c r="A189" s="5" t="s">
        <v>232</v>
      </c>
      <c r="B189" s="6" t="n">
        <f aca="false">ROUND(CohortData!G189*CohortData!I189,2)</f>
        <v>161700</v>
      </c>
      <c r="C189" s="6" t="n">
        <f aca="false">ROUND(CohortData!L189*Assumptions!$B$4*CohortData!I189,2)</f>
        <v>21560</v>
      </c>
      <c r="D189" s="6" t="n">
        <f aca="false">ROUND(CohortData!E189*Assumptions!$B$5*CohortData!I189,2)</f>
        <v>9800</v>
      </c>
      <c r="E189" s="6" t="n">
        <f aca="false">ROUND(B189*Assumptions!$B$3,2)</f>
        <v>5659.5</v>
      </c>
      <c r="F189" s="6" t="n">
        <f aca="false">ROUND(B189*Assumptions!$B$6,2)</f>
        <v>2425.5</v>
      </c>
      <c r="G189" s="6" t="n">
        <f aca="false">ROUND(CohortData!G189*CohortData!I189-CohortData!G189*Assumptions!$B$7,2)</f>
        <v>0</v>
      </c>
      <c r="H189" s="7" t="n">
        <f aca="false">SUM(B189:E189,F189:G189)</f>
        <v>201145</v>
      </c>
      <c r="I189" s="6" t="n">
        <f aca="false">CEILING(H189,Assumptions!$B$8)</f>
        <v>201200</v>
      </c>
      <c r="J189" s="6" t="n">
        <f aca="false">FLOOR(H189,Assumptions!$B$8)</f>
        <v>201100</v>
      </c>
      <c r="K189" s="6" t="n">
        <f aca="false">ROUNDUP(H189,Assumptions!$B$9)</f>
        <v>201145</v>
      </c>
      <c r="L189" s="6" t="n">
        <f aca="false">ROUNDDOWN(H189,Assumptions!$B$10)</f>
        <v>201145</v>
      </c>
    </row>
    <row r="190" customFormat="false" ht="15" hidden="false" customHeight="false" outlineLevel="0" collapsed="false">
      <c r="A190" s="5" t="s">
        <v>233</v>
      </c>
      <c r="B190" s="6" t="n">
        <f aca="false">ROUND(CohortData!G190*CohortData!I190,2)</f>
        <v>71052</v>
      </c>
      <c r="C190" s="6" t="n">
        <f aca="false">ROUND(CohortData!L190*Assumptions!$B$4*CohortData!I190,2)</f>
        <v>0</v>
      </c>
      <c r="D190" s="6" t="n">
        <f aca="false">ROUND(CohortData!E190*Assumptions!$B$5*CohortData!I190,2)</f>
        <v>3820</v>
      </c>
      <c r="E190" s="6" t="n">
        <f aca="false">ROUND(B190*Assumptions!$B$3,2)</f>
        <v>2486.82</v>
      </c>
      <c r="F190" s="6" t="n">
        <f aca="false">ROUND(B190*Assumptions!$B$6,2)</f>
        <v>1065.78</v>
      </c>
      <c r="G190" s="6" t="n">
        <f aca="false">ROUND(CohortData!G190*CohortData!I190-CohortData!G190*Assumptions!$B$7,2)</f>
        <v>0</v>
      </c>
      <c r="H190" s="7" t="n">
        <f aca="false">SUM(B190:E190,F190:G190)</f>
        <v>78424.6</v>
      </c>
      <c r="I190" s="6" t="n">
        <f aca="false">CEILING(H190,Assumptions!$B$8)</f>
        <v>78500</v>
      </c>
      <c r="J190" s="6" t="n">
        <f aca="false">FLOOR(H190,Assumptions!$B$8)</f>
        <v>78400</v>
      </c>
      <c r="K190" s="6" t="n">
        <f aca="false">ROUNDUP(H190,Assumptions!$B$9)</f>
        <v>78425</v>
      </c>
      <c r="L190" s="6" t="n">
        <f aca="false">ROUNDDOWN(H190,Assumptions!$B$10)</f>
        <v>78424</v>
      </c>
    </row>
    <row r="191" customFormat="false" ht="15" hidden="false" customHeight="false" outlineLevel="0" collapsed="false">
      <c r="A191" s="5" t="s">
        <v>234</v>
      </c>
      <c r="B191" s="6" t="n">
        <f aca="false">ROUND(CohortData!G191*CohortData!I191,2)</f>
        <v>173397</v>
      </c>
      <c r="C191" s="6" t="n">
        <f aca="false">ROUND(CohortData!L191*Assumptions!$B$4*CohortData!I191,2)</f>
        <v>23119.6</v>
      </c>
      <c r="D191" s="6" t="n">
        <f aca="false">ROUND(CohortData!E191*Assumptions!$B$5*CohortData!I191,2)</f>
        <v>8257</v>
      </c>
      <c r="E191" s="6" t="n">
        <f aca="false">ROUND(B191*Assumptions!$B$3,2)</f>
        <v>6068.9</v>
      </c>
      <c r="F191" s="6" t="n">
        <f aca="false">ROUND(B191*Assumptions!$B$6,2)</f>
        <v>2600.96</v>
      </c>
      <c r="G191" s="6" t="n">
        <f aca="false">ROUND(CohortData!G191*CohortData!I191-CohortData!G191*Assumptions!$B$7,2)</f>
        <v>22617</v>
      </c>
      <c r="H191" s="7" t="n">
        <f aca="false">SUM(B191:E191,F191:G191)</f>
        <v>236060.46</v>
      </c>
      <c r="I191" s="6" t="n">
        <f aca="false">CEILING(H191,Assumptions!$B$8)</f>
        <v>236100</v>
      </c>
      <c r="J191" s="6" t="n">
        <f aca="false">FLOOR(H191,Assumptions!$B$8)</f>
        <v>236000</v>
      </c>
      <c r="K191" s="6" t="n">
        <f aca="false">ROUNDUP(H191,Assumptions!$B$9)</f>
        <v>236061</v>
      </c>
      <c r="L191" s="6" t="n">
        <f aca="false">ROUNDDOWN(H191,Assumptions!$B$10)</f>
        <v>236060</v>
      </c>
    </row>
    <row r="192" customFormat="false" ht="15" hidden="false" customHeight="false" outlineLevel="0" collapsed="false">
      <c r="A192" s="5" t="s">
        <v>235</v>
      </c>
      <c r="B192" s="6" t="n">
        <f aca="false">ROUND(CohortData!G192*CohortData!I192,2)</f>
        <v>50820</v>
      </c>
      <c r="C192" s="6" t="n">
        <f aca="false">ROUND(CohortData!L192*Assumptions!$B$4*CohortData!I192,2)</f>
        <v>6776</v>
      </c>
      <c r="D192" s="6" t="n">
        <f aca="false">ROUND(CohortData!E192*Assumptions!$B$5*CohortData!I192,2)</f>
        <v>3080</v>
      </c>
      <c r="E192" s="6" t="n">
        <f aca="false">ROUND(B192*Assumptions!$B$3,2)</f>
        <v>1778.7</v>
      </c>
      <c r="F192" s="6" t="n">
        <f aca="false">ROUND(B192*Assumptions!$B$6,2)</f>
        <v>762.3</v>
      </c>
      <c r="G192" s="6" t="n">
        <f aca="false">ROUND(CohortData!G192*CohortData!I192-CohortData!G192*Assumptions!$B$7,2)</f>
        <v>0</v>
      </c>
      <c r="H192" s="7" t="n">
        <f aca="false">SUM(B192:E192,F192:G192)</f>
        <v>63217</v>
      </c>
      <c r="I192" s="6" t="n">
        <f aca="false">CEILING(H192,Assumptions!$B$8)</f>
        <v>63300</v>
      </c>
      <c r="J192" s="6" t="n">
        <f aca="false">FLOOR(H192,Assumptions!$B$8)</f>
        <v>63200</v>
      </c>
      <c r="K192" s="6" t="n">
        <f aca="false">ROUNDUP(H192,Assumptions!$B$9)</f>
        <v>63217</v>
      </c>
      <c r="L192" s="6" t="n">
        <f aca="false">ROUNDDOWN(H192,Assumptions!$B$10)</f>
        <v>63217</v>
      </c>
    </row>
    <row r="193" customFormat="false" ht="15" hidden="false" customHeight="false" outlineLevel="0" collapsed="false">
      <c r="A193" s="5" t="s">
        <v>236</v>
      </c>
      <c r="B193" s="6" t="n">
        <f aca="false">ROUND(CohortData!G193*CohortData!I193,2)</f>
        <v>156240</v>
      </c>
      <c r="C193" s="6" t="n">
        <f aca="false">ROUND(CohortData!L193*Assumptions!$B$4*CohortData!I193,2)</f>
        <v>20832</v>
      </c>
      <c r="D193" s="6" t="n">
        <f aca="false">ROUND(CohortData!E193*Assumptions!$B$5*CohortData!I193,2)</f>
        <v>8400</v>
      </c>
      <c r="E193" s="6" t="n">
        <f aca="false">ROUND(B193*Assumptions!$B$3,2)</f>
        <v>5468.4</v>
      </c>
      <c r="F193" s="6" t="n">
        <f aca="false">ROUND(B193*Assumptions!$B$6,2)</f>
        <v>2343.6</v>
      </c>
      <c r="G193" s="6" t="n">
        <f aca="false">ROUND(CohortData!G193*CohortData!I193-CohortData!G193*Assumptions!$B$7,2)</f>
        <v>0</v>
      </c>
      <c r="H193" s="7" t="n">
        <f aca="false">SUM(B193:E193,F193:G193)</f>
        <v>193284</v>
      </c>
      <c r="I193" s="6" t="n">
        <f aca="false">CEILING(H193,Assumptions!$B$8)</f>
        <v>193300</v>
      </c>
      <c r="J193" s="6" t="n">
        <f aca="false">FLOOR(H193,Assumptions!$B$8)</f>
        <v>193200</v>
      </c>
      <c r="K193" s="6" t="n">
        <f aca="false">ROUNDUP(H193,Assumptions!$B$9)</f>
        <v>193284</v>
      </c>
      <c r="L193" s="6" t="n">
        <f aca="false">ROUNDDOWN(H193,Assumptions!$B$10)</f>
        <v>193284</v>
      </c>
    </row>
    <row r="194" customFormat="false" ht="15" hidden="false" customHeight="false" outlineLevel="0" collapsed="false">
      <c r="A194" s="5" t="s">
        <v>237</v>
      </c>
      <c r="B194" s="6" t="n">
        <f aca="false">ROUND(CohortData!G194*CohortData!I194,2)</f>
        <v>105840</v>
      </c>
      <c r="C194" s="6" t="n">
        <f aca="false">ROUND(CohortData!L194*Assumptions!$B$4*CohortData!I194,2)</f>
        <v>14112</v>
      </c>
      <c r="D194" s="6" t="n">
        <f aca="false">ROUND(CohortData!E194*Assumptions!$B$5*CohortData!I194,2)</f>
        <v>5040</v>
      </c>
      <c r="E194" s="6" t="n">
        <f aca="false">ROUND(B194*Assumptions!$B$3,2)</f>
        <v>3704.4</v>
      </c>
      <c r="F194" s="6" t="n">
        <f aca="false">ROUND(B194*Assumptions!$B$6,2)</f>
        <v>1587.6</v>
      </c>
      <c r="G194" s="6" t="n">
        <f aca="false">ROUND(CohortData!G194*CohortData!I194-CohortData!G194*Assumptions!$B$7,2)</f>
        <v>0</v>
      </c>
      <c r="H194" s="7" t="n">
        <f aca="false">SUM(B194:E194,F194:G194)</f>
        <v>130284</v>
      </c>
      <c r="I194" s="6" t="n">
        <f aca="false">CEILING(H194,Assumptions!$B$8)</f>
        <v>130300</v>
      </c>
      <c r="J194" s="6" t="n">
        <f aca="false">FLOOR(H194,Assumptions!$B$8)</f>
        <v>130200</v>
      </c>
      <c r="K194" s="6" t="n">
        <f aca="false">ROUNDUP(H194,Assumptions!$B$9)</f>
        <v>130284</v>
      </c>
      <c r="L194" s="6" t="n">
        <f aca="false">ROUNDDOWN(H194,Assumptions!$B$10)</f>
        <v>130284</v>
      </c>
    </row>
    <row r="195" customFormat="false" ht="15" hidden="false" customHeight="false" outlineLevel="0" collapsed="false">
      <c r="A195" s="5" t="s">
        <v>238</v>
      </c>
      <c r="B195" s="6" t="n">
        <f aca="false">ROUND(CohortData!G195*CohortData!I195,2)</f>
        <v>162046.5</v>
      </c>
      <c r="C195" s="6" t="n">
        <f aca="false">ROUND(CohortData!L195*Assumptions!$B$4*CohortData!I195,2)</f>
        <v>21606.2</v>
      </c>
      <c r="D195" s="6" t="n">
        <f aca="false">ROUND(CohortData!E195*Assumptions!$B$5*CohortData!I195,2)</f>
        <v>9821</v>
      </c>
      <c r="E195" s="6" t="n">
        <f aca="false">ROUND(B195*Assumptions!$B$3,2)</f>
        <v>5671.63</v>
      </c>
      <c r="F195" s="6" t="n">
        <f aca="false">ROUND(B195*Assumptions!$B$6,2)</f>
        <v>2430.7</v>
      </c>
      <c r="G195" s="6" t="n">
        <f aca="false">ROUND(CohortData!G195*CohortData!I195-CohortData!G195*Assumptions!$B$7,2)</f>
        <v>21136.5</v>
      </c>
      <c r="H195" s="7" t="n">
        <f aca="false">SUM(B195:E195,F195:G195)</f>
        <v>222712.53</v>
      </c>
      <c r="I195" s="6" t="n">
        <f aca="false">CEILING(H195,Assumptions!$B$8)</f>
        <v>222800</v>
      </c>
      <c r="J195" s="6" t="n">
        <f aca="false">FLOOR(H195,Assumptions!$B$8)</f>
        <v>222700</v>
      </c>
      <c r="K195" s="6" t="n">
        <f aca="false">ROUNDUP(H195,Assumptions!$B$9)</f>
        <v>222713</v>
      </c>
      <c r="L195" s="6" t="n">
        <f aca="false">ROUNDDOWN(H195,Assumptions!$B$10)</f>
        <v>222712</v>
      </c>
    </row>
    <row r="196" customFormat="false" ht="15" hidden="false" customHeight="false" outlineLevel="0" collapsed="false">
      <c r="A196" s="5" t="s">
        <v>239</v>
      </c>
      <c r="B196" s="6" t="n">
        <f aca="false">ROUND(CohortData!G196*CohortData!I196,2)</f>
        <v>133548</v>
      </c>
      <c r="C196" s="6" t="n">
        <f aca="false">ROUND(CohortData!L196*Assumptions!$B$4*CohortData!I196,2)</f>
        <v>17806.4</v>
      </c>
      <c r="D196" s="6" t="n">
        <f aca="false">ROUND(CohortData!E196*Assumptions!$B$5*CohortData!I196,2)</f>
        <v>7180</v>
      </c>
      <c r="E196" s="6" t="n">
        <f aca="false">ROUND(B196*Assumptions!$B$3,2)</f>
        <v>4674.18</v>
      </c>
      <c r="F196" s="6" t="n">
        <f aca="false">ROUND(B196*Assumptions!$B$6,2)</f>
        <v>2003.22</v>
      </c>
      <c r="G196" s="6" t="n">
        <f aca="false">ROUND(CohortData!G196*CohortData!I196-CohortData!G196*Assumptions!$B$7,2)</f>
        <v>0</v>
      </c>
      <c r="H196" s="7" t="n">
        <f aca="false">SUM(B196:E196,F196:G196)</f>
        <v>165211.8</v>
      </c>
      <c r="I196" s="6" t="n">
        <f aca="false">CEILING(H196,Assumptions!$B$8)</f>
        <v>165300</v>
      </c>
      <c r="J196" s="6" t="n">
        <f aca="false">FLOOR(H196,Assumptions!$B$8)</f>
        <v>165200</v>
      </c>
      <c r="K196" s="6" t="n">
        <f aca="false">ROUNDUP(H196,Assumptions!$B$9)</f>
        <v>165212</v>
      </c>
      <c r="L196" s="6" t="n">
        <f aca="false">ROUNDDOWN(H196,Assumptions!$B$10)</f>
        <v>165211</v>
      </c>
    </row>
    <row r="197" customFormat="false" ht="15" hidden="false" customHeight="false" outlineLevel="0" collapsed="false">
      <c r="A197" s="5" t="s">
        <v>240</v>
      </c>
      <c r="B197" s="6" t="n">
        <f aca="false">ROUND(CohortData!G197*CohortData!I197,2)</f>
        <v>172620</v>
      </c>
      <c r="C197" s="6" t="n">
        <f aca="false">ROUND(CohortData!L197*Assumptions!$B$4*CohortData!I197,2)</f>
        <v>23016</v>
      </c>
      <c r="D197" s="6" t="n">
        <f aca="false">ROUND(CohortData!E197*Assumptions!$B$5*CohortData!I197,2)</f>
        <v>8220</v>
      </c>
      <c r="E197" s="6" t="n">
        <f aca="false">ROUND(B197*Assumptions!$B$3,2)</f>
        <v>6041.7</v>
      </c>
      <c r="F197" s="6" t="n">
        <f aca="false">ROUND(B197*Assumptions!$B$6,2)</f>
        <v>2589.3</v>
      </c>
      <c r="G197" s="6" t="n">
        <f aca="false">ROUND(CohortData!G197*CohortData!I197-CohortData!G197*Assumptions!$B$7,2)</f>
        <v>0</v>
      </c>
      <c r="H197" s="7" t="n">
        <f aca="false">SUM(B197:E197,F197:G197)</f>
        <v>212487</v>
      </c>
      <c r="I197" s="6" t="n">
        <f aca="false">CEILING(H197,Assumptions!$B$8)</f>
        <v>212500</v>
      </c>
      <c r="J197" s="6" t="n">
        <f aca="false">FLOOR(H197,Assumptions!$B$8)</f>
        <v>212400</v>
      </c>
      <c r="K197" s="6" t="n">
        <f aca="false">ROUNDUP(H197,Assumptions!$B$9)</f>
        <v>212487</v>
      </c>
      <c r="L197" s="6" t="n">
        <f aca="false">ROUNDDOWN(H197,Assumptions!$B$10)</f>
        <v>212487</v>
      </c>
    </row>
    <row r="198" customFormat="false" ht="15" hidden="false" customHeight="false" outlineLevel="0" collapsed="false">
      <c r="A198" s="5" t="s">
        <v>241</v>
      </c>
      <c r="B198" s="6" t="n">
        <f aca="false">ROUND(CohortData!G198*CohortData!I198,2)</f>
        <v>66330</v>
      </c>
      <c r="C198" s="6" t="n">
        <f aca="false">ROUND(CohortData!L198*Assumptions!$B$4*CohortData!I198,2)</f>
        <v>8844</v>
      </c>
      <c r="D198" s="6" t="n">
        <f aca="false">ROUND(CohortData!E198*Assumptions!$B$5*CohortData!I198,2)</f>
        <v>4020</v>
      </c>
      <c r="E198" s="6" t="n">
        <f aca="false">ROUND(B198*Assumptions!$B$3,2)</f>
        <v>2321.55</v>
      </c>
      <c r="F198" s="6" t="n">
        <f aca="false">ROUND(B198*Assumptions!$B$6,2)</f>
        <v>994.95</v>
      </c>
      <c r="G198" s="6" t="n">
        <f aca="false">ROUND(CohortData!G198*CohortData!I198-CohortData!G198*Assumptions!$B$7,2)</f>
        <v>0</v>
      </c>
      <c r="H198" s="7" t="n">
        <f aca="false">SUM(B198:E198,F198:G198)</f>
        <v>82510.5</v>
      </c>
      <c r="I198" s="6" t="n">
        <f aca="false">CEILING(H198,Assumptions!$B$8)</f>
        <v>82600</v>
      </c>
      <c r="J198" s="6" t="n">
        <f aca="false">FLOOR(H198,Assumptions!$B$8)</f>
        <v>82500</v>
      </c>
      <c r="K198" s="6" t="n">
        <f aca="false">ROUNDUP(H198,Assumptions!$B$9)</f>
        <v>82511</v>
      </c>
      <c r="L198" s="6" t="n">
        <f aca="false">ROUNDDOWN(H198,Assumptions!$B$10)</f>
        <v>82510</v>
      </c>
    </row>
    <row r="199" customFormat="false" ht="15" hidden="false" customHeight="false" outlineLevel="0" collapsed="false">
      <c r="A199" s="5" t="s">
        <v>242</v>
      </c>
      <c r="B199" s="6" t="n">
        <f aca="false">ROUND(CohortData!G199*CohortData!I199,2)</f>
        <v>76148.4</v>
      </c>
      <c r="C199" s="6" t="n">
        <f aca="false">ROUND(CohortData!L199*Assumptions!$B$4*CohortData!I199,2)</f>
        <v>10153.12</v>
      </c>
      <c r="D199" s="6" t="n">
        <f aca="false">ROUND(CohortData!E199*Assumptions!$B$5*CohortData!I199,2)</f>
        <v>4094</v>
      </c>
      <c r="E199" s="6" t="n">
        <f aca="false">ROUND(B199*Assumptions!$B$3,2)</f>
        <v>2665.19</v>
      </c>
      <c r="F199" s="6" t="n">
        <f aca="false">ROUND(B199*Assumptions!$B$6,2)</f>
        <v>1142.23</v>
      </c>
      <c r="G199" s="6" t="n">
        <f aca="false">ROUND(CohortData!G199*CohortData!I199-CohortData!G199*Assumptions!$B$7,2)</f>
        <v>9932.4</v>
      </c>
      <c r="H199" s="7" t="n">
        <f aca="false">SUM(B199:E199,F199:G199)</f>
        <v>104135.34</v>
      </c>
      <c r="I199" s="6" t="n">
        <f aca="false">CEILING(H199,Assumptions!$B$8)</f>
        <v>104200</v>
      </c>
      <c r="J199" s="6" t="n">
        <f aca="false">FLOOR(H199,Assumptions!$B$8)</f>
        <v>104100</v>
      </c>
      <c r="K199" s="6" t="n">
        <f aca="false">ROUNDUP(H199,Assumptions!$B$9)</f>
        <v>104136</v>
      </c>
      <c r="L199" s="6" t="n">
        <f aca="false">ROUNDDOWN(H199,Assumptions!$B$10)</f>
        <v>104135</v>
      </c>
    </row>
    <row r="200" customFormat="false" ht="15" hidden="false" customHeight="false" outlineLevel="0" collapsed="false">
      <c r="A200" s="5" t="s">
        <v>243</v>
      </c>
      <c r="B200" s="6" t="n">
        <f aca="false">ROUND(CohortData!G200*CohortData!I200,2)</f>
        <v>122220</v>
      </c>
      <c r="C200" s="6" t="n">
        <f aca="false">ROUND(CohortData!L200*Assumptions!$B$4*CohortData!I200,2)</f>
        <v>16296</v>
      </c>
      <c r="D200" s="6" t="n">
        <f aca="false">ROUND(CohortData!E200*Assumptions!$B$5*CohortData!I200,2)</f>
        <v>5820</v>
      </c>
      <c r="E200" s="6" t="n">
        <f aca="false">ROUND(B200*Assumptions!$B$3,2)</f>
        <v>4277.7</v>
      </c>
      <c r="F200" s="6" t="n">
        <f aca="false">ROUND(B200*Assumptions!$B$6,2)</f>
        <v>1833.3</v>
      </c>
      <c r="G200" s="6" t="n">
        <f aca="false">ROUND(CohortData!G200*CohortData!I200-CohortData!G200*Assumptions!$B$7,2)</f>
        <v>0</v>
      </c>
      <c r="H200" s="7" t="n">
        <f aca="false">SUM(B200:E200,F200:G200)</f>
        <v>150447</v>
      </c>
      <c r="I200" s="6" t="n">
        <f aca="false">CEILING(H200,Assumptions!$B$8)</f>
        <v>150500</v>
      </c>
      <c r="J200" s="6" t="n">
        <f aca="false">FLOOR(H200,Assumptions!$B$8)</f>
        <v>150400</v>
      </c>
      <c r="K200" s="6" t="n">
        <f aca="false">ROUNDUP(H200,Assumptions!$B$9)</f>
        <v>150447</v>
      </c>
      <c r="L200" s="6" t="n">
        <f aca="false">ROUNDDOWN(H200,Assumptions!$B$10)</f>
        <v>150447</v>
      </c>
    </row>
    <row r="201" customFormat="false" ht="15" hidden="false" customHeight="false" outlineLevel="0" collapsed="false">
      <c r="A201" s="5" t="s">
        <v>244</v>
      </c>
      <c r="B201" s="6" t="n">
        <f aca="false">ROUND(CohortData!G201*CohortData!I201,2)</f>
        <v>161700</v>
      </c>
      <c r="C201" s="6" t="n">
        <f aca="false">ROUND(CohortData!L201*Assumptions!$B$4*CohortData!I201,2)</f>
        <v>21560</v>
      </c>
      <c r="D201" s="6" t="n">
        <f aca="false">ROUND(CohortData!E201*Assumptions!$B$5*CohortData!I201,2)</f>
        <v>9800</v>
      </c>
      <c r="E201" s="6" t="n">
        <f aca="false">ROUND(B201*Assumptions!$B$3,2)</f>
        <v>5659.5</v>
      </c>
      <c r="F201" s="6" t="n">
        <f aca="false">ROUND(B201*Assumptions!$B$6,2)</f>
        <v>2425.5</v>
      </c>
      <c r="G201" s="6" t="n">
        <f aca="false">ROUND(CohortData!G201*CohortData!I201-CohortData!G201*Assumptions!$B$7,2)</f>
        <v>0</v>
      </c>
      <c r="H201" s="7" t="n">
        <f aca="false">SUM(B201:E201,F201:G201)</f>
        <v>201145</v>
      </c>
      <c r="I201" s="6" t="n">
        <f aca="false">CEILING(H201,Assumptions!$B$8)</f>
        <v>201200</v>
      </c>
      <c r="J201" s="6" t="n">
        <f aca="false">FLOOR(H201,Assumptions!$B$8)</f>
        <v>201100</v>
      </c>
      <c r="K201" s="6" t="n">
        <f aca="false">ROUNDUP(H201,Assumptions!$B$9)</f>
        <v>201145</v>
      </c>
      <c r="L201" s="6" t="n">
        <f aca="false">ROUNDDOWN(H201,Assumptions!$B$10)</f>
        <v>201145</v>
      </c>
    </row>
    <row r="202" customFormat="false" ht="15" hidden="false" customHeight="false" outlineLevel="0" collapsed="false">
      <c r="A202" s="5" t="s">
        <v>245</v>
      </c>
      <c r="B202" s="6" t="n">
        <f aca="false">ROUND(CohortData!G202*CohortData!I202,2)</f>
        <v>67704</v>
      </c>
      <c r="C202" s="6" t="n">
        <f aca="false">ROUND(CohortData!L202*Assumptions!$B$4*CohortData!I202,2)</f>
        <v>9027.2</v>
      </c>
      <c r="D202" s="6" t="n">
        <f aca="false">ROUND(CohortData!E202*Assumptions!$B$5*CohortData!I202,2)</f>
        <v>3640</v>
      </c>
      <c r="E202" s="6" t="n">
        <f aca="false">ROUND(B202*Assumptions!$B$3,2)</f>
        <v>2369.64</v>
      </c>
      <c r="F202" s="6" t="n">
        <f aca="false">ROUND(B202*Assumptions!$B$6,2)</f>
        <v>1015.56</v>
      </c>
      <c r="G202" s="6" t="n">
        <f aca="false">ROUND(CohortData!G202*CohortData!I202-CohortData!G202*Assumptions!$B$7,2)</f>
        <v>0</v>
      </c>
      <c r="H202" s="7" t="n">
        <f aca="false">SUM(B202:E202,F202:G202)</f>
        <v>83756.4</v>
      </c>
      <c r="I202" s="6" t="n">
        <f aca="false">CEILING(H202,Assumptions!$B$8)</f>
        <v>83800</v>
      </c>
      <c r="J202" s="6" t="n">
        <f aca="false">FLOOR(H202,Assumptions!$B$8)</f>
        <v>83700</v>
      </c>
      <c r="K202" s="6" t="n">
        <f aca="false">ROUNDUP(H202,Assumptions!$B$9)</f>
        <v>83757</v>
      </c>
      <c r="L202" s="6" t="n">
        <f aca="false">ROUNDDOWN(H202,Assumptions!$B$10)</f>
        <v>83756</v>
      </c>
    </row>
    <row r="203" customFormat="false" ht="15" hidden="false" customHeight="false" outlineLevel="0" collapsed="false">
      <c r="A203" s="5" t="s">
        <v>246</v>
      </c>
      <c r="B203" s="6" t="n">
        <f aca="false">ROUND(CohortData!G203*CohortData!I203,2)</f>
        <v>181608</v>
      </c>
      <c r="C203" s="6" t="n">
        <f aca="false">ROUND(CohortData!L203*Assumptions!$B$4*CohortData!I203,2)</f>
        <v>24214.4</v>
      </c>
      <c r="D203" s="6" t="n">
        <f aca="false">ROUND(CohortData!E203*Assumptions!$B$5*CohortData!I203,2)</f>
        <v>8648</v>
      </c>
      <c r="E203" s="6" t="n">
        <f aca="false">ROUND(B203*Assumptions!$B$3,2)</f>
        <v>6356.28</v>
      </c>
      <c r="F203" s="6" t="n">
        <f aca="false">ROUND(B203*Assumptions!$B$6,2)</f>
        <v>2724.12</v>
      </c>
      <c r="G203" s="6" t="n">
        <f aca="false">ROUND(CohortData!G203*CohortData!I203-CohortData!G203*Assumptions!$B$7,2)</f>
        <v>23688</v>
      </c>
      <c r="H203" s="7" t="n">
        <f aca="false">SUM(B203:E203,F203:G203)</f>
        <v>247238.8</v>
      </c>
      <c r="I203" s="6" t="n">
        <f aca="false">CEILING(H203,Assumptions!$B$8)</f>
        <v>247300</v>
      </c>
      <c r="J203" s="6" t="n">
        <f aca="false">FLOOR(H203,Assumptions!$B$8)</f>
        <v>247200</v>
      </c>
      <c r="K203" s="6" t="n">
        <f aca="false">ROUNDUP(H203,Assumptions!$B$9)</f>
        <v>247239</v>
      </c>
      <c r="L203" s="6" t="n">
        <f aca="false">ROUNDDOWN(H203,Assumptions!$B$10)</f>
        <v>247238</v>
      </c>
    </row>
    <row r="204" customFormat="false" ht="15" hidden="false" customHeight="false" outlineLevel="0" collapsed="false">
      <c r="A204" s="5" t="s">
        <v>247</v>
      </c>
      <c r="B204" s="6" t="n">
        <f aca="false">ROUND(CohortData!G204*CohortData!I204,2)</f>
        <v>164340</v>
      </c>
      <c r="C204" s="6" t="n">
        <f aca="false">ROUND(CohortData!L204*Assumptions!$B$4*CohortData!I204,2)</f>
        <v>21912</v>
      </c>
      <c r="D204" s="6" t="n">
        <f aca="false">ROUND(CohortData!E204*Assumptions!$B$5*CohortData!I204,2)</f>
        <v>9960</v>
      </c>
      <c r="E204" s="6" t="n">
        <f aca="false">ROUND(B204*Assumptions!$B$3,2)</f>
        <v>5751.9</v>
      </c>
      <c r="F204" s="6" t="n">
        <f aca="false">ROUND(B204*Assumptions!$B$6,2)</f>
        <v>2465.1</v>
      </c>
      <c r="G204" s="6" t="n">
        <f aca="false">ROUND(CohortData!G204*CohortData!I204-CohortData!G204*Assumptions!$B$7,2)</f>
        <v>0</v>
      </c>
      <c r="H204" s="7" t="n">
        <f aca="false">SUM(B204:E204,F204:G204)</f>
        <v>204429</v>
      </c>
      <c r="I204" s="6" t="n">
        <f aca="false">CEILING(H204,Assumptions!$B$8)</f>
        <v>204500</v>
      </c>
      <c r="J204" s="6" t="n">
        <f aca="false">FLOOR(H204,Assumptions!$B$8)</f>
        <v>204400</v>
      </c>
      <c r="K204" s="6" t="n">
        <f aca="false">ROUNDUP(H204,Assumptions!$B$9)</f>
        <v>204429</v>
      </c>
      <c r="L204" s="6" t="n">
        <f aca="false">ROUNDDOWN(H204,Assumptions!$B$10)</f>
        <v>204429</v>
      </c>
    </row>
    <row r="205" customFormat="false" ht="15" hidden="false" customHeight="false" outlineLevel="0" collapsed="false">
      <c r="A205" s="5" t="s">
        <v>248</v>
      </c>
      <c r="B205" s="6" t="n">
        <f aca="false">ROUND(CohortData!G205*CohortData!I205,2)</f>
        <v>138012</v>
      </c>
      <c r="C205" s="6" t="n">
        <f aca="false">ROUND(CohortData!L205*Assumptions!$B$4*CohortData!I205,2)</f>
        <v>18401.6</v>
      </c>
      <c r="D205" s="6" t="n">
        <f aca="false">ROUND(CohortData!E205*Assumptions!$B$5*CohortData!I205,2)</f>
        <v>7420</v>
      </c>
      <c r="E205" s="6" t="n">
        <f aca="false">ROUND(B205*Assumptions!$B$3,2)</f>
        <v>4830.42</v>
      </c>
      <c r="F205" s="6" t="n">
        <f aca="false">ROUND(B205*Assumptions!$B$6,2)</f>
        <v>2070.18</v>
      </c>
      <c r="G205" s="6" t="n">
        <f aca="false">ROUND(CohortData!G205*CohortData!I205-CohortData!G205*Assumptions!$B$7,2)</f>
        <v>0</v>
      </c>
      <c r="H205" s="7" t="n">
        <f aca="false">SUM(B205:E205,F205:G205)</f>
        <v>170734.2</v>
      </c>
      <c r="I205" s="6" t="n">
        <f aca="false">CEILING(H205,Assumptions!$B$8)</f>
        <v>170800</v>
      </c>
      <c r="J205" s="6" t="n">
        <f aca="false">FLOOR(H205,Assumptions!$B$8)</f>
        <v>170700</v>
      </c>
      <c r="K205" s="6" t="n">
        <f aca="false">ROUNDUP(H205,Assumptions!$B$9)</f>
        <v>170735</v>
      </c>
      <c r="L205" s="6" t="n">
        <f aca="false">ROUNDDOWN(H205,Assumptions!$B$10)</f>
        <v>170734</v>
      </c>
    </row>
    <row r="206" customFormat="false" ht="15" hidden="false" customHeight="false" outlineLevel="0" collapsed="false">
      <c r="A206" s="5" t="s">
        <v>249</v>
      </c>
      <c r="B206" s="6" t="n">
        <f aca="false">ROUND(CohortData!G206*CohortData!I206,2)</f>
        <v>42000</v>
      </c>
      <c r="C206" s="6" t="n">
        <f aca="false">ROUND(CohortData!L206*Assumptions!$B$4*CohortData!I206,2)</f>
        <v>5600</v>
      </c>
      <c r="D206" s="6" t="n">
        <f aca="false">ROUND(CohortData!E206*Assumptions!$B$5*CohortData!I206,2)</f>
        <v>2000</v>
      </c>
      <c r="E206" s="6" t="n">
        <f aca="false">ROUND(B206*Assumptions!$B$3,2)</f>
        <v>1470</v>
      </c>
      <c r="F206" s="6" t="n">
        <f aca="false">ROUND(B206*Assumptions!$B$6,2)</f>
        <v>630</v>
      </c>
      <c r="G206" s="6" t="n">
        <f aca="false">ROUND(CohortData!G206*CohortData!I206-CohortData!G206*Assumptions!$B$7,2)</f>
        <v>0</v>
      </c>
      <c r="H206" s="7" t="n">
        <f aca="false">SUM(B206:E206,F206:G206)</f>
        <v>51700</v>
      </c>
      <c r="I206" s="6" t="n">
        <f aca="false">CEILING(H206,Assumptions!$B$8)</f>
        <v>51700</v>
      </c>
      <c r="J206" s="6" t="n">
        <f aca="false">FLOOR(H206,Assumptions!$B$8)</f>
        <v>51700</v>
      </c>
      <c r="K206" s="6" t="n">
        <f aca="false">ROUNDUP(H206,Assumptions!$B$9)</f>
        <v>51700</v>
      </c>
      <c r="L206" s="6" t="n">
        <f aca="false">ROUNDDOWN(H206,Assumptions!$B$10)</f>
        <v>51700</v>
      </c>
    </row>
    <row r="207" customFormat="false" ht="15" hidden="false" customHeight="false" outlineLevel="0" collapsed="false">
      <c r="A207" s="5" t="s">
        <v>250</v>
      </c>
      <c r="B207" s="6" t="n">
        <f aca="false">ROUND(CohortData!G207*CohortData!I207,2)</f>
        <v>154077</v>
      </c>
      <c r="C207" s="6" t="n">
        <f aca="false">ROUND(CohortData!L207*Assumptions!$B$4*CohortData!I207,2)</f>
        <v>0</v>
      </c>
      <c r="D207" s="6" t="n">
        <f aca="false">ROUND(CohortData!E207*Assumptions!$B$5*CohortData!I207,2)</f>
        <v>9338</v>
      </c>
      <c r="E207" s="6" t="n">
        <f aca="false">ROUND(B207*Assumptions!$B$3,2)</f>
        <v>5392.7</v>
      </c>
      <c r="F207" s="6" t="n">
        <f aca="false">ROUND(B207*Assumptions!$B$6,2)</f>
        <v>2311.16</v>
      </c>
      <c r="G207" s="6" t="n">
        <f aca="false">ROUND(CohortData!G207*CohortData!I207-CohortData!G207*Assumptions!$B$7,2)</f>
        <v>20097</v>
      </c>
      <c r="H207" s="7" t="n">
        <f aca="false">SUM(B207:E207,F207:G207)</f>
        <v>191215.86</v>
      </c>
      <c r="I207" s="6" t="n">
        <f aca="false">CEILING(H207,Assumptions!$B$8)</f>
        <v>191300</v>
      </c>
      <c r="J207" s="6" t="n">
        <f aca="false">FLOOR(H207,Assumptions!$B$8)</f>
        <v>191200</v>
      </c>
      <c r="K207" s="6" t="n">
        <f aca="false">ROUNDUP(H207,Assumptions!$B$9)</f>
        <v>191216</v>
      </c>
      <c r="L207" s="6" t="n">
        <f aca="false">ROUNDDOWN(H207,Assumptions!$B$10)</f>
        <v>191215</v>
      </c>
    </row>
    <row r="208" customFormat="false" ht="15" hidden="false" customHeight="false" outlineLevel="0" collapsed="false">
      <c r="A208" s="5" t="s">
        <v>251</v>
      </c>
      <c r="B208" s="6" t="n">
        <f aca="false">ROUND(CohortData!G208*CohortData!I208,2)</f>
        <v>98580</v>
      </c>
      <c r="C208" s="6" t="n">
        <f aca="false">ROUND(CohortData!L208*Assumptions!$B$4*CohortData!I208,2)</f>
        <v>13144</v>
      </c>
      <c r="D208" s="6" t="n">
        <f aca="false">ROUND(CohortData!E208*Assumptions!$B$5*CohortData!I208,2)</f>
        <v>5300</v>
      </c>
      <c r="E208" s="6" t="n">
        <f aca="false">ROUND(B208*Assumptions!$B$3,2)</f>
        <v>3450.3</v>
      </c>
      <c r="F208" s="6" t="n">
        <f aca="false">ROUND(B208*Assumptions!$B$6,2)</f>
        <v>1478.7</v>
      </c>
      <c r="G208" s="6" t="n">
        <f aca="false">ROUND(CohortData!G208*CohortData!I208-CohortData!G208*Assumptions!$B$7,2)</f>
        <v>0</v>
      </c>
      <c r="H208" s="7" t="n">
        <f aca="false">SUM(B208:E208,F208:G208)</f>
        <v>121953</v>
      </c>
      <c r="I208" s="6" t="n">
        <f aca="false">CEILING(H208,Assumptions!$B$8)</f>
        <v>122000</v>
      </c>
      <c r="J208" s="6" t="n">
        <f aca="false">FLOOR(H208,Assumptions!$B$8)</f>
        <v>121900</v>
      </c>
      <c r="K208" s="6" t="n">
        <f aca="false">ROUNDUP(H208,Assumptions!$B$9)</f>
        <v>121953</v>
      </c>
      <c r="L208" s="6" t="n">
        <f aca="false">ROUNDDOWN(H208,Assumptions!$B$10)</f>
        <v>121953</v>
      </c>
    </row>
    <row r="209" customFormat="false" ht="15" hidden="false" customHeight="false" outlineLevel="0" collapsed="false">
      <c r="A209" s="5" t="s">
        <v>252</v>
      </c>
      <c r="B209" s="6" t="n">
        <f aca="false">ROUND(CohortData!G209*CohortData!I209,2)</f>
        <v>147000</v>
      </c>
      <c r="C209" s="6" t="n">
        <f aca="false">ROUND(CohortData!L209*Assumptions!$B$4*CohortData!I209,2)</f>
        <v>19600</v>
      </c>
      <c r="D209" s="6" t="n">
        <f aca="false">ROUND(CohortData!E209*Assumptions!$B$5*CohortData!I209,2)</f>
        <v>7000</v>
      </c>
      <c r="E209" s="6" t="n">
        <f aca="false">ROUND(B209*Assumptions!$B$3,2)</f>
        <v>5145</v>
      </c>
      <c r="F209" s="6" t="n">
        <f aca="false">ROUND(B209*Assumptions!$B$6,2)</f>
        <v>2205</v>
      </c>
      <c r="G209" s="6" t="n">
        <f aca="false">ROUND(CohortData!G209*CohortData!I209-CohortData!G209*Assumptions!$B$7,2)</f>
        <v>0</v>
      </c>
      <c r="H209" s="7" t="n">
        <f aca="false">SUM(B209:E209,F209:G209)</f>
        <v>180950</v>
      </c>
      <c r="I209" s="6" t="n">
        <f aca="false">CEILING(H209,Assumptions!$B$8)</f>
        <v>181000</v>
      </c>
      <c r="J209" s="6" t="n">
        <f aca="false">FLOOR(H209,Assumptions!$B$8)</f>
        <v>180900</v>
      </c>
      <c r="K209" s="6" t="n">
        <f aca="false">ROUNDUP(H209,Assumptions!$B$9)</f>
        <v>180950</v>
      </c>
      <c r="L209" s="6" t="n">
        <f aca="false">ROUNDDOWN(H209,Assumptions!$B$10)</f>
        <v>180950</v>
      </c>
    </row>
    <row r="210" customFormat="false" ht="15" hidden="false" customHeight="false" outlineLevel="0" collapsed="false">
      <c r="A210" s="5" t="s">
        <v>253</v>
      </c>
      <c r="B210" s="6" t="n">
        <f aca="false">ROUND(CohortData!G210*CohortData!I210,2)</f>
        <v>35970</v>
      </c>
      <c r="C210" s="6" t="n">
        <f aca="false">ROUND(CohortData!L210*Assumptions!$B$4*CohortData!I210,2)</f>
        <v>4796</v>
      </c>
      <c r="D210" s="6" t="n">
        <f aca="false">ROUND(CohortData!E210*Assumptions!$B$5*CohortData!I210,2)</f>
        <v>2180</v>
      </c>
      <c r="E210" s="6" t="n">
        <f aca="false">ROUND(B210*Assumptions!$B$3,2)</f>
        <v>1258.95</v>
      </c>
      <c r="F210" s="6" t="n">
        <f aca="false">ROUND(B210*Assumptions!$B$6,2)</f>
        <v>539.55</v>
      </c>
      <c r="G210" s="6" t="n">
        <f aca="false">ROUND(CohortData!G210*CohortData!I210-CohortData!G210*Assumptions!$B$7,2)</f>
        <v>0</v>
      </c>
      <c r="H210" s="7" t="n">
        <f aca="false">SUM(B210:E210,F210:G210)</f>
        <v>44744.5</v>
      </c>
      <c r="I210" s="6" t="n">
        <f aca="false">CEILING(H210,Assumptions!$B$8)</f>
        <v>44800</v>
      </c>
      <c r="J210" s="6" t="n">
        <f aca="false">FLOOR(H210,Assumptions!$B$8)</f>
        <v>44700</v>
      </c>
      <c r="K210" s="6" t="n">
        <f aca="false">ROUNDUP(H210,Assumptions!$B$9)</f>
        <v>44745</v>
      </c>
      <c r="L210" s="6" t="n">
        <f aca="false">ROUNDDOWN(H210,Assumptions!$B$10)</f>
        <v>44744</v>
      </c>
    </row>
    <row r="211" customFormat="false" ht="15" hidden="false" customHeight="false" outlineLevel="0" collapsed="false">
      <c r="A211" s="5" t="s">
        <v>254</v>
      </c>
      <c r="B211" s="6" t="n">
        <f aca="false">ROUND(CohortData!G211*CohortData!I211,2)</f>
        <v>67164.6</v>
      </c>
      <c r="C211" s="6" t="n">
        <f aca="false">ROUND(CohortData!L211*Assumptions!$B$4*CohortData!I211,2)</f>
        <v>8955.28</v>
      </c>
      <c r="D211" s="6" t="n">
        <f aca="false">ROUND(CohortData!E211*Assumptions!$B$5*CohortData!I211,2)</f>
        <v>3611</v>
      </c>
      <c r="E211" s="6" t="n">
        <f aca="false">ROUND(B211*Assumptions!$B$3,2)</f>
        <v>2350.76</v>
      </c>
      <c r="F211" s="6" t="n">
        <f aca="false">ROUND(B211*Assumptions!$B$6,2)</f>
        <v>1007.47</v>
      </c>
      <c r="G211" s="6" t="n">
        <f aca="false">ROUND(CohortData!G211*CohortData!I211-CohortData!G211*Assumptions!$B$7,2)</f>
        <v>8760.6</v>
      </c>
      <c r="H211" s="7" t="n">
        <f aca="false">SUM(B211:E211,F211:G211)</f>
        <v>91849.71</v>
      </c>
      <c r="I211" s="6" t="n">
        <f aca="false">CEILING(H211,Assumptions!$B$8)</f>
        <v>91900</v>
      </c>
      <c r="J211" s="6" t="n">
        <f aca="false">FLOOR(H211,Assumptions!$B$8)</f>
        <v>91800</v>
      </c>
      <c r="K211" s="6" t="n">
        <f aca="false">ROUNDUP(H211,Assumptions!$B$9)</f>
        <v>91850</v>
      </c>
      <c r="L211" s="6" t="n">
        <f aca="false">ROUNDDOWN(H211,Assumptions!$B$10)</f>
        <v>91849</v>
      </c>
    </row>
    <row r="212" customFormat="false" ht="15" hidden="false" customHeight="false" outlineLevel="0" collapsed="false">
      <c r="A212" s="5" t="s">
        <v>255</v>
      </c>
      <c r="B212" s="6" t="n">
        <f aca="false">ROUND(CohortData!G212*CohortData!I212,2)</f>
        <v>119700</v>
      </c>
      <c r="C212" s="6" t="n">
        <f aca="false">ROUND(CohortData!L212*Assumptions!$B$4*CohortData!I212,2)</f>
        <v>15960</v>
      </c>
      <c r="D212" s="6" t="n">
        <f aca="false">ROUND(CohortData!E212*Assumptions!$B$5*CohortData!I212,2)</f>
        <v>5700</v>
      </c>
      <c r="E212" s="6" t="n">
        <f aca="false">ROUND(B212*Assumptions!$B$3,2)</f>
        <v>4189.5</v>
      </c>
      <c r="F212" s="6" t="n">
        <f aca="false">ROUND(B212*Assumptions!$B$6,2)</f>
        <v>1795.5</v>
      </c>
      <c r="G212" s="6" t="n">
        <f aca="false">ROUND(CohortData!G212*CohortData!I212-CohortData!G212*Assumptions!$B$7,2)</f>
        <v>0</v>
      </c>
      <c r="H212" s="7" t="n">
        <f aca="false">SUM(B212:E212,F212:G212)</f>
        <v>147345</v>
      </c>
      <c r="I212" s="6" t="n">
        <f aca="false">CEILING(H212,Assumptions!$B$8)</f>
        <v>147400</v>
      </c>
      <c r="J212" s="6" t="n">
        <f aca="false">FLOOR(H212,Assumptions!$B$8)</f>
        <v>147300</v>
      </c>
      <c r="K212" s="6" t="n">
        <f aca="false">ROUNDUP(H212,Assumptions!$B$9)</f>
        <v>147345</v>
      </c>
      <c r="L212" s="6" t="n">
        <f aca="false">ROUNDDOWN(H212,Assumptions!$B$10)</f>
        <v>147345</v>
      </c>
    </row>
    <row r="213" customFormat="false" ht="15" hidden="false" customHeight="false" outlineLevel="0" collapsed="false">
      <c r="A213" s="5" t="s">
        <v>256</v>
      </c>
      <c r="B213" s="6" t="n">
        <f aca="false">ROUND(CohortData!G213*CohortData!I213,2)</f>
        <v>84810</v>
      </c>
      <c r="C213" s="6" t="n">
        <f aca="false">ROUND(CohortData!L213*Assumptions!$B$4*CohortData!I213,2)</f>
        <v>11308</v>
      </c>
      <c r="D213" s="6" t="n">
        <f aca="false">ROUND(CohortData!E213*Assumptions!$B$5*CohortData!I213,2)</f>
        <v>5140</v>
      </c>
      <c r="E213" s="6" t="n">
        <f aca="false">ROUND(B213*Assumptions!$B$3,2)</f>
        <v>2968.35</v>
      </c>
      <c r="F213" s="6" t="n">
        <f aca="false">ROUND(B213*Assumptions!$B$6,2)</f>
        <v>1272.15</v>
      </c>
      <c r="G213" s="6" t="n">
        <f aca="false">ROUND(CohortData!G213*CohortData!I213-CohortData!G213*Assumptions!$B$7,2)</f>
        <v>0</v>
      </c>
      <c r="H213" s="7" t="n">
        <f aca="false">SUM(B213:E213,F213:G213)</f>
        <v>105498.5</v>
      </c>
      <c r="I213" s="6" t="n">
        <f aca="false">CEILING(H213,Assumptions!$B$8)</f>
        <v>105500</v>
      </c>
      <c r="J213" s="6" t="n">
        <f aca="false">FLOOR(H213,Assumptions!$B$8)</f>
        <v>105400</v>
      </c>
      <c r="K213" s="6" t="n">
        <f aca="false">ROUNDUP(H213,Assumptions!$B$9)</f>
        <v>105499</v>
      </c>
      <c r="L213" s="6" t="n">
        <f aca="false">ROUNDDOWN(H213,Assumptions!$B$10)</f>
        <v>105498</v>
      </c>
    </row>
    <row r="214" customFormat="false" ht="15" hidden="false" customHeight="false" outlineLevel="0" collapsed="false">
      <c r="A214" s="5" t="s">
        <v>257</v>
      </c>
      <c r="B214" s="6" t="n">
        <f aca="false">ROUND(CohortData!G214*CohortData!I214,2)</f>
        <v>82584</v>
      </c>
      <c r="C214" s="6" t="n">
        <f aca="false">ROUND(CohortData!L214*Assumptions!$B$4*CohortData!I214,2)</f>
        <v>11011.2</v>
      </c>
      <c r="D214" s="6" t="n">
        <f aca="false">ROUND(CohortData!E214*Assumptions!$B$5*CohortData!I214,2)</f>
        <v>4440</v>
      </c>
      <c r="E214" s="6" t="n">
        <f aca="false">ROUND(B214*Assumptions!$B$3,2)</f>
        <v>2890.44</v>
      </c>
      <c r="F214" s="6" t="n">
        <f aca="false">ROUND(B214*Assumptions!$B$6,2)</f>
        <v>1238.76</v>
      </c>
      <c r="G214" s="6" t="n">
        <f aca="false">ROUND(CohortData!G214*CohortData!I214-CohortData!G214*Assumptions!$B$7,2)</f>
        <v>0</v>
      </c>
      <c r="H214" s="7" t="n">
        <f aca="false">SUM(B214:E214,F214:G214)</f>
        <v>102164.4</v>
      </c>
      <c r="I214" s="6" t="n">
        <f aca="false">CEILING(H214,Assumptions!$B$8)</f>
        <v>102200</v>
      </c>
      <c r="J214" s="6" t="n">
        <f aca="false">FLOOR(H214,Assumptions!$B$8)</f>
        <v>102100</v>
      </c>
      <c r="K214" s="6" t="n">
        <f aca="false">ROUNDUP(H214,Assumptions!$B$9)</f>
        <v>102165</v>
      </c>
      <c r="L214" s="6" t="n">
        <f aca="false">ROUNDDOWN(H214,Assumptions!$B$10)</f>
        <v>102164</v>
      </c>
    </row>
    <row r="215" customFormat="false" ht="15" hidden="false" customHeight="false" outlineLevel="0" collapsed="false">
      <c r="A215" s="5" t="s">
        <v>258</v>
      </c>
      <c r="B215" s="6" t="n">
        <f aca="false">ROUND(CohortData!G215*CohortData!I215,2)</f>
        <v>62307</v>
      </c>
      <c r="C215" s="6" t="n">
        <f aca="false">ROUND(CohortData!L215*Assumptions!$B$4*CohortData!I215,2)</f>
        <v>8307.6</v>
      </c>
      <c r="D215" s="6" t="n">
        <f aca="false">ROUND(CohortData!E215*Assumptions!$B$5*CohortData!I215,2)</f>
        <v>2967</v>
      </c>
      <c r="E215" s="6" t="n">
        <f aca="false">ROUND(B215*Assumptions!$B$3,2)</f>
        <v>2180.75</v>
      </c>
      <c r="F215" s="6" t="n">
        <f aca="false">ROUND(B215*Assumptions!$B$6,2)</f>
        <v>934.61</v>
      </c>
      <c r="G215" s="6" t="n">
        <f aca="false">ROUND(CohortData!G215*CohortData!I215-CohortData!G215*Assumptions!$B$7,2)</f>
        <v>8127</v>
      </c>
      <c r="H215" s="7" t="n">
        <f aca="false">SUM(B215:E215,F215:G215)</f>
        <v>84823.96</v>
      </c>
      <c r="I215" s="6" t="n">
        <f aca="false">CEILING(H215,Assumptions!$B$8)</f>
        <v>84900</v>
      </c>
      <c r="J215" s="6" t="n">
        <f aca="false">FLOOR(H215,Assumptions!$B$8)</f>
        <v>84800</v>
      </c>
      <c r="K215" s="6" t="n">
        <f aca="false">ROUNDUP(H215,Assumptions!$B$9)</f>
        <v>84824</v>
      </c>
      <c r="L215" s="6" t="n">
        <f aca="false">ROUNDDOWN(H215,Assumptions!$B$10)</f>
        <v>84823</v>
      </c>
    </row>
    <row r="216" customFormat="false" ht="15" hidden="false" customHeight="false" outlineLevel="0" collapsed="false">
      <c r="A216" s="5" t="s">
        <v>259</v>
      </c>
      <c r="B216" s="6" t="n">
        <f aca="false">ROUND(CohortData!G216*CohortData!I216,2)</f>
        <v>73590</v>
      </c>
      <c r="C216" s="6" t="n">
        <f aca="false">ROUND(CohortData!L216*Assumptions!$B$4*CohortData!I216,2)</f>
        <v>9812</v>
      </c>
      <c r="D216" s="6" t="n">
        <f aca="false">ROUND(CohortData!E216*Assumptions!$B$5*CohortData!I216,2)</f>
        <v>4460</v>
      </c>
      <c r="E216" s="6" t="n">
        <f aca="false">ROUND(B216*Assumptions!$B$3,2)</f>
        <v>2575.65</v>
      </c>
      <c r="F216" s="6" t="n">
        <f aca="false">ROUND(B216*Assumptions!$B$6,2)</f>
        <v>1103.85</v>
      </c>
      <c r="G216" s="6" t="n">
        <f aca="false">ROUND(CohortData!G216*CohortData!I216-CohortData!G216*Assumptions!$B$7,2)</f>
        <v>0</v>
      </c>
      <c r="H216" s="7" t="n">
        <f aca="false">SUM(B216:E216,F216:G216)</f>
        <v>91541.5</v>
      </c>
      <c r="I216" s="6" t="n">
        <f aca="false">CEILING(H216,Assumptions!$B$8)</f>
        <v>91600</v>
      </c>
      <c r="J216" s="6" t="n">
        <f aca="false">FLOOR(H216,Assumptions!$B$8)</f>
        <v>91500</v>
      </c>
      <c r="K216" s="6" t="n">
        <f aca="false">ROUNDUP(H216,Assumptions!$B$9)</f>
        <v>91542</v>
      </c>
      <c r="L216" s="6" t="n">
        <f aca="false">ROUNDDOWN(H216,Assumptions!$B$10)</f>
        <v>91541</v>
      </c>
    </row>
    <row r="217" customFormat="false" ht="15" hidden="false" customHeight="false" outlineLevel="0" collapsed="false">
      <c r="A217" s="5" t="s">
        <v>260</v>
      </c>
      <c r="B217" s="6" t="n">
        <f aca="false">ROUND(CohortData!G217*CohortData!I217,2)</f>
        <v>145080</v>
      </c>
      <c r="C217" s="6" t="n">
        <f aca="false">ROUND(CohortData!L217*Assumptions!$B$4*CohortData!I217,2)</f>
        <v>19344</v>
      </c>
      <c r="D217" s="6" t="n">
        <f aca="false">ROUND(CohortData!E217*Assumptions!$B$5*CohortData!I217,2)</f>
        <v>7800</v>
      </c>
      <c r="E217" s="6" t="n">
        <f aca="false">ROUND(B217*Assumptions!$B$3,2)</f>
        <v>5077.8</v>
      </c>
      <c r="F217" s="6" t="n">
        <f aca="false">ROUND(B217*Assumptions!$B$6,2)</f>
        <v>2176.2</v>
      </c>
      <c r="G217" s="6" t="n">
        <f aca="false">ROUND(CohortData!G217*CohortData!I217-CohortData!G217*Assumptions!$B$7,2)</f>
        <v>0</v>
      </c>
      <c r="H217" s="7" t="n">
        <f aca="false">SUM(B217:E217,F217:G217)</f>
        <v>179478</v>
      </c>
      <c r="I217" s="6" t="n">
        <f aca="false">CEILING(H217,Assumptions!$B$8)</f>
        <v>179500</v>
      </c>
      <c r="J217" s="6" t="n">
        <f aca="false">FLOOR(H217,Assumptions!$B$8)</f>
        <v>179400</v>
      </c>
      <c r="K217" s="6" t="n">
        <f aca="false">ROUNDUP(H217,Assumptions!$B$9)</f>
        <v>179478</v>
      </c>
      <c r="L217" s="6" t="n">
        <f aca="false">ROUNDDOWN(H217,Assumptions!$B$10)</f>
        <v>179478</v>
      </c>
    </row>
    <row r="218" customFormat="false" ht="15" hidden="false" customHeight="false" outlineLevel="0" collapsed="false">
      <c r="A218" s="5" t="s">
        <v>261</v>
      </c>
      <c r="B218" s="6" t="n">
        <f aca="false">ROUND(CohortData!G218*CohortData!I218,2)</f>
        <v>58800</v>
      </c>
      <c r="C218" s="6" t="n">
        <f aca="false">ROUND(CohortData!L218*Assumptions!$B$4*CohortData!I218,2)</f>
        <v>7840</v>
      </c>
      <c r="D218" s="6" t="n">
        <f aca="false">ROUND(CohortData!E218*Assumptions!$B$5*CohortData!I218,2)</f>
        <v>2800</v>
      </c>
      <c r="E218" s="6" t="n">
        <f aca="false">ROUND(B218*Assumptions!$B$3,2)</f>
        <v>2058</v>
      </c>
      <c r="F218" s="6" t="n">
        <f aca="false">ROUND(B218*Assumptions!$B$6,2)</f>
        <v>882</v>
      </c>
      <c r="G218" s="6" t="n">
        <f aca="false">ROUND(CohortData!G218*CohortData!I218-CohortData!G218*Assumptions!$B$7,2)</f>
        <v>0</v>
      </c>
      <c r="H218" s="7" t="n">
        <f aca="false">SUM(B218:E218,F218:G218)</f>
        <v>72380</v>
      </c>
      <c r="I218" s="6" t="n">
        <f aca="false">CEILING(H218,Assumptions!$B$8)</f>
        <v>72400</v>
      </c>
      <c r="J218" s="6" t="n">
        <f aca="false">FLOOR(H218,Assumptions!$B$8)</f>
        <v>72300</v>
      </c>
      <c r="K218" s="6" t="n">
        <f aca="false">ROUNDUP(H218,Assumptions!$B$9)</f>
        <v>72380</v>
      </c>
      <c r="L218" s="6" t="n">
        <f aca="false">ROUNDDOWN(H218,Assumptions!$B$10)</f>
        <v>72380</v>
      </c>
    </row>
    <row r="219" customFormat="false" ht="15" hidden="false" customHeight="false" outlineLevel="0" collapsed="false">
      <c r="A219" s="5" t="s">
        <v>262</v>
      </c>
      <c r="B219" s="6" t="n">
        <f aca="false">ROUND(CohortData!G219*CohortData!I219,2)</f>
        <v>54268.5</v>
      </c>
      <c r="C219" s="6" t="n">
        <f aca="false">ROUND(CohortData!L219*Assumptions!$B$4*CohortData!I219,2)</f>
        <v>7235.8</v>
      </c>
      <c r="D219" s="6" t="n">
        <f aca="false">ROUND(CohortData!E219*Assumptions!$B$5*CohortData!I219,2)</f>
        <v>3289</v>
      </c>
      <c r="E219" s="6" t="n">
        <f aca="false">ROUND(B219*Assumptions!$B$3,2)</f>
        <v>1899.4</v>
      </c>
      <c r="F219" s="6" t="n">
        <f aca="false">ROUND(B219*Assumptions!$B$6,2)</f>
        <v>814.03</v>
      </c>
      <c r="G219" s="6" t="n">
        <f aca="false">ROUND(CohortData!G219*CohortData!I219-CohortData!G219*Assumptions!$B$7,2)</f>
        <v>7078.5</v>
      </c>
      <c r="H219" s="7" t="n">
        <f aca="false">SUM(B219:E219,F219:G219)</f>
        <v>74585.23</v>
      </c>
      <c r="I219" s="6" t="n">
        <f aca="false">CEILING(H219,Assumptions!$B$8)</f>
        <v>74600</v>
      </c>
      <c r="J219" s="6" t="n">
        <f aca="false">FLOOR(H219,Assumptions!$B$8)</f>
        <v>74500</v>
      </c>
      <c r="K219" s="6" t="n">
        <f aca="false">ROUNDUP(H219,Assumptions!$B$9)</f>
        <v>74586</v>
      </c>
      <c r="L219" s="6" t="n">
        <f aca="false">ROUNDDOWN(H219,Assumptions!$B$10)</f>
        <v>74585</v>
      </c>
    </row>
    <row r="220" customFormat="false" ht="15" hidden="false" customHeight="false" outlineLevel="0" collapsed="false">
      <c r="A220" s="5" t="s">
        <v>263</v>
      </c>
      <c r="B220" s="6" t="n">
        <f aca="false">ROUND(CohortData!G220*CohortData!I220,2)</f>
        <v>176328</v>
      </c>
      <c r="C220" s="6" t="n">
        <f aca="false">ROUND(CohortData!L220*Assumptions!$B$4*CohortData!I220,2)</f>
        <v>23510.4</v>
      </c>
      <c r="D220" s="6" t="n">
        <f aca="false">ROUND(CohortData!E220*Assumptions!$B$5*CohortData!I220,2)</f>
        <v>9480</v>
      </c>
      <c r="E220" s="6" t="n">
        <f aca="false">ROUND(B220*Assumptions!$B$3,2)</f>
        <v>6171.48</v>
      </c>
      <c r="F220" s="6" t="n">
        <f aca="false">ROUND(B220*Assumptions!$B$6,2)</f>
        <v>2644.92</v>
      </c>
      <c r="G220" s="6" t="n">
        <f aca="false">ROUND(CohortData!G220*CohortData!I220-CohortData!G220*Assumptions!$B$7,2)</f>
        <v>0</v>
      </c>
      <c r="H220" s="7" t="n">
        <f aca="false">SUM(B220:E220,F220:G220)</f>
        <v>218134.8</v>
      </c>
      <c r="I220" s="6" t="n">
        <f aca="false">CEILING(H220,Assumptions!$B$8)</f>
        <v>218200</v>
      </c>
      <c r="J220" s="6" t="n">
        <f aca="false">FLOOR(H220,Assumptions!$B$8)</f>
        <v>218100</v>
      </c>
      <c r="K220" s="6" t="n">
        <f aca="false">ROUNDUP(H220,Assumptions!$B$9)</f>
        <v>218135</v>
      </c>
      <c r="L220" s="6" t="n">
        <f aca="false">ROUNDDOWN(H220,Assumptions!$B$10)</f>
        <v>218134</v>
      </c>
    </row>
    <row r="221" customFormat="false" ht="15" hidden="false" customHeight="false" outlineLevel="0" collapsed="false">
      <c r="A221" s="5" t="s">
        <v>264</v>
      </c>
      <c r="B221" s="6" t="n">
        <f aca="false">ROUND(CohortData!G221*CohortData!I221,2)</f>
        <v>146160</v>
      </c>
      <c r="C221" s="6" t="n">
        <f aca="false">ROUND(CohortData!L221*Assumptions!$B$4*CohortData!I221,2)</f>
        <v>19488</v>
      </c>
      <c r="D221" s="6" t="n">
        <f aca="false">ROUND(CohortData!E221*Assumptions!$B$5*CohortData!I221,2)</f>
        <v>6960</v>
      </c>
      <c r="E221" s="6" t="n">
        <f aca="false">ROUND(B221*Assumptions!$B$3,2)</f>
        <v>5115.6</v>
      </c>
      <c r="F221" s="6" t="n">
        <f aca="false">ROUND(B221*Assumptions!$B$6,2)</f>
        <v>2192.4</v>
      </c>
      <c r="G221" s="6" t="n">
        <f aca="false">ROUND(CohortData!G221*CohortData!I221-CohortData!G221*Assumptions!$B$7,2)</f>
        <v>0</v>
      </c>
      <c r="H221" s="7" t="n">
        <f aca="false">SUM(B221:E221,F221:G221)</f>
        <v>179916</v>
      </c>
      <c r="I221" s="6" t="n">
        <f aca="false">CEILING(H221,Assumptions!$B$8)</f>
        <v>180000</v>
      </c>
      <c r="J221" s="6" t="n">
        <f aca="false">FLOOR(H221,Assumptions!$B$8)</f>
        <v>179900</v>
      </c>
      <c r="K221" s="6" t="n">
        <f aca="false">ROUNDUP(H221,Assumptions!$B$9)</f>
        <v>179916</v>
      </c>
      <c r="L221" s="6" t="n">
        <f aca="false">ROUNDDOWN(H221,Assumptions!$B$10)</f>
        <v>179916</v>
      </c>
    </row>
    <row r="222" customFormat="false" ht="15" hidden="false" customHeight="false" outlineLevel="0" collapsed="false">
      <c r="A222" s="5" t="s">
        <v>265</v>
      </c>
      <c r="B222" s="6" t="n">
        <f aca="false">ROUND(CohortData!G222*CohortData!I222,2)</f>
        <v>44550</v>
      </c>
      <c r="C222" s="6" t="n">
        <f aca="false">ROUND(CohortData!L222*Assumptions!$B$4*CohortData!I222,2)</f>
        <v>5940</v>
      </c>
      <c r="D222" s="6" t="n">
        <f aca="false">ROUND(CohortData!E222*Assumptions!$B$5*CohortData!I222,2)</f>
        <v>2700</v>
      </c>
      <c r="E222" s="6" t="n">
        <f aca="false">ROUND(B222*Assumptions!$B$3,2)</f>
        <v>1559.25</v>
      </c>
      <c r="F222" s="6" t="n">
        <f aca="false">ROUND(B222*Assumptions!$B$6,2)</f>
        <v>668.25</v>
      </c>
      <c r="G222" s="6" t="n">
        <f aca="false">ROUND(CohortData!G222*CohortData!I222-CohortData!G222*Assumptions!$B$7,2)</f>
        <v>0</v>
      </c>
      <c r="H222" s="7" t="n">
        <f aca="false">SUM(B222:E222,F222:G222)</f>
        <v>55417.5</v>
      </c>
      <c r="I222" s="6" t="n">
        <f aca="false">CEILING(H222,Assumptions!$B$8)</f>
        <v>55500</v>
      </c>
      <c r="J222" s="6" t="n">
        <f aca="false">FLOOR(H222,Assumptions!$B$8)</f>
        <v>55400</v>
      </c>
      <c r="K222" s="6" t="n">
        <f aca="false">ROUNDUP(H222,Assumptions!$B$9)</f>
        <v>55418</v>
      </c>
      <c r="L222" s="6" t="n">
        <f aca="false">ROUNDDOWN(H222,Assumptions!$B$10)</f>
        <v>55417</v>
      </c>
    </row>
    <row r="223" customFormat="false" ht="15" hidden="false" customHeight="false" outlineLevel="0" collapsed="false">
      <c r="A223" s="5" t="s">
        <v>266</v>
      </c>
      <c r="B223" s="6" t="n">
        <f aca="false">ROUND(CohortData!G223*CohortData!I223,2)</f>
        <v>209194.2</v>
      </c>
      <c r="C223" s="6" t="n">
        <f aca="false">ROUND(CohortData!L223*Assumptions!$B$4*CohortData!I223,2)</f>
        <v>27892.56</v>
      </c>
      <c r="D223" s="6" t="n">
        <f aca="false">ROUND(CohortData!E223*Assumptions!$B$5*CohortData!I223,2)</f>
        <v>11247</v>
      </c>
      <c r="E223" s="6" t="n">
        <f aca="false">ROUND(B223*Assumptions!$B$3,2)</f>
        <v>7321.8</v>
      </c>
      <c r="F223" s="6" t="n">
        <f aca="false">ROUND(B223*Assumptions!$B$6,2)</f>
        <v>3137.91</v>
      </c>
      <c r="G223" s="6" t="n">
        <f aca="false">ROUND(CohortData!G223*CohortData!I223-CohortData!G223*Assumptions!$B$7,2)</f>
        <v>27286.2</v>
      </c>
      <c r="H223" s="7" t="n">
        <f aca="false">SUM(B223:E223,F223:G223)</f>
        <v>286079.67</v>
      </c>
      <c r="I223" s="6" t="n">
        <f aca="false">CEILING(H223,Assumptions!$B$8)</f>
        <v>286100</v>
      </c>
      <c r="J223" s="6" t="n">
        <f aca="false">FLOOR(H223,Assumptions!$B$8)</f>
        <v>286000</v>
      </c>
      <c r="K223" s="6" t="n">
        <f aca="false">ROUNDUP(H223,Assumptions!$B$9)</f>
        <v>286080</v>
      </c>
      <c r="L223" s="6" t="n">
        <f aca="false">ROUNDDOWN(H223,Assumptions!$B$10)</f>
        <v>286079</v>
      </c>
    </row>
    <row r="224" customFormat="false" ht="15" hidden="false" customHeight="false" outlineLevel="0" collapsed="false">
      <c r="A224" s="5" t="s">
        <v>267</v>
      </c>
      <c r="B224" s="6" t="n">
        <f aca="false">ROUND(CohortData!G224*CohortData!I224,2)</f>
        <v>156240</v>
      </c>
      <c r="C224" s="6" t="n">
        <f aca="false">ROUND(CohortData!L224*Assumptions!$B$4*CohortData!I224,2)</f>
        <v>0</v>
      </c>
      <c r="D224" s="6" t="n">
        <f aca="false">ROUND(CohortData!E224*Assumptions!$B$5*CohortData!I224,2)</f>
        <v>7440</v>
      </c>
      <c r="E224" s="6" t="n">
        <f aca="false">ROUND(B224*Assumptions!$B$3,2)</f>
        <v>5468.4</v>
      </c>
      <c r="F224" s="6" t="n">
        <f aca="false">ROUND(B224*Assumptions!$B$6,2)</f>
        <v>2343.6</v>
      </c>
      <c r="G224" s="6" t="n">
        <f aca="false">ROUND(CohortData!G224*CohortData!I224-CohortData!G224*Assumptions!$B$7,2)</f>
        <v>0</v>
      </c>
      <c r="H224" s="7" t="n">
        <f aca="false">SUM(B224:E224,F224:G224)</f>
        <v>171492</v>
      </c>
      <c r="I224" s="6" t="n">
        <f aca="false">CEILING(H224,Assumptions!$B$8)</f>
        <v>171500</v>
      </c>
      <c r="J224" s="6" t="n">
        <f aca="false">FLOOR(H224,Assumptions!$B$8)</f>
        <v>171400</v>
      </c>
      <c r="K224" s="6" t="n">
        <f aca="false">ROUNDUP(H224,Assumptions!$B$9)</f>
        <v>171492</v>
      </c>
      <c r="L224" s="6" t="n">
        <f aca="false">ROUNDDOWN(H224,Assumptions!$B$10)</f>
        <v>171492</v>
      </c>
    </row>
    <row r="225" customFormat="false" ht="15" hidden="false" customHeight="false" outlineLevel="0" collapsed="false">
      <c r="A225" s="5" t="s">
        <v>268</v>
      </c>
      <c r="B225" s="6" t="n">
        <f aca="false">ROUND(CohortData!G225*CohortData!I225,2)</f>
        <v>162360</v>
      </c>
      <c r="C225" s="6" t="n">
        <f aca="false">ROUND(CohortData!L225*Assumptions!$B$4*CohortData!I225,2)</f>
        <v>21648</v>
      </c>
      <c r="D225" s="6" t="n">
        <f aca="false">ROUND(CohortData!E225*Assumptions!$B$5*CohortData!I225,2)</f>
        <v>9840</v>
      </c>
      <c r="E225" s="6" t="n">
        <f aca="false">ROUND(B225*Assumptions!$B$3,2)</f>
        <v>5682.6</v>
      </c>
      <c r="F225" s="6" t="n">
        <f aca="false">ROUND(B225*Assumptions!$B$6,2)</f>
        <v>2435.4</v>
      </c>
      <c r="G225" s="6" t="n">
        <f aca="false">ROUND(CohortData!G225*CohortData!I225-CohortData!G225*Assumptions!$B$7,2)</f>
        <v>0</v>
      </c>
      <c r="H225" s="7" t="n">
        <f aca="false">SUM(B225:E225,F225:G225)</f>
        <v>201966</v>
      </c>
      <c r="I225" s="6" t="n">
        <f aca="false">CEILING(H225,Assumptions!$B$8)</f>
        <v>202000</v>
      </c>
      <c r="J225" s="6" t="n">
        <f aca="false">FLOOR(H225,Assumptions!$B$8)</f>
        <v>201900</v>
      </c>
      <c r="K225" s="6" t="n">
        <f aca="false">ROUNDUP(H225,Assumptions!$B$9)</f>
        <v>201966</v>
      </c>
      <c r="L225" s="6" t="n">
        <f aca="false">ROUNDDOWN(H225,Assumptions!$B$10)</f>
        <v>201966</v>
      </c>
    </row>
    <row r="226" customFormat="false" ht="15" hidden="false" customHeight="false" outlineLevel="0" collapsed="false">
      <c r="A226" s="5" t="s">
        <v>269</v>
      </c>
      <c r="B226" s="6" t="n">
        <f aca="false">ROUND(CohortData!G226*CohortData!I226,2)</f>
        <v>61008</v>
      </c>
      <c r="C226" s="6" t="n">
        <f aca="false">ROUND(CohortData!L226*Assumptions!$B$4*CohortData!I226,2)</f>
        <v>8134.4</v>
      </c>
      <c r="D226" s="6" t="n">
        <f aca="false">ROUND(CohortData!E226*Assumptions!$B$5*CohortData!I226,2)</f>
        <v>3280</v>
      </c>
      <c r="E226" s="6" t="n">
        <f aca="false">ROUND(B226*Assumptions!$B$3,2)</f>
        <v>2135.28</v>
      </c>
      <c r="F226" s="6" t="n">
        <f aca="false">ROUND(B226*Assumptions!$B$6,2)</f>
        <v>915.12</v>
      </c>
      <c r="G226" s="6" t="n">
        <f aca="false">ROUND(CohortData!G226*CohortData!I226-CohortData!G226*Assumptions!$B$7,2)</f>
        <v>0</v>
      </c>
      <c r="H226" s="7" t="n">
        <f aca="false">SUM(B226:E226,F226:G226)</f>
        <v>75472.8</v>
      </c>
      <c r="I226" s="6" t="n">
        <f aca="false">CEILING(H226,Assumptions!$B$8)</f>
        <v>75500</v>
      </c>
      <c r="J226" s="6" t="n">
        <f aca="false">FLOOR(H226,Assumptions!$B$8)</f>
        <v>75400</v>
      </c>
      <c r="K226" s="6" t="n">
        <f aca="false">ROUNDUP(H226,Assumptions!$B$9)</f>
        <v>75473</v>
      </c>
      <c r="L226" s="6" t="n">
        <f aca="false">ROUNDDOWN(H226,Assumptions!$B$10)</f>
        <v>75472</v>
      </c>
    </row>
    <row r="227" customFormat="false" ht="15" hidden="false" customHeight="false" outlineLevel="0" collapsed="false">
      <c r="A227" s="5" t="s">
        <v>270</v>
      </c>
      <c r="B227" s="6" t="n">
        <f aca="false">ROUND(CohortData!G227*CohortData!I227,2)</f>
        <v>79695</v>
      </c>
      <c r="C227" s="6" t="n">
        <f aca="false">ROUND(CohortData!L227*Assumptions!$B$4*CohortData!I227,2)</f>
        <v>10626</v>
      </c>
      <c r="D227" s="6" t="n">
        <f aca="false">ROUND(CohortData!E227*Assumptions!$B$5*CohortData!I227,2)</f>
        <v>3795</v>
      </c>
      <c r="E227" s="6" t="n">
        <f aca="false">ROUND(B227*Assumptions!$B$3,2)</f>
        <v>2789.33</v>
      </c>
      <c r="F227" s="6" t="n">
        <f aca="false">ROUND(B227*Assumptions!$B$6,2)</f>
        <v>1195.43</v>
      </c>
      <c r="G227" s="6" t="n">
        <f aca="false">ROUND(CohortData!G227*CohortData!I227-CohortData!G227*Assumptions!$B$7,2)</f>
        <v>10395</v>
      </c>
      <c r="H227" s="7" t="n">
        <f aca="false">SUM(B227:E227,F227:G227)</f>
        <v>108495.76</v>
      </c>
      <c r="I227" s="6" t="n">
        <f aca="false">CEILING(H227,Assumptions!$B$8)</f>
        <v>108500</v>
      </c>
      <c r="J227" s="6" t="n">
        <f aca="false">FLOOR(H227,Assumptions!$B$8)</f>
        <v>108400</v>
      </c>
      <c r="K227" s="6" t="n">
        <f aca="false">ROUNDUP(H227,Assumptions!$B$9)</f>
        <v>108496</v>
      </c>
      <c r="L227" s="6" t="n">
        <f aca="false">ROUNDDOWN(H227,Assumptions!$B$10)</f>
        <v>108495</v>
      </c>
    </row>
    <row r="228" customFormat="false" ht="15" hidden="false" customHeight="false" outlineLevel="0" collapsed="false">
      <c r="A228" s="5" t="s">
        <v>271</v>
      </c>
      <c r="B228" s="6" t="n">
        <f aca="false">ROUND(CohortData!G228*CohortData!I228,2)</f>
        <v>144210</v>
      </c>
      <c r="C228" s="6" t="n">
        <f aca="false">ROUND(CohortData!L228*Assumptions!$B$4*CohortData!I228,2)</f>
        <v>19228</v>
      </c>
      <c r="D228" s="6" t="n">
        <f aca="false">ROUND(CohortData!E228*Assumptions!$B$5*CohortData!I228,2)</f>
        <v>8740</v>
      </c>
      <c r="E228" s="6" t="n">
        <f aca="false">ROUND(B228*Assumptions!$B$3,2)</f>
        <v>5047.35</v>
      </c>
      <c r="F228" s="6" t="n">
        <f aca="false">ROUND(B228*Assumptions!$B$6,2)</f>
        <v>2163.15</v>
      </c>
      <c r="G228" s="6" t="n">
        <f aca="false">ROUND(CohortData!G228*CohortData!I228-CohortData!G228*Assumptions!$B$7,2)</f>
        <v>0</v>
      </c>
      <c r="H228" s="7" t="n">
        <f aca="false">SUM(B228:E228,F228:G228)</f>
        <v>179388.5</v>
      </c>
      <c r="I228" s="6" t="n">
        <f aca="false">CEILING(H228,Assumptions!$B$8)</f>
        <v>179400</v>
      </c>
      <c r="J228" s="6" t="n">
        <f aca="false">FLOOR(H228,Assumptions!$B$8)</f>
        <v>179300</v>
      </c>
      <c r="K228" s="6" t="n">
        <f aca="false">ROUNDUP(H228,Assumptions!$B$9)</f>
        <v>179389</v>
      </c>
      <c r="L228" s="6" t="n">
        <f aca="false">ROUNDDOWN(H228,Assumptions!$B$10)</f>
        <v>179388</v>
      </c>
    </row>
    <row r="229" customFormat="false" ht="15" hidden="false" customHeight="false" outlineLevel="0" collapsed="false">
      <c r="A229" s="5" t="s">
        <v>272</v>
      </c>
      <c r="B229" s="6" t="n">
        <f aca="false">ROUND(CohortData!G229*CohortData!I229,2)</f>
        <v>127596</v>
      </c>
      <c r="C229" s="6" t="n">
        <f aca="false">ROUND(CohortData!L229*Assumptions!$B$4*CohortData!I229,2)</f>
        <v>17012.8</v>
      </c>
      <c r="D229" s="6" t="n">
        <f aca="false">ROUND(CohortData!E229*Assumptions!$B$5*CohortData!I229,2)</f>
        <v>6860</v>
      </c>
      <c r="E229" s="6" t="n">
        <f aca="false">ROUND(B229*Assumptions!$B$3,2)</f>
        <v>4465.86</v>
      </c>
      <c r="F229" s="6" t="n">
        <f aca="false">ROUND(B229*Assumptions!$B$6,2)</f>
        <v>1913.94</v>
      </c>
      <c r="G229" s="6" t="n">
        <f aca="false">ROUND(CohortData!G229*CohortData!I229-CohortData!G229*Assumptions!$B$7,2)</f>
        <v>0</v>
      </c>
      <c r="H229" s="7" t="n">
        <f aca="false">SUM(B229:E229,F229:G229)</f>
        <v>157848.6</v>
      </c>
      <c r="I229" s="6" t="n">
        <f aca="false">CEILING(H229,Assumptions!$B$8)</f>
        <v>157900</v>
      </c>
      <c r="J229" s="6" t="n">
        <f aca="false">FLOOR(H229,Assumptions!$B$8)</f>
        <v>157800</v>
      </c>
      <c r="K229" s="6" t="n">
        <f aca="false">ROUNDUP(H229,Assumptions!$B$9)</f>
        <v>157849</v>
      </c>
      <c r="L229" s="6" t="n">
        <f aca="false">ROUNDDOWN(H229,Assumptions!$B$10)</f>
        <v>157848</v>
      </c>
    </row>
    <row r="230" customFormat="false" ht="15" hidden="false" customHeight="false" outlineLevel="0" collapsed="false">
      <c r="A230" s="5" t="s">
        <v>273</v>
      </c>
      <c r="B230" s="6" t="n">
        <f aca="false">ROUND(CohortData!G230*CohortData!I230,2)</f>
        <v>160020</v>
      </c>
      <c r="C230" s="6" t="n">
        <f aca="false">ROUND(CohortData!L230*Assumptions!$B$4*CohortData!I230,2)</f>
        <v>21336</v>
      </c>
      <c r="D230" s="6" t="n">
        <f aca="false">ROUND(CohortData!E230*Assumptions!$B$5*CohortData!I230,2)</f>
        <v>7620</v>
      </c>
      <c r="E230" s="6" t="n">
        <f aca="false">ROUND(B230*Assumptions!$B$3,2)</f>
        <v>5600.7</v>
      </c>
      <c r="F230" s="6" t="n">
        <f aca="false">ROUND(B230*Assumptions!$B$6,2)</f>
        <v>2400.3</v>
      </c>
      <c r="G230" s="6" t="n">
        <f aca="false">ROUND(CohortData!G230*CohortData!I230-CohortData!G230*Assumptions!$B$7,2)</f>
        <v>0</v>
      </c>
      <c r="H230" s="7" t="n">
        <f aca="false">SUM(B230:E230,F230:G230)</f>
        <v>196977</v>
      </c>
      <c r="I230" s="6" t="n">
        <f aca="false">CEILING(H230,Assumptions!$B$8)</f>
        <v>197000</v>
      </c>
      <c r="J230" s="6" t="n">
        <f aca="false">FLOOR(H230,Assumptions!$B$8)</f>
        <v>196900</v>
      </c>
      <c r="K230" s="6" t="n">
        <f aca="false">ROUNDUP(H230,Assumptions!$B$9)</f>
        <v>196977</v>
      </c>
      <c r="L230" s="6" t="n">
        <f aca="false">ROUNDDOWN(H230,Assumptions!$B$10)</f>
        <v>196977</v>
      </c>
    </row>
    <row r="231" customFormat="false" ht="15" hidden="false" customHeight="false" outlineLevel="0" collapsed="false">
      <c r="A231" s="5" t="s">
        <v>274</v>
      </c>
      <c r="B231" s="6" t="n">
        <f aca="false">ROUND(CohortData!G231*CohortData!I231,2)</f>
        <v>69828</v>
      </c>
      <c r="C231" s="6" t="n">
        <f aca="false">ROUND(CohortData!L231*Assumptions!$B$4*CohortData!I231,2)</f>
        <v>9310.4</v>
      </c>
      <c r="D231" s="6" t="n">
        <f aca="false">ROUND(CohortData!E231*Assumptions!$B$5*CohortData!I231,2)</f>
        <v>4232</v>
      </c>
      <c r="E231" s="6" t="n">
        <f aca="false">ROUND(B231*Assumptions!$B$3,2)</f>
        <v>2443.98</v>
      </c>
      <c r="F231" s="6" t="n">
        <f aca="false">ROUND(B231*Assumptions!$B$6,2)</f>
        <v>1047.42</v>
      </c>
      <c r="G231" s="6" t="n">
        <f aca="false">ROUND(CohortData!G231*CohortData!I231-CohortData!G231*Assumptions!$B$7,2)</f>
        <v>9108</v>
      </c>
      <c r="H231" s="7" t="n">
        <f aca="false">SUM(B231:E231,F231:G231)</f>
        <v>95969.8</v>
      </c>
      <c r="I231" s="6" t="n">
        <f aca="false">CEILING(H231,Assumptions!$B$8)</f>
        <v>96000</v>
      </c>
      <c r="J231" s="6" t="n">
        <f aca="false">FLOOR(H231,Assumptions!$B$8)</f>
        <v>95900</v>
      </c>
      <c r="K231" s="6" t="n">
        <f aca="false">ROUNDUP(H231,Assumptions!$B$9)</f>
        <v>95970</v>
      </c>
      <c r="L231" s="6" t="n">
        <f aca="false">ROUNDDOWN(H231,Assumptions!$B$10)</f>
        <v>95969</v>
      </c>
    </row>
    <row r="232" customFormat="false" ht="15" hidden="false" customHeight="false" outlineLevel="0" collapsed="false">
      <c r="A232" s="5" t="s">
        <v>275</v>
      </c>
      <c r="B232" s="6" t="n">
        <f aca="false">ROUND(CohortData!G232*CohortData!I232,2)</f>
        <v>87420</v>
      </c>
      <c r="C232" s="6" t="n">
        <f aca="false">ROUND(CohortData!L232*Assumptions!$B$4*CohortData!I232,2)</f>
        <v>11656</v>
      </c>
      <c r="D232" s="6" t="n">
        <f aca="false">ROUND(CohortData!E232*Assumptions!$B$5*CohortData!I232,2)</f>
        <v>4700</v>
      </c>
      <c r="E232" s="6" t="n">
        <f aca="false">ROUND(B232*Assumptions!$B$3,2)</f>
        <v>3059.7</v>
      </c>
      <c r="F232" s="6" t="n">
        <f aca="false">ROUND(B232*Assumptions!$B$6,2)</f>
        <v>1311.3</v>
      </c>
      <c r="G232" s="6" t="n">
        <f aca="false">ROUND(CohortData!G232*CohortData!I232-CohortData!G232*Assumptions!$B$7,2)</f>
        <v>0</v>
      </c>
      <c r="H232" s="7" t="n">
        <f aca="false">SUM(B232:E232,F232:G232)</f>
        <v>108147</v>
      </c>
      <c r="I232" s="6" t="n">
        <f aca="false">CEILING(H232,Assumptions!$B$8)</f>
        <v>108200</v>
      </c>
      <c r="J232" s="6" t="n">
        <f aca="false">FLOOR(H232,Assumptions!$B$8)</f>
        <v>108100</v>
      </c>
      <c r="K232" s="6" t="n">
        <f aca="false">ROUNDUP(H232,Assumptions!$B$9)</f>
        <v>108147</v>
      </c>
      <c r="L232" s="6" t="n">
        <f aca="false">ROUNDDOWN(H232,Assumptions!$B$10)</f>
        <v>108147</v>
      </c>
    </row>
    <row r="233" customFormat="false" ht="15" hidden="false" customHeight="false" outlineLevel="0" collapsed="false">
      <c r="A233" s="5" t="s">
        <v>276</v>
      </c>
      <c r="B233" s="6" t="n">
        <f aca="false">ROUND(CohortData!G233*CohortData!I233,2)</f>
        <v>155400</v>
      </c>
      <c r="C233" s="6" t="n">
        <f aca="false">ROUND(CohortData!L233*Assumptions!$B$4*CohortData!I233,2)</f>
        <v>20720</v>
      </c>
      <c r="D233" s="6" t="n">
        <f aca="false">ROUND(CohortData!E233*Assumptions!$B$5*CohortData!I233,2)</f>
        <v>7400</v>
      </c>
      <c r="E233" s="6" t="n">
        <f aca="false">ROUND(B233*Assumptions!$B$3,2)</f>
        <v>5439</v>
      </c>
      <c r="F233" s="6" t="n">
        <f aca="false">ROUND(B233*Assumptions!$B$6,2)</f>
        <v>2331</v>
      </c>
      <c r="G233" s="6" t="n">
        <f aca="false">ROUND(CohortData!G233*CohortData!I233-CohortData!G233*Assumptions!$B$7,2)</f>
        <v>0</v>
      </c>
      <c r="H233" s="7" t="n">
        <f aca="false">SUM(B233:E233,F233:G233)</f>
        <v>191290</v>
      </c>
      <c r="I233" s="6" t="n">
        <f aca="false">CEILING(H233,Assumptions!$B$8)</f>
        <v>191300</v>
      </c>
      <c r="J233" s="6" t="n">
        <f aca="false">FLOOR(H233,Assumptions!$B$8)</f>
        <v>191200</v>
      </c>
      <c r="K233" s="6" t="n">
        <f aca="false">ROUNDUP(H233,Assumptions!$B$9)</f>
        <v>191290</v>
      </c>
      <c r="L233" s="6" t="n">
        <f aca="false">ROUNDDOWN(H233,Assumptions!$B$10)</f>
        <v>191290</v>
      </c>
    </row>
    <row r="234" customFormat="false" ht="15" hidden="false" customHeight="false" outlineLevel="0" collapsed="false">
      <c r="A234" s="5" t="s">
        <v>277</v>
      </c>
      <c r="B234" s="6" t="n">
        <f aca="false">ROUND(CohortData!G234*CohortData!I234,2)</f>
        <v>135300</v>
      </c>
      <c r="C234" s="6" t="n">
        <f aca="false">ROUND(CohortData!L234*Assumptions!$B$4*CohortData!I234,2)</f>
        <v>18040</v>
      </c>
      <c r="D234" s="6" t="n">
        <f aca="false">ROUND(CohortData!E234*Assumptions!$B$5*CohortData!I234,2)</f>
        <v>8200</v>
      </c>
      <c r="E234" s="6" t="n">
        <f aca="false">ROUND(B234*Assumptions!$B$3,2)</f>
        <v>4735.5</v>
      </c>
      <c r="F234" s="6" t="n">
        <f aca="false">ROUND(B234*Assumptions!$B$6,2)</f>
        <v>2029.5</v>
      </c>
      <c r="G234" s="6" t="n">
        <f aca="false">ROUND(CohortData!G234*CohortData!I234-CohortData!G234*Assumptions!$B$7,2)</f>
        <v>0</v>
      </c>
      <c r="H234" s="7" t="n">
        <f aca="false">SUM(B234:E234,F234:G234)</f>
        <v>168305</v>
      </c>
      <c r="I234" s="6" t="n">
        <f aca="false">CEILING(H234,Assumptions!$B$8)</f>
        <v>168400</v>
      </c>
      <c r="J234" s="6" t="n">
        <f aca="false">FLOOR(H234,Assumptions!$B$8)</f>
        <v>168300</v>
      </c>
      <c r="K234" s="6" t="n">
        <f aca="false">ROUNDUP(H234,Assumptions!$B$9)</f>
        <v>168305</v>
      </c>
      <c r="L234" s="6" t="n">
        <f aca="false">ROUNDDOWN(H234,Assumptions!$B$10)</f>
        <v>168305</v>
      </c>
    </row>
    <row r="235" customFormat="false" ht="15" hidden="false" customHeight="false" outlineLevel="0" collapsed="false">
      <c r="A235" s="5" t="s">
        <v>278</v>
      </c>
      <c r="B235" s="6" t="n">
        <f aca="false">ROUND(CohortData!G235*CohortData!I235,2)</f>
        <v>135184.8</v>
      </c>
      <c r="C235" s="6" t="n">
        <f aca="false">ROUND(CohortData!L235*Assumptions!$B$4*CohortData!I235,2)</f>
        <v>18024.64</v>
      </c>
      <c r="D235" s="6" t="n">
        <f aca="false">ROUND(CohortData!E235*Assumptions!$B$5*CohortData!I235,2)</f>
        <v>7268</v>
      </c>
      <c r="E235" s="6" t="n">
        <f aca="false">ROUND(B235*Assumptions!$B$3,2)</f>
        <v>4731.47</v>
      </c>
      <c r="F235" s="6" t="n">
        <f aca="false">ROUND(B235*Assumptions!$B$6,2)</f>
        <v>2027.77</v>
      </c>
      <c r="G235" s="6" t="n">
        <f aca="false">ROUND(CohortData!G235*CohortData!I235-CohortData!G235*Assumptions!$B$7,2)</f>
        <v>17632.8</v>
      </c>
      <c r="H235" s="7" t="n">
        <f aca="false">SUM(B235:E235,F235:G235)</f>
        <v>184869.48</v>
      </c>
      <c r="I235" s="6" t="n">
        <f aca="false">CEILING(H235,Assumptions!$B$8)</f>
        <v>184900</v>
      </c>
      <c r="J235" s="6" t="n">
        <f aca="false">FLOOR(H235,Assumptions!$B$8)</f>
        <v>184800</v>
      </c>
      <c r="K235" s="6" t="n">
        <f aca="false">ROUNDUP(H235,Assumptions!$B$9)</f>
        <v>184870</v>
      </c>
      <c r="L235" s="6" t="n">
        <f aca="false">ROUNDDOWN(H235,Assumptions!$B$10)</f>
        <v>184869</v>
      </c>
    </row>
    <row r="236" customFormat="false" ht="15" hidden="false" customHeight="false" outlineLevel="0" collapsed="false">
      <c r="A236" s="5" t="s">
        <v>279</v>
      </c>
      <c r="B236" s="6" t="n">
        <f aca="false">ROUND(CohortData!G236*CohortData!I236,2)</f>
        <v>87360</v>
      </c>
      <c r="C236" s="6" t="n">
        <f aca="false">ROUND(CohortData!L236*Assumptions!$B$4*CohortData!I236,2)</f>
        <v>11648</v>
      </c>
      <c r="D236" s="6" t="n">
        <f aca="false">ROUND(CohortData!E236*Assumptions!$B$5*CohortData!I236,2)</f>
        <v>4160</v>
      </c>
      <c r="E236" s="6" t="n">
        <f aca="false">ROUND(B236*Assumptions!$B$3,2)</f>
        <v>3057.6</v>
      </c>
      <c r="F236" s="6" t="n">
        <f aca="false">ROUND(B236*Assumptions!$B$6,2)</f>
        <v>1310.4</v>
      </c>
      <c r="G236" s="6" t="n">
        <f aca="false">ROUND(CohortData!G236*CohortData!I236-CohortData!G236*Assumptions!$B$7,2)</f>
        <v>0</v>
      </c>
      <c r="H236" s="7" t="n">
        <f aca="false">SUM(B236:E236,F236:G236)</f>
        <v>107536</v>
      </c>
      <c r="I236" s="6" t="n">
        <f aca="false">CEILING(H236,Assumptions!$B$8)</f>
        <v>107600</v>
      </c>
      <c r="J236" s="6" t="n">
        <f aca="false">FLOOR(H236,Assumptions!$B$8)</f>
        <v>107500</v>
      </c>
      <c r="K236" s="6" t="n">
        <f aca="false">ROUNDUP(H236,Assumptions!$B$9)</f>
        <v>107536</v>
      </c>
      <c r="L236" s="6" t="n">
        <f aca="false">ROUNDDOWN(H236,Assumptions!$B$10)</f>
        <v>107536</v>
      </c>
    </row>
    <row r="237" customFormat="false" ht="15" hidden="false" customHeight="false" outlineLevel="0" collapsed="false">
      <c r="A237" s="5" t="s">
        <v>280</v>
      </c>
      <c r="B237" s="6" t="n">
        <f aca="false">ROUND(CohortData!G237*CohortData!I237,2)</f>
        <v>124080</v>
      </c>
      <c r="C237" s="6" t="n">
        <f aca="false">ROUND(CohortData!L237*Assumptions!$B$4*CohortData!I237,2)</f>
        <v>16544</v>
      </c>
      <c r="D237" s="6" t="n">
        <f aca="false">ROUND(CohortData!E237*Assumptions!$B$5*CohortData!I237,2)</f>
        <v>7520</v>
      </c>
      <c r="E237" s="6" t="n">
        <f aca="false">ROUND(B237*Assumptions!$B$3,2)</f>
        <v>4342.8</v>
      </c>
      <c r="F237" s="6" t="n">
        <f aca="false">ROUND(B237*Assumptions!$B$6,2)</f>
        <v>1861.2</v>
      </c>
      <c r="G237" s="6" t="n">
        <f aca="false">ROUND(CohortData!G237*CohortData!I237-CohortData!G237*Assumptions!$B$7,2)</f>
        <v>0</v>
      </c>
      <c r="H237" s="7" t="n">
        <f aca="false">SUM(B237:E237,F237:G237)</f>
        <v>154348</v>
      </c>
      <c r="I237" s="6" t="n">
        <f aca="false">CEILING(H237,Assumptions!$B$8)</f>
        <v>154400</v>
      </c>
      <c r="J237" s="6" t="n">
        <f aca="false">FLOOR(H237,Assumptions!$B$8)</f>
        <v>154300</v>
      </c>
      <c r="K237" s="6" t="n">
        <f aca="false">ROUNDUP(H237,Assumptions!$B$9)</f>
        <v>154348</v>
      </c>
      <c r="L237" s="6" t="n">
        <f aca="false">ROUNDDOWN(H237,Assumptions!$B$10)</f>
        <v>154348</v>
      </c>
    </row>
    <row r="238" customFormat="false" ht="15" hidden="false" customHeight="false" outlineLevel="0" collapsed="false">
      <c r="A238" s="5" t="s">
        <v>281</v>
      </c>
      <c r="B238" s="6" t="n">
        <f aca="false">ROUND(CohortData!G238*CohortData!I238,2)</f>
        <v>180792</v>
      </c>
      <c r="C238" s="6" t="n">
        <f aca="false">ROUND(CohortData!L238*Assumptions!$B$4*CohortData!I238,2)</f>
        <v>24105.6</v>
      </c>
      <c r="D238" s="6" t="n">
        <f aca="false">ROUND(CohortData!E238*Assumptions!$B$5*CohortData!I238,2)</f>
        <v>9720</v>
      </c>
      <c r="E238" s="6" t="n">
        <f aca="false">ROUND(B238*Assumptions!$B$3,2)</f>
        <v>6327.72</v>
      </c>
      <c r="F238" s="6" t="n">
        <f aca="false">ROUND(B238*Assumptions!$B$6,2)</f>
        <v>2711.88</v>
      </c>
      <c r="G238" s="6" t="n">
        <f aca="false">ROUND(CohortData!G238*CohortData!I238-CohortData!G238*Assumptions!$B$7,2)</f>
        <v>0</v>
      </c>
      <c r="H238" s="7" t="n">
        <f aca="false">SUM(B238:E238,F238:G238)</f>
        <v>223657.2</v>
      </c>
      <c r="I238" s="6" t="n">
        <f aca="false">CEILING(H238,Assumptions!$B$8)</f>
        <v>223700</v>
      </c>
      <c r="J238" s="6" t="n">
        <f aca="false">FLOOR(H238,Assumptions!$B$8)</f>
        <v>223600</v>
      </c>
      <c r="K238" s="6" t="n">
        <f aca="false">ROUNDUP(H238,Assumptions!$B$9)</f>
        <v>223658</v>
      </c>
      <c r="L238" s="6" t="n">
        <f aca="false">ROUNDDOWN(H238,Assumptions!$B$10)</f>
        <v>223657</v>
      </c>
    </row>
    <row r="239" customFormat="false" ht="15" hidden="false" customHeight="false" outlineLevel="0" collapsed="false">
      <c r="A239" s="5" t="s">
        <v>282</v>
      </c>
      <c r="B239" s="6" t="n">
        <f aca="false">ROUND(CohortData!G239*CohortData!I239,2)</f>
        <v>228459</v>
      </c>
      <c r="C239" s="6" t="n">
        <f aca="false">ROUND(CohortData!L239*Assumptions!$B$4*CohortData!I239,2)</f>
        <v>30461.2</v>
      </c>
      <c r="D239" s="6" t="n">
        <f aca="false">ROUND(CohortData!E239*Assumptions!$B$5*CohortData!I239,2)</f>
        <v>10879</v>
      </c>
      <c r="E239" s="6" t="n">
        <f aca="false">ROUND(B239*Assumptions!$B$3,2)</f>
        <v>7996.07</v>
      </c>
      <c r="F239" s="6" t="n">
        <f aca="false">ROUND(B239*Assumptions!$B$6,2)</f>
        <v>3426.89</v>
      </c>
      <c r="G239" s="6" t="n">
        <f aca="false">ROUND(CohortData!G239*CohortData!I239-CohortData!G239*Assumptions!$B$7,2)</f>
        <v>29799</v>
      </c>
      <c r="H239" s="7" t="n">
        <f aca="false">SUM(B239:E239,F239:G239)</f>
        <v>311021.16</v>
      </c>
      <c r="I239" s="6" t="n">
        <f aca="false">CEILING(H239,Assumptions!$B$8)</f>
        <v>311100</v>
      </c>
      <c r="J239" s="6" t="n">
        <f aca="false">FLOOR(H239,Assumptions!$B$8)</f>
        <v>311000</v>
      </c>
      <c r="K239" s="6" t="n">
        <f aca="false">ROUNDUP(H239,Assumptions!$B$9)</f>
        <v>311022</v>
      </c>
      <c r="L239" s="6" t="n">
        <f aca="false">ROUNDDOWN(H239,Assumptions!$B$10)</f>
        <v>311021</v>
      </c>
    </row>
    <row r="240" customFormat="false" ht="15" hidden="false" customHeight="false" outlineLevel="0" collapsed="false">
      <c r="A240" s="5" t="s">
        <v>283</v>
      </c>
      <c r="B240" s="6" t="n">
        <f aca="false">ROUND(CohortData!G240*CohortData!I240,2)</f>
        <v>149490</v>
      </c>
      <c r="C240" s="6" t="n">
        <f aca="false">ROUND(CohortData!L240*Assumptions!$B$4*CohortData!I240,2)</f>
        <v>19932</v>
      </c>
      <c r="D240" s="6" t="n">
        <f aca="false">ROUND(CohortData!E240*Assumptions!$B$5*CohortData!I240,2)</f>
        <v>9060</v>
      </c>
      <c r="E240" s="6" t="n">
        <f aca="false">ROUND(B240*Assumptions!$B$3,2)</f>
        <v>5232.15</v>
      </c>
      <c r="F240" s="6" t="n">
        <f aca="false">ROUND(B240*Assumptions!$B$6,2)</f>
        <v>2242.35</v>
      </c>
      <c r="G240" s="6" t="n">
        <f aca="false">ROUND(CohortData!G240*CohortData!I240-CohortData!G240*Assumptions!$B$7,2)</f>
        <v>0</v>
      </c>
      <c r="H240" s="7" t="n">
        <f aca="false">SUM(B240:E240,F240:G240)</f>
        <v>185956.5</v>
      </c>
      <c r="I240" s="6" t="n">
        <f aca="false">CEILING(H240,Assumptions!$B$8)</f>
        <v>186000</v>
      </c>
      <c r="J240" s="6" t="n">
        <f aca="false">FLOOR(H240,Assumptions!$B$8)</f>
        <v>185900</v>
      </c>
      <c r="K240" s="6" t="n">
        <f aca="false">ROUNDUP(H240,Assumptions!$B$9)</f>
        <v>185957</v>
      </c>
      <c r="L240" s="6" t="n">
        <f aca="false">ROUNDDOWN(H240,Assumptions!$B$10)</f>
        <v>185956</v>
      </c>
    </row>
    <row r="241" customFormat="false" ht="15" hidden="false" customHeight="false" outlineLevel="0" collapsed="false">
      <c r="A241" s="5" t="s">
        <v>284</v>
      </c>
      <c r="B241" s="6" t="n">
        <f aca="false">ROUND(CohortData!G241*CohortData!I241,2)</f>
        <v>75144</v>
      </c>
      <c r="C241" s="6" t="n">
        <f aca="false">ROUND(CohortData!L241*Assumptions!$B$4*CohortData!I241,2)</f>
        <v>0</v>
      </c>
      <c r="D241" s="6" t="n">
        <f aca="false">ROUND(CohortData!E241*Assumptions!$B$5*CohortData!I241,2)</f>
        <v>4040</v>
      </c>
      <c r="E241" s="6" t="n">
        <f aca="false">ROUND(B241*Assumptions!$B$3,2)</f>
        <v>2630.04</v>
      </c>
      <c r="F241" s="6" t="n">
        <f aca="false">ROUND(B241*Assumptions!$B$6,2)</f>
        <v>1127.16</v>
      </c>
      <c r="G241" s="6" t="n">
        <f aca="false">ROUND(CohortData!G241*CohortData!I241-CohortData!G241*Assumptions!$B$7,2)</f>
        <v>0</v>
      </c>
      <c r="H241" s="7" t="n">
        <f aca="false">SUM(B241:E241,F241:G241)</f>
        <v>82941.2</v>
      </c>
      <c r="I241" s="6" t="n">
        <f aca="false">CEILING(H241,Assumptions!$B$8)</f>
        <v>83000</v>
      </c>
      <c r="J241" s="6" t="n">
        <f aca="false">FLOOR(H241,Assumptions!$B$8)</f>
        <v>82900</v>
      </c>
      <c r="K241" s="6" t="n">
        <f aca="false">ROUNDUP(H241,Assumptions!$B$9)</f>
        <v>82942</v>
      </c>
      <c r="L241" s="6" t="n">
        <f aca="false">ROUNDDOWN(H241,Assumptions!$B$10)</f>
        <v>82941</v>
      </c>
    </row>
    <row r="242" customFormat="false" ht="15" hidden="false" customHeight="false" outlineLevel="0" collapsed="false">
      <c r="A242" s="5" t="s">
        <v>285</v>
      </c>
      <c r="B242" s="6" t="n">
        <f aca="false">ROUND(CohortData!G242*CohortData!I242,2)</f>
        <v>195300</v>
      </c>
      <c r="C242" s="6" t="n">
        <f aca="false">ROUND(CohortData!L242*Assumptions!$B$4*CohortData!I242,2)</f>
        <v>26040</v>
      </c>
      <c r="D242" s="6" t="n">
        <f aca="false">ROUND(CohortData!E242*Assumptions!$B$5*CohortData!I242,2)</f>
        <v>9300</v>
      </c>
      <c r="E242" s="6" t="n">
        <f aca="false">ROUND(B242*Assumptions!$B$3,2)</f>
        <v>6835.5</v>
      </c>
      <c r="F242" s="6" t="n">
        <f aca="false">ROUND(B242*Assumptions!$B$6,2)</f>
        <v>2929.5</v>
      </c>
      <c r="G242" s="6" t="n">
        <f aca="false">ROUND(CohortData!G242*CohortData!I242-CohortData!G242*Assumptions!$B$7,2)</f>
        <v>0</v>
      </c>
      <c r="H242" s="7" t="n">
        <f aca="false">SUM(B242:E242,F242:G242)</f>
        <v>240405</v>
      </c>
      <c r="I242" s="6" t="n">
        <f aca="false">CEILING(H242,Assumptions!$B$8)</f>
        <v>240500</v>
      </c>
      <c r="J242" s="6" t="n">
        <f aca="false">FLOOR(H242,Assumptions!$B$8)</f>
        <v>240400</v>
      </c>
      <c r="K242" s="6" t="n">
        <f aca="false">ROUNDUP(H242,Assumptions!$B$9)</f>
        <v>240405</v>
      </c>
      <c r="L242" s="6" t="n">
        <f aca="false">ROUNDDOWN(H242,Assumptions!$B$10)</f>
        <v>240405</v>
      </c>
    </row>
    <row r="243" customFormat="false" ht="15" hidden="false" customHeight="false" outlineLevel="0" collapsed="false">
      <c r="A243" s="5" t="s">
        <v>286</v>
      </c>
      <c r="B243" s="6" t="n">
        <f aca="false">ROUND(CohortData!G243*CohortData!I243,2)</f>
        <v>98290.5</v>
      </c>
      <c r="C243" s="6" t="n">
        <f aca="false">ROUND(CohortData!L243*Assumptions!$B$4*CohortData!I243,2)</f>
        <v>13105.4</v>
      </c>
      <c r="D243" s="6" t="n">
        <f aca="false">ROUND(CohortData!E243*Assumptions!$B$5*CohortData!I243,2)</f>
        <v>5957</v>
      </c>
      <c r="E243" s="6" t="n">
        <f aca="false">ROUND(B243*Assumptions!$B$3,2)</f>
        <v>3440.17</v>
      </c>
      <c r="F243" s="6" t="n">
        <f aca="false">ROUND(B243*Assumptions!$B$6,2)</f>
        <v>1474.36</v>
      </c>
      <c r="G243" s="6" t="n">
        <f aca="false">ROUND(CohortData!G243*CohortData!I243-CohortData!G243*Assumptions!$B$7,2)</f>
        <v>12820.5</v>
      </c>
      <c r="H243" s="7" t="n">
        <f aca="false">SUM(B243:E243,F243:G243)</f>
        <v>135087.93</v>
      </c>
      <c r="I243" s="6" t="n">
        <f aca="false">CEILING(H243,Assumptions!$B$8)</f>
        <v>135100</v>
      </c>
      <c r="J243" s="6" t="n">
        <f aca="false">FLOOR(H243,Assumptions!$B$8)</f>
        <v>135000</v>
      </c>
      <c r="K243" s="6" t="n">
        <f aca="false">ROUNDUP(H243,Assumptions!$B$9)</f>
        <v>135088</v>
      </c>
      <c r="L243" s="6" t="n">
        <f aca="false">ROUNDDOWN(H243,Assumptions!$B$10)</f>
        <v>135087</v>
      </c>
    </row>
    <row r="244" customFormat="false" ht="15" hidden="false" customHeight="false" outlineLevel="0" collapsed="false">
      <c r="A244" s="5" t="s">
        <v>287</v>
      </c>
      <c r="B244" s="6" t="n">
        <f aca="false">ROUND(CohortData!G244*CohortData!I244,2)</f>
        <v>113088</v>
      </c>
      <c r="C244" s="6" t="n">
        <f aca="false">ROUND(CohortData!L244*Assumptions!$B$4*CohortData!I244,2)</f>
        <v>15078.4</v>
      </c>
      <c r="D244" s="6" t="n">
        <f aca="false">ROUND(CohortData!E244*Assumptions!$B$5*CohortData!I244,2)</f>
        <v>6080</v>
      </c>
      <c r="E244" s="6" t="n">
        <f aca="false">ROUND(B244*Assumptions!$B$3,2)</f>
        <v>3958.08</v>
      </c>
      <c r="F244" s="6" t="n">
        <f aca="false">ROUND(B244*Assumptions!$B$6,2)</f>
        <v>1696.32</v>
      </c>
      <c r="G244" s="6" t="n">
        <f aca="false">ROUND(CohortData!G244*CohortData!I244-CohortData!G244*Assumptions!$B$7,2)</f>
        <v>0</v>
      </c>
      <c r="H244" s="7" t="n">
        <f aca="false">SUM(B244:E244,F244:G244)</f>
        <v>139900.8</v>
      </c>
      <c r="I244" s="6" t="n">
        <f aca="false">CEILING(H244,Assumptions!$B$8)</f>
        <v>140000</v>
      </c>
      <c r="J244" s="6" t="n">
        <f aca="false">FLOOR(H244,Assumptions!$B$8)</f>
        <v>139900</v>
      </c>
      <c r="K244" s="6" t="n">
        <f aca="false">ROUNDUP(H244,Assumptions!$B$9)</f>
        <v>139901</v>
      </c>
      <c r="L244" s="6" t="n">
        <f aca="false">ROUNDDOWN(H244,Assumptions!$B$10)</f>
        <v>139900</v>
      </c>
    </row>
    <row r="245" customFormat="false" ht="15" hidden="false" customHeight="false" outlineLevel="0" collapsed="false">
      <c r="A245" s="5" t="s">
        <v>288</v>
      </c>
      <c r="B245" s="6" t="n">
        <f aca="false">ROUND(CohortData!G245*CohortData!I245,2)</f>
        <v>186060</v>
      </c>
      <c r="C245" s="6" t="n">
        <f aca="false">ROUND(CohortData!L245*Assumptions!$B$4*CohortData!I245,2)</f>
        <v>24808</v>
      </c>
      <c r="D245" s="6" t="n">
        <f aca="false">ROUND(CohortData!E245*Assumptions!$B$5*CohortData!I245,2)</f>
        <v>8860</v>
      </c>
      <c r="E245" s="6" t="n">
        <f aca="false">ROUND(B245*Assumptions!$B$3,2)</f>
        <v>6512.1</v>
      </c>
      <c r="F245" s="6" t="n">
        <f aca="false">ROUND(B245*Assumptions!$B$6,2)</f>
        <v>2790.9</v>
      </c>
      <c r="G245" s="6" t="n">
        <f aca="false">ROUND(CohortData!G245*CohortData!I245-CohortData!G245*Assumptions!$B$7,2)</f>
        <v>0</v>
      </c>
      <c r="H245" s="7" t="n">
        <f aca="false">SUM(B245:E245,F245:G245)</f>
        <v>229031</v>
      </c>
      <c r="I245" s="6" t="n">
        <f aca="false">CEILING(H245,Assumptions!$B$8)</f>
        <v>229100</v>
      </c>
      <c r="J245" s="6" t="n">
        <f aca="false">FLOOR(H245,Assumptions!$B$8)</f>
        <v>229000</v>
      </c>
      <c r="K245" s="6" t="n">
        <f aca="false">ROUNDUP(H245,Assumptions!$B$9)</f>
        <v>229031</v>
      </c>
      <c r="L245" s="6" t="n">
        <f aca="false">ROUNDDOWN(H245,Assumptions!$B$10)</f>
        <v>229031</v>
      </c>
    </row>
    <row r="246" customFormat="false" ht="15" hidden="false" customHeight="false" outlineLevel="0" collapsed="false">
      <c r="A246" s="5" t="s">
        <v>289</v>
      </c>
      <c r="B246" s="6" t="n">
        <f aca="false">ROUND(CohortData!G246*CohortData!I246,2)</f>
        <v>142560</v>
      </c>
      <c r="C246" s="6" t="n">
        <f aca="false">ROUND(CohortData!L246*Assumptions!$B$4*CohortData!I246,2)</f>
        <v>19008</v>
      </c>
      <c r="D246" s="6" t="n">
        <f aca="false">ROUND(CohortData!E246*Assumptions!$B$5*CohortData!I246,2)</f>
        <v>8640</v>
      </c>
      <c r="E246" s="6" t="n">
        <f aca="false">ROUND(B246*Assumptions!$B$3,2)</f>
        <v>4989.6</v>
      </c>
      <c r="F246" s="6" t="n">
        <f aca="false">ROUND(B246*Assumptions!$B$6,2)</f>
        <v>2138.4</v>
      </c>
      <c r="G246" s="6" t="n">
        <f aca="false">ROUND(CohortData!G246*CohortData!I246-CohortData!G246*Assumptions!$B$7,2)</f>
        <v>0</v>
      </c>
      <c r="H246" s="7" t="n">
        <f aca="false">SUM(B246:E246,F246:G246)</f>
        <v>177336</v>
      </c>
      <c r="I246" s="6" t="n">
        <f aca="false">CEILING(H246,Assumptions!$B$8)</f>
        <v>177400</v>
      </c>
      <c r="J246" s="6" t="n">
        <f aca="false">FLOOR(H246,Assumptions!$B$8)</f>
        <v>177300</v>
      </c>
      <c r="K246" s="6" t="n">
        <f aca="false">ROUNDUP(H246,Assumptions!$B$9)</f>
        <v>177336</v>
      </c>
      <c r="L246" s="6" t="n">
        <f aca="false">ROUNDDOWN(H246,Assumptions!$B$10)</f>
        <v>177336</v>
      </c>
    </row>
    <row r="247" customFormat="false" ht="15" hidden="false" customHeight="false" outlineLevel="0" collapsed="false">
      <c r="A247" s="5" t="s">
        <v>290</v>
      </c>
      <c r="B247" s="6" t="n">
        <f aca="false">ROUND(CohortData!G247*CohortData!I247,2)</f>
        <v>124489.8</v>
      </c>
      <c r="C247" s="6" t="n">
        <f aca="false">ROUND(CohortData!L247*Assumptions!$B$4*CohortData!I247,2)</f>
        <v>16598.64</v>
      </c>
      <c r="D247" s="6" t="n">
        <f aca="false">ROUND(CohortData!E247*Assumptions!$B$5*CohortData!I247,2)</f>
        <v>6693</v>
      </c>
      <c r="E247" s="6" t="n">
        <f aca="false">ROUND(B247*Assumptions!$B$3,2)</f>
        <v>4357.14</v>
      </c>
      <c r="F247" s="6" t="n">
        <f aca="false">ROUND(B247*Assumptions!$B$6,2)</f>
        <v>1867.35</v>
      </c>
      <c r="G247" s="6" t="n">
        <f aca="false">ROUND(CohortData!G247*CohortData!I247-CohortData!G247*Assumptions!$B$7,2)</f>
        <v>16237.8</v>
      </c>
      <c r="H247" s="7" t="n">
        <f aca="false">SUM(B247:E247,F247:G247)</f>
        <v>170243.73</v>
      </c>
      <c r="I247" s="6" t="n">
        <f aca="false">CEILING(H247,Assumptions!$B$8)</f>
        <v>170300</v>
      </c>
      <c r="J247" s="6" t="n">
        <f aca="false">FLOOR(H247,Assumptions!$B$8)</f>
        <v>170200</v>
      </c>
      <c r="K247" s="6" t="n">
        <f aca="false">ROUNDUP(H247,Assumptions!$B$9)</f>
        <v>170244</v>
      </c>
      <c r="L247" s="6" t="n">
        <f aca="false">ROUNDDOWN(H247,Assumptions!$B$10)</f>
        <v>170243</v>
      </c>
    </row>
    <row r="248" customFormat="false" ht="15" hidden="false" customHeight="false" outlineLevel="0" collapsed="false">
      <c r="A248" s="5" t="s">
        <v>291</v>
      </c>
      <c r="B248" s="6" t="n">
        <f aca="false">ROUND(CohortData!G248*CohortData!I248,2)</f>
        <v>136080</v>
      </c>
      <c r="C248" s="6" t="n">
        <f aca="false">ROUND(CohortData!L248*Assumptions!$B$4*CohortData!I248,2)</f>
        <v>18144</v>
      </c>
      <c r="D248" s="6" t="n">
        <f aca="false">ROUND(CohortData!E248*Assumptions!$B$5*CohortData!I248,2)</f>
        <v>6480</v>
      </c>
      <c r="E248" s="6" t="n">
        <f aca="false">ROUND(B248*Assumptions!$B$3,2)</f>
        <v>4762.8</v>
      </c>
      <c r="F248" s="6" t="n">
        <f aca="false">ROUND(B248*Assumptions!$B$6,2)</f>
        <v>2041.2</v>
      </c>
      <c r="G248" s="6" t="n">
        <f aca="false">ROUND(CohortData!G248*CohortData!I248-CohortData!G248*Assumptions!$B$7,2)</f>
        <v>0</v>
      </c>
      <c r="H248" s="7" t="n">
        <f aca="false">SUM(B248:E248,F248:G248)</f>
        <v>167508</v>
      </c>
      <c r="I248" s="6" t="n">
        <f aca="false">CEILING(H248,Assumptions!$B$8)</f>
        <v>167600</v>
      </c>
      <c r="J248" s="6" t="n">
        <f aca="false">FLOOR(H248,Assumptions!$B$8)</f>
        <v>167500</v>
      </c>
      <c r="K248" s="6" t="n">
        <f aca="false">ROUNDUP(H248,Assumptions!$B$9)</f>
        <v>167508</v>
      </c>
      <c r="L248" s="6" t="n">
        <f aca="false">ROUNDDOWN(H248,Assumptions!$B$10)</f>
        <v>167508</v>
      </c>
    </row>
    <row r="249" customFormat="false" ht="15" hidden="false" customHeight="false" outlineLevel="0" collapsed="false">
      <c r="A249" s="5" t="s">
        <v>292</v>
      </c>
      <c r="B249" s="6" t="n">
        <f aca="false">ROUND(CohortData!G249*CohortData!I249,2)</f>
        <v>120120</v>
      </c>
      <c r="C249" s="6" t="n">
        <f aca="false">ROUND(CohortData!L249*Assumptions!$B$4*CohortData!I249,2)</f>
        <v>16016</v>
      </c>
      <c r="D249" s="6" t="n">
        <f aca="false">ROUND(CohortData!E249*Assumptions!$B$5*CohortData!I249,2)</f>
        <v>7280</v>
      </c>
      <c r="E249" s="6" t="n">
        <f aca="false">ROUND(B249*Assumptions!$B$3,2)</f>
        <v>4204.2</v>
      </c>
      <c r="F249" s="6" t="n">
        <f aca="false">ROUND(B249*Assumptions!$B$6,2)</f>
        <v>1801.8</v>
      </c>
      <c r="G249" s="6" t="n">
        <f aca="false">ROUND(CohortData!G249*CohortData!I249-CohortData!G249*Assumptions!$B$7,2)</f>
        <v>0</v>
      </c>
      <c r="H249" s="7" t="n">
        <f aca="false">SUM(B249:E249,F249:G249)</f>
        <v>149422</v>
      </c>
      <c r="I249" s="6" t="n">
        <f aca="false">CEILING(H249,Assumptions!$B$8)</f>
        <v>149500</v>
      </c>
      <c r="J249" s="6" t="n">
        <f aca="false">FLOOR(H249,Assumptions!$B$8)</f>
        <v>149400</v>
      </c>
      <c r="K249" s="6" t="n">
        <f aca="false">ROUNDUP(H249,Assumptions!$B$9)</f>
        <v>149422</v>
      </c>
      <c r="L249" s="6" t="n">
        <f aca="false">ROUNDDOWN(H249,Assumptions!$B$10)</f>
        <v>149422</v>
      </c>
    </row>
    <row r="250" customFormat="false" ht="15" hidden="false" customHeight="false" outlineLevel="0" collapsed="false">
      <c r="A250" s="5" t="s">
        <v>293</v>
      </c>
      <c r="B250" s="6" t="n">
        <f aca="false">ROUND(CohortData!G250*CohortData!I250,2)</f>
        <v>123132</v>
      </c>
      <c r="C250" s="6" t="n">
        <f aca="false">ROUND(CohortData!L250*Assumptions!$B$4*CohortData!I250,2)</f>
        <v>16417.6</v>
      </c>
      <c r="D250" s="6" t="n">
        <f aca="false">ROUND(CohortData!E250*Assumptions!$B$5*CohortData!I250,2)</f>
        <v>6620</v>
      </c>
      <c r="E250" s="6" t="n">
        <f aca="false">ROUND(B250*Assumptions!$B$3,2)</f>
        <v>4309.62</v>
      </c>
      <c r="F250" s="6" t="n">
        <f aca="false">ROUND(B250*Assumptions!$B$6,2)</f>
        <v>1846.98</v>
      </c>
      <c r="G250" s="6" t="n">
        <f aca="false">ROUND(CohortData!G250*CohortData!I250-CohortData!G250*Assumptions!$B$7,2)</f>
        <v>0</v>
      </c>
      <c r="H250" s="7" t="n">
        <f aca="false">SUM(B250:E250,F250:G250)</f>
        <v>152326.2</v>
      </c>
      <c r="I250" s="6" t="n">
        <f aca="false">CEILING(H250,Assumptions!$B$8)</f>
        <v>152400</v>
      </c>
      <c r="J250" s="6" t="n">
        <f aca="false">FLOOR(H250,Assumptions!$B$8)</f>
        <v>152300</v>
      </c>
      <c r="K250" s="6" t="n">
        <f aca="false">ROUNDUP(H250,Assumptions!$B$9)</f>
        <v>152327</v>
      </c>
      <c r="L250" s="6" t="n">
        <f aca="false">ROUNDDOWN(H250,Assumptions!$B$10)</f>
        <v>152326</v>
      </c>
    </row>
    <row r="251" customFormat="false" ht="15" hidden="false" customHeight="false" outlineLevel="0" collapsed="false">
      <c r="A251" s="5" t="s">
        <v>294</v>
      </c>
      <c r="B251" s="6" t="n">
        <f aca="false">ROUND(CohortData!G251*CohortData!I251,2)</f>
        <v>77763</v>
      </c>
      <c r="C251" s="6" t="n">
        <f aca="false">ROUND(CohortData!L251*Assumptions!$B$4*CohortData!I251,2)</f>
        <v>10368.4</v>
      </c>
      <c r="D251" s="6" t="n">
        <f aca="false">ROUND(CohortData!E251*Assumptions!$B$5*CohortData!I251,2)</f>
        <v>3703</v>
      </c>
      <c r="E251" s="6" t="n">
        <f aca="false">ROUND(B251*Assumptions!$B$3,2)</f>
        <v>2721.71</v>
      </c>
      <c r="F251" s="6" t="n">
        <f aca="false">ROUND(B251*Assumptions!$B$6,2)</f>
        <v>1166.45</v>
      </c>
      <c r="G251" s="6" t="n">
        <f aca="false">ROUND(CohortData!G251*CohortData!I251-CohortData!G251*Assumptions!$B$7,2)</f>
        <v>10143</v>
      </c>
      <c r="H251" s="7" t="n">
        <f aca="false">SUM(B251:E251,F251:G251)</f>
        <v>105865.56</v>
      </c>
      <c r="I251" s="6" t="n">
        <f aca="false">CEILING(H251,Assumptions!$B$8)</f>
        <v>105900</v>
      </c>
      <c r="J251" s="6" t="n">
        <f aca="false">FLOOR(H251,Assumptions!$B$8)</f>
        <v>105800</v>
      </c>
      <c r="K251" s="6" t="n">
        <f aca="false">ROUNDUP(H251,Assumptions!$B$9)</f>
        <v>105866</v>
      </c>
      <c r="L251" s="6" t="n">
        <f aca="false">ROUNDDOWN(H251,Assumptions!$B$10)</f>
        <v>105865</v>
      </c>
    </row>
    <row r="252" customFormat="false" ht="15" hidden="false" customHeight="false" outlineLevel="0" collapsed="false">
      <c r="A252" s="5" t="s">
        <v>295</v>
      </c>
      <c r="B252" s="6" t="n">
        <f aca="false">ROUND(CohortData!G252*CohortData!I252,2)</f>
        <v>74580</v>
      </c>
      <c r="C252" s="6" t="n">
        <f aca="false">ROUND(CohortData!L252*Assumptions!$B$4*CohortData!I252,2)</f>
        <v>9944</v>
      </c>
      <c r="D252" s="6" t="n">
        <f aca="false">ROUND(CohortData!E252*Assumptions!$B$5*CohortData!I252,2)</f>
        <v>4520</v>
      </c>
      <c r="E252" s="6" t="n">
        <f aca="false">ROUND(B252*Assumptions!$B$3,2)</f>
        <v>2610.3</v>
      </c>
      <c r="F252" s="6" t="n">
        <f aca="false">ROUND(B252*Assumptions!$B$6,2)</f>
        <v>1118.7</v>
      </c>
      <c r="G252" s="6" t="n">
        <f aca="false">ROUND(CohortData!G252*CohortData!I252-CohortData!G252*Assumptions!$B$7,2)</f>
        <v>0</v>
      </c>
      <c r="H252" s="7" t="n">
        <f aca="false">SUM(B252:E252,F252:G252)</f>
        <v>92773</v>
      </c>
      <c r="I252" s="6" t="n">
        <f aca="false">CEILING(H252,Assumptions!$B$8)</f>
        <v>92800</v>
      </c>
      <c r="J252" s="6" t="n">
        <f aca="false">FLOOR(H252,Assumptions!$B$8)</f>
        <v>92700</v>
      </c>
      <c r="K252" s="6" t="n">
        <f aca="false">ROUNDUP(H252,Assumptions!$B$9)</f>
        <v>92773</v>
      </c>
      <c r="L252" s="6" t="n">
        <f aca="false">ROUNDDOWN(H252,Assumptions!$B$10)</f>
        <v>92773</v>
      </c>
    </row>
    <row r="253" customFormat="false" ht="15" hidden="false" customHeight="false" outlineLevel="0" collapsed="false">
      <c r="A253" s="5" t="s">
        <v>296</v>
      </c>
      <c r="B253" s="6" t="n">
        <f aca="false">ROUND(CohortData!G253*CohortData!I253,2)</f>
        <v>79980</v>
      </c>
      <c r="C253" s="6" t="n">
        <f aca="false">ROUND(CohortData!L253*Assumptions!$B$4*CohortData!I253,2)</f>
        <v>10664</v>
      </c>
      <c r="D253" s="6" t="n">
        <f aca="false">ROUND(CohortData!E253*Assumptions!$B$5*CohortData!I253,2)</f>
        <v>4300</v>
      </c>
      <c r="E253" s="6" t="n">
        <f aca="false">ROUND(B253*Assumptions!$B$3,2)</f>
        <v>2799.3</v>
      </c>
      <c r="F253" s="6" t="n">
        <f aca="false">ROUND(B253*Assumptions!$B$6,2)</f>
        <v>1199.7</v>
      </c>
      <c r="G253" s="6" t="n">
        <f aca="false">ROUND(CohortData!G253*CohortData!I253-CohortData!G253*Assumptions!$B$7,2)</f>
        <v>0</v>
      </c>
      <c r="H253" s="7" t="n">
        <f aca="false">SUM(B253:E253,F253:G253)</f>
        <v>98943</v>
      </c>
      <c r="I253" s="6" t="n">
        <f aca="false">CEILING(H253,Assumptions!$B$8)</f>
        <v>99000</v>
      </c>
      <c r="J253" s="6" t="n">
        <f aca="false">FLOOR(H253,Assumptions!$B$8)</f>
        <v>98900</v>
      </c>
      <c r="K253" s="6" t="n">
        <f aca="false">ROUNDUP(H253,Assumptions!$B$9)</f>
        <v>98943</v>
      </c>
      <c r="L253" s="6" t="n">
        <f aca="false">ROUNDDOWN(H253,Assumptions!$B$10)</f>
        <v>98943</v>
      </c>
    </row>
    <row r="254" customFormat="false" ht="15" hidden="false" customHeight="false" outlineLevel="0" collapsed="false">
      <c r="A254" s="5" t="s">
        <v>297</v>
      </c>
      <c r="B254" s="6" t="n">
        <f aca="false">ROUND(CohortData!G254*CohortData!I254,2)</f>
        <v>55440</v>
      </c>
      <c r="C254" s="6" t="n">
        <f aca="false">ROUND(CohortData!L254*Assumptions!$B$4*CohortData!I254,2)</f>
        <v>7392</v>
      </c>
      <c r="D254" s="6" t="n">
        <f aca="false">ROUND(CohortData!E254*Assumptions!$B$5*CohortData!I254,2)</f>
        <v>2640</v>
      </c>
      <c r="E254" s="6" t="n">
        <f aca="false">ROUND(B254*Assumptions!$B$3,2)</f>
        <v>1940.4</v>
      </c>
      <c r="F254" s="6" t="n">
        <f aca="false">ROUND(B254*Assumptions!$B$6,2)</f>
        <v>831.6</v>
      </c>
      <c r="G254" s="6" t="n">
        <f aca="false">ROUND(CohortData!G254*CohortData!I254-CohortData!G254*Assumptions!$B$7,2)</f>
        <v>0</v>
      </c>
      <c r="H254" s="7" t="n">
        <f aca="false">SUM(B254:E254,F254:G254)</f>
        <v>68244</v>
      </c>
      <c r="I254" s="6" t="n">
        <f aca="false">CEILING(H254,Assumptions!$B$8)</f>
        <v>68300</v>
      </c>
      <c r="J254" s="6" t="n">
        <f aca="false">FLOOR(H254,Assumptions!$B$8)</f>
        <v>68200</v>
      </c>
      <c r="K254" s="6" t="n">
        <f aca="false">ROUNDUP(H254,Assumptions!$B$9)</f>
        <v>68244</v>
      </c>
      <c r="L254" s="6" t="n">
        <f aca="false">ROUNDDOWN(H254,Assumptions!$B$10)</f>
        <v>68244</v>
      </c>
    </row>
    <row r="255" customFormat="false" ht="15" hidden="false" customHeight="false" outlineLevel="0" collapsed="false">
      <c r="A255" s="5" t="s">
        <v>298</v>
      </c>
      <c r="B255" s="6" t="n">
        <f aca="false">ROUND(CohortData!G255*CohortData!I255,2)</f>
        <v>103603.5</v>
      </c>
      <c r="C255" s="6" t="n">
        <f aca="false">ROUND(CohortData!L255*Assumptions!$B$4*CohortData!I255,2)</f>
        <v>13813.8</v>
      </c>
      <c r="D255" s="6" t="n">
        <f aca="false">ROUND(CohortData!E255*Assumptions!$B$5*CohortData!I255,2)</f>
        <v>6279</v>
      </c>
      <c r="E255" s="6" t="n">
        <f aca="false">ROUND(B255*Assumptions!$B$3,2)</f>
        <v>3626.12</v>
      </c>
      <c r="F255" s="6" t="n">
        <f aca="false">ROUND(B255*Assumptions!$B$6,2)</f>
        <v>1554.05</v>
      </c>
      <c r="G255" s="6" t="n">
        <f aca="false">ROUND(CohortData!G255*CohortData!I255-CohortData!G255*Assumptions!$B$7,2)</f>
        <v>13513.5</v>
      </c>
      <c r="H255" s="7" t="n">
        <f aca="false">SUM(B255:E255,F255:G255)</f>
        <v>142389.97</v>
      </c>
      <c r="I255" s="6" t="n">
        <f aca="false">CEILING(H255,Assumptions!$B$8)</f>
        <v>142400</v>
      </c>
      <c r="J255" s="6" t="n">
        <f aca="false">FLOOR(H255,Assumptions!$B$8)</f>
        <v>142300</v>
      </c>
      <c r="K255" s="6" t="n">
        <f aca="false">ROUNDUP(H255,Assumptions!$B$9)</f>
        <v>142390</v>
      </c>
      <c r="L255" s="6" t="n">
        <f aca="false">ROUNDDOWN(H255,Assumptions!$B$10)</f>
        <v>142389</v>
      </c>
    </row>
    <row r="256" customFormat="false" ht="15" hidden="false" customHeight="false" outlineLevel="0" collapsed="false">
      <c r="A256" s="5" t="s">
        <v>299</v>
      </c>
      <c r="B256" s="6" t="n">
        <f aca="false">ROUND(CohortData!G256*CohortData!I256,2)</f>
        <v>40920</v>
      </c>
      <c r="C256" s="6" t="n">
        <f aca="false">ROUND(CohortData!L256*Assumptions!$B$4*CohortData!I256,2)</f>
        <v>5456</v>
      </c>
      <c r="D256" s="6" t="n">
        <f aca="false">ROUND(CohortData!E256*Assumptions!$B$5*CohortData!I256,2)</f>
        <v>2200</v>
      </c>
      <c r="E256" s="6" t="n">
        <f aca="false">ROUND(B256*Assumptions!$B$3,2)</f>
        <v>1432.2</v>
      </c>
      <c r="F256" s="6" t="n">
        <f aca="false">ROUND(B256*Assumptions!$B$6,2)</f>
        <v>613.8</v>
      </c>
      <c r="G256" s="6" t="n">
        <f aca="false">ROUND(CohortData!G256*CohortData!I256-CohortData!G256*Assumptions!$B$7,2)</f>
        <v>0</v>
      </c>
      <c r="H256" s="7" t="n">
        <f aca="false">SUM(B256:E256,F256:G256)</f>
        <v>50622</v>
      </c>
      <c r="I256" s="6" t="n">
        <f aca="false">CEILING(H256,Assumptions!$B$8)</f>
        <v>50700</v>
      </c>
      <c r="J256" s="6" t="n">
        <f aca="false">FLOOR(H256,Assumptions!$B$8)</f>
        <v>50600</v>
      </c>
      <c r="K256" s="6" t="n">
        <f aca="false">ROUNDUP(H256,Assumptions!$B$9)</f>
        <v>50622</v>
      </c>
      <c r="L256" s="6" t="n">
        <f aca="false">ROUNDDOWN(H256,Assumptions!$B$10)</f>
        <v>50622</v>
      </c>
    </row>
    <row r="257" customFormat="false" ht="15" hidden="false" customHeight="false" outlineLevel="0" collapsed="false">
      <c r="A257" s="5" t="s">
        <v>300</v>
      </c>
      <c r="B257" s="6" t="n">
        <f aca="false">ROUND(CohortData!G257*CohortData!I257,2)</f>
        <v>168420</v>
      </c>
      <c r="C257" s="6" t="n">
        <f aca="false">ROUND(CohortData!L257*Assumptions!$B$4*CohortData!I257,2)</f>
        <v>22456</v>
      </c>
      <c r="D257" s="6" t="n">
        <f aca="false">ROUND(CohortData!E257*Assumptions!$B$5*CohortData!I257,2)</f>
        <v>8020</v>
      </c>
      <c r="E257" s="6" t="n">
        <f aca="false">ROUND(B257*Assumptions!$B$3,2)</f>
        <v>5894.7</v>
      </c>
      <c r="F257" s="6" t="n">
        <f aca="false">ROUND(B257*Assumptions!$B$6,2)</f>
        <v>2526.3</v>
      </c>
      <c r="G257" s="6" t="n">
        <f aca="false">ROUND(CohortData!G257*CohortData!I257-CohortData!G257*Assumptions!$B$7,2)</f>
        <v>0</v>
      </c>
      <c r="H257" s="7" t="n">
        <f aca="false">SUM(B257:E257,F257:G257)</f>
        <v>207317</v>
      </c>
      <c r="I257" s="6" t="n">
        <f aca="false">CEILING(H257,Assumptions!$B$8)</f>
        <v>207400</v>
      </c>
      <c r="J257" s="6" t="n">
        <f aca="false">FLOOR(H257,Assumptions!$B$8)</f>
        <v>207300</v>
      </c>
      <c r="K257" s="6" t="n">
        <f aca="false">ROUNDUP(H257,Assumptions!$B$9)</f>
        <v>207317</v>
      </c>
      <c r="L257" s="6" t="n">
        <f aca="false">ROUNDDOWN(H257,Assumptions!$B$10)</f>
        <v>207317</v>
      </c>
    </row>
    <row r="258" customFormat="false" ht="15" hidden="false" customHeight="false" outlineLevel="0" collapsed="false">
      <c r="A258" s="5" t="s">
        <v>301</v>
      </c>
      <c r="B258" s="6" t="n">
        <f aca="false">ROUND(CohortData!G258*CohortData!I258,2)</f>
        <v>126390</v>
      </c>
      <c r="C258" s="6" t="n">
        <f aca="false">ROUND(CohortData!L258*Assumptions!$B$4*CohortData!I258,2)</f>
        <v>0</v>
      </c>
      <c r="D258" s="6" t="n">
        <f aca="false">ROUND(CohortData!E258*Assumptions!$B$5*CohortData!I258,2)</f>
        <v>7660</v>
      </c>
      <c r="E258" s="6" t="n">
        <f aca="false">ROUND(B258*Assumptions!$B$3,2)</f>
        <v>4423.65</v>
      </c>
      <c r="F258" s="6" t="n">
        <f aca="false">ROUND(B258*Assumptions!$B$6,2)</f>
        <v>1895.85</v>
      </c>
      <c r="G258" s="6" t="n">
        <f aca="false">ROUND(CohortData!G258*CohortData!I258-CohortData!G258*Assumptions!$B$7,2)</f>
        <v>0</v>
      </c>
      <c r="H258" s="7" t="n">
        <f aca="false">SUM(B258:E258,F258:G258)</f>
        <v>140369.5</v>
      </c>
      <c r="I258" s="6" t="n">
        <f aca="false">CEILING(H258,Assumptions!$B$8)</f>
        <v>140400</v>
      </c>
      <c r="J258" s="6" t="n">
        <f aca="false">FLOOR(H258,Assumptions!$B$8)</f>
        <v>140300</v>
      </c>
      <c r="K258" s="6" t="n">
        <f aca="false">ROUNDUP(H258,Assumptions!$B$9)</f>
        <v>140370</v>
      </c>
      <c r="L258" s="6" t="n">
        <f aca="false">ROUNDDOWN(H258,Assumptions!$B$10)</f>
        <v>140369</v>
      </c>
    </row>
    <row r="259" customFormat="false" ht="15" hidden="false" customHeight="false" outlineLevel="0" collapsed="false">
      <c r="A259" s="5" t="s">
        <v>302</v>
      </c>
      <c r="B259" s="6" t="n">
        <f aca="false">ROUND(CohortData!G259*CohortData!I259,2)</f>
        <v>92832.6</v>
      </c>
      <c r="C259" s="6" t="n">
        <f aca="false">ROUND(CohortData!L259*Assumptions!$B$4*CohortData!I259,2)</f>
        <v>12377.68</v>
      </c>
      <c r="D259" s="6" t="n">
        <f aca="false">ROUND(CohortData!E259*Assumptions!$B$5*CohortData!I259,2)</f>
        <v>4991</v>
      </c>
      <c r="E259" s="6" t="n">
        <f aca="false">ROUND(B259*Assumptions!$B$3,2)</f>
        <v>3249.14</v>
      </c>
      <c r="F259" s="6" t="n">
        <f aca="false">ROUND(B259*Assumptions!$B$6,2)</f>
        <v>1392.49</v>
      </c>
      <c r="G259" s="6" t="n">
        <f aca="false">ROUND(CohortData!G259*CohortData!I259-CohortData!G259*Assumptions!$B$7,2)</f>
        <v>12108.6</v>
      </c>
      <c r="H259" s="7" t="n">
        <f aca="false">SUM(B259:E259,F259:G259)</f>
        <v>126951.51</v>
      </c>
      <c r="I259" s="6" t="n">
        <f aca="false">CEILING(H259,Assumptions!$B$8)</f>
        <v>127000</v>
      </c>
      <c r="J259" s="6" t="n">
        <f aca="false">FLOOR(H259,Assumptions!$B$8)</f>
        <v>126900</v>
      </c>
      <c r="K259" s="6" t="n">
        <f aca="false">ROUNDUP(H259,Assumptions!$B$9)</f>
        <v>126952</v>
      </c>
      <c r="L259" s="6" t="n">
        <f aca="false">ROUNDDOWN(H259,Assumptions!$B$10)</f>
        <v>126951</v>
      </c>
    </row>
    <row r="260" customFormat="false" ht="15" hidden="false" customHeight="false" outlineLevel="0" collapsed="false">
      <c r="A260" s="5" t="s">
        <v>303</v>
      </c>
      <c r="B260" s="6" t="n">
        <f aca="false">ROUND(CohortData!G260*CohortData!I260,2)</f>
        <v>168420</v>
      </c>
      <c r="C260" s="6" t="n">
        <f aca="false">ROUND(CohortData!L260*Assumptions!$B$4*CohortData!I260,2)</f>
        <v>22456</v>
      </c>
      <c r="D260" s="6" t="n">
        <f aca="false">ROUND(CohortData!E260*Assumptions!$B$5*CohortData!I260,2)</f>
        <v>8020</v>
      </c>
      <c r="E260" s="6" t="n">
        <f aca="false">ROUND(B260*Assumptions!$B$3,2)</f>
        <v>5894.7</v>
      </c>
      <c r="F260" s="6" t="n">
        <f aca="false">ROUND(B260*Assumptions!$B$6,2)</f>
        <v>2526.3</v>
      </c>
      <c r="G260" s="6" t="n">
        <f aca="false">ROUND(CohortData!G260*CohortData!I260-CohortData!G260*Assumptions!$B$7,2)</f>
        <v>0</v>
      </c>
      <c r="H260" s="7" t="n">
        <f aca="false">SUM(B260:E260,F260:G260)</f>
        <v>207317</v>
      </c>
      <c r="I260" s="6" t="n">
        <f aca="false">CEILING(H260,Assumptions!$B$8)</f>
        <v>207400</v>
      </c>
      <c r="J260" s="6" t="n">
        <f aca="false">FLOOR(H260,Assumptions!$B$8)</f>
        <v>207300</v>
      </c>
      <c r="K260" s="6" t="n">
        <f aca="false">ROUNDUP(H260,Assumptions!$B$9)</f>
        <v>207317</v>
      </c>
      <c r="L260" s="6" t="n">
        <f aca="false">ROUNDDOWN(H260,Assumptions!$B$10)</f>
        <v>207317</v>
      </c>
    </row>
    <row r="261" customFormat="false" ht="15" hidden="false" customHeight="false" outlineLevel="0" collapsed="false">
      <c r="A261" s="5" t="s">
        <v>304</v>
      </c>
      <c r="B261" s="6" t="n">
        <f aca="false">ROUND(CohortData!G261*CohortData!I261,2)</f>
        <v>69960</v>
      </c>
      <c r="C261" s="6" t="n">
        <f aca="false">ROUND(CohortData!L261*Assumptions!$B$4*CohortData!I261,2)</f>
        <v>9328</v>
      </c>
      <c r="D261" s="6" t="n">
        <f aca="false">ROUND(CohortData!E261*Assumptions!$B$5*CohortData!I261,2)</f>
        <v>4240</v>
      </c>
      <c r="E261" s="6" t="n">
        <f aca="false">ROUND(B261*Assumptions!$B$3,2)</f>
        <v>2448.6</v>
      </c>
      <c r="F261" s="6" t="n">
        <f aca="false">ROUND(B261*Assumptions!$B$6,2)</f>
        <v>1049.4</v>
      </c>
      <c r="G261" s="6" t="n">
        <f aca="false">ROUND(CohortData!G261*CohortData!I261-CohortData!G261*Assumptions!$B$7,2)</f>
        <v>0</v>
      </c>
      <c r="H261" s="7" t="n">
        <f aca="false">SUM(B261:E261,F261:G261)</f>
        <v>87026</v>
      </c>
      <c r="I261" s="6" t="n">
        <f aca="false">CEILING(H261,Assumptions!$B$8)</f>
        <v>87100</v>
      </c>
      <c r="J261" s="6" t="n">
        <f aca="false">FLOOR(H261,Assumptions!$B$8)</f>
        <v>87000</v>
      </c>
      <c r="K261" s="6" t="n">
        <f aca="false">ROUNDUP(H261,Assumptions!$B$9)</f>
        <v>87026</v>
      </c>
      <c r="L261" s="6" t="n">
        <f aca="false">ROUNDDOWN(H261,Assumptions!$B$10)</f>
        <v>87026</v>
      </c>
    </row>
    <row r="262" customFormat="false" ht="15" hidden="false" customHeight="false" outlineLevel="0" collapsed="false">
      <c r="A262" s="5" t="s">
        <v>305</v>
      </c>
      <c r="B262" s="6" t="n">
        <f aca="false">ROUND(CohortData!G262*CohortData!I262,2)</f>
        <v>38316</v>
      </c>
      <c r="C262" s="6" t="n">
        <f aca="false">ROUND(CohortData!L262*Assumptions!$B$4*CohortData!I262,2)</f>
        <v>5108.8</v>
      </c>
      <c r="D262" s="6" t="n">
        <f aca="false">ROUND(CohortData!E262*Assumptions!$B$5*CohortData!I262,2)</f>
        <v>2060</v>
      </c>
      <c r="E262" s="6" t="n">
        <f aca="false">ROUND(B262*Assumptions!$B$3,2)</f>
        <v>1341.06</v>
      </c>
      <c r="F262" s="6" t="n">
        <f aca="false">ROUND(B262*Assumptions!$B$6,2)</f>
        <v>574.74</v>
      </c>
      <c r="G262" s="6" t="n">
        <f aca="false">ROUND(CohortData!G262*CohortData!I262-CohortData!G262*Assumptions!$B$7,2)</f>
        <v>0</v>
      </c>
      <c r="H262" s="7" t="n">
        <f aca="false">SUM(B262:E262,F262:G262)</f>
        <v>47400.6</v>
      </c>
      <c r="I262" s="6" t="n">
        <f aca="false">CEILING(H262,Assumptions!$B$8)</f>
        <v>47500</v>
      </c>
      <c r="J262" s="6" t="n">
        <f aca="false">FLOOR(H262,Assumptions!$B$8)</f>
        <v>47400</v>
      </c>
      <c r="K262" s="6" t="n">
        <f aca="false">ROUNDUP(H262,Assumptions!$B$9)</f>
        <v>47401</v>
      </c>
      <c r="L262" s="6" t="n">
        <f aca="false">ROUNDDOWN(H262,Assumptions!$B$10)</f>
        <v>47400</v>
      </c>
    </row>
    <row r="263" customFormat="false" ht="15" hidden="false" customHeight="false" outlineLevel="0" collapsed="false">
      <c r="A263" s="5" t="s">
        <v>306</v>
      </c>
      <c r="B263" s="6" t="n">
        <f aca="false">ROUND(CohortData!G263*CohortData!I263,2)</f>
        <v>65688</v>
      </c>
      <c r="C263" s="6" t="n">
        <f aca="false">ROUND(CohortData!L263*Assumptions!$B$4*CohortData!I263,2)</f>
        <v>8758.4</v>
      </c>
      <c r="D263" s="6" t="n">
        <f aca="false">ROUND(CohortData!E263*Assumptions!$B$5*CohortData!I263,2)</f>
        <v>3128</v>
      </c>
      <c r="E263" s="6" t="n">
        <f aca="false">ROUND(B263*Assumptions!$B$3,2)</f>
        <v>2299.08</v>
      </c>
      <c r="F263" s="6" t="n">
        <f aca="false">ROUND(B263*Assumptions!$B$6,2)</f>
        <v>985.32</v>
      </c>
      <c r="G263" s="6" t="n">
        <f aca="false">ROUND(CohortData!G263*CohortData!I263-CohortData!G263*Assumptions!$B$7,2)</f>
        <v>8568</v>
      </c>
      <c r="H263" s="7" t="n">
        <f aca="false">SUM(B263:E263,F263:G263)</f>
        <v>89426.8</v>
      </c>
      <c r="I263" s="6" t="n">
        <f aca="false">CEILING(H263,Assumptions!$B$8)</f>
        <v>89500</v>
      </c>
      <c r="J263" s="6" t="n">
        <f aca="false">FLOOR(H263,Assumptions!$B$8)</f>
        <v>89400</v>
      </c>
      <c r="K263" s="6" t="n">
        <f aca="false">ROUNDUP(H263,Assumptions!$B$9)</f>
        <v>89427</v>
      </c>
      <c r="L263" s="6" t="n">
        <f aca="false">ROUNDDOWN(H263,Assumptions!$B$10)</f>
        <v>89426</v>
      </c>
    </row>
    <row r="264" customFormat="false" ht="15" hidden="false" customHeight="false" outlineLevel="0" collapsed="false">
      <c r="A264" s="5" t="s">
        <v>307</v>
      </c>
      <c r="B264" s="6" t="n">
        <f aca="false">ROUND(CohortData!G264*CohortData!I264,2)</f>
        <v>152460</v>
      </c>
      <c r="C264" s="6" t="n">
        <f aca="false">ROUND(CohortData!L264*Assumptions!$B$4*CohortData!I264,2)</f>
        <v>20328</v>
      </c>
      <c r="D264" s="6" t="n">
        <f aca="false">ROUND(CohortData!E264*Assumptions!$B$5*CohortData!I264,2)</f>
        <v>9240</v>
      </c>
      <c r="E264" s="6" t="n">
        <f aca="false">ROUND(B264*Assumptions!$B$3,2)</f>
        <v>5336.1</v>
      </c>
      <c r="F264" s="6" t="n">
        <f aca="false">ROUND(B264*Assumptions!$B$6,2)</f>
        <v>2286.9</v>
      </c>
      <c r="G264" s="6" t="n">
        <f aca="false">ROUND(CohortData!G264*CohortData!I264-CohortData!G264*Assumptions!$B$7,2)</f>
        <v>0</v>
      </c>
      <c r="H264" s="7" t="n">
        <f aca="false">SUM(B264:E264,F264:G264)</f>
        <v>189651</v>
      </c>
      <c r="I264" s="6" t="n">
        <f aca="false">CEILING(H264,Assumptions!$B$8)</f>
        <v>189700</v>
      </c>
      <c r="J264" s="6" t="n">
        <f aca="false">FLOOR(H264,Assumptions!$B$8)</f>
        <v>189600</v>
      </c>
      <c r="K264" s="6" t="n">
        <f aca="false">ROUNDUP(H264,Assumptions!$B$9)</f>
        <v>189651</v>
      </c>
      <c r="L264" s="6" t="n">
        <f aca="false">ROUNDDOWN(H264,Assumptions!$B$10)</f>
        <v>189651</v>
      </c>
    </row>
    <row r="265" customFormat="false" ht="15" hidden="false" customHeight="false" outlineLevel="0" collapsed="false">
      <c r="A265" s="5" t="s">
        <v>308</v>
      </c>
      <c r="B265" s="6" t="n">
        <f aca="false">ROUND(CohortData!G265*CohortData!I265,2)</f>
        <v>157356</v>
      </c>
      <c r="C265" s="6" t="n">
        <f aca="false">ROUND(CohortData!L265*Assumptions!$B$4*CohortData!I265,2)</f>
        <v>20980.8</v>
      </c>
      <c r="D265" s="6" t="n">
        <f aca="false">ROUND(CohortData!E265*Assumptions!$B$5*CohortData!I265,2)</f>
        <v>8460</v>
      </c>
      <c r="E265" s="6" t="n">
        <f aca="false">ROUND(B265*Assumptions!$B$3,2)</f>
        <v>5507.46</v>
      </c>
      <c r="F265" s="6" t="n">
        <f aca="false">ROUND(B265*Assumptions!$B$6,2)</f>
        <v>2360.34</v>
      </c>
      <c r="G265" s="6" t="n">
        <f aca="false">ROUND(CohortData!G265*CohortData!I265-CohortData!G265*Assumptions!$B$7,2)</f>
        <v>0</v>
      </c>
      <c r="H265" s="7" t="n">
        <f aca="false">SUM(B265:E265,F265:G265)</f>
        <v>194664.6</v>
      </c>
      <c r="I265" s="6" t="n">
        <f aca="false">CEILING(H265,Assumptions!$B$8)</f>
        <v>194700</v>
      </c>
      <c r="J265" s="6" t="n">
        <f aca="false">FLOOR(H265,Assumptions!$B$8)</f>
        <v>194600</v>
      </c>
      <c r="K265" s="6" t="n">
        <f aca="false">ROUNDUP(H265,Assumptions!$B$9)</f>
        <v>194665</v>
      </c>
      <c r="L265" s="6" t="n">
        <f aca="false">ROUNDDOWN(H265,Assumptions!$B$10)</f>
        <v>194664</v>
      </c>
    </row>
    <row r="266" customFormat="false" ht="15" hidden="false" customHeight="false" outlineLevel="0" collapsed="false">
      <c r="A266" s="5" t="s">
        <v>309</v>
      </c>
      <c r="B266" s="6" t="n">
        <f aca="false">ROUND(CohortData!G266*CohortData!I266,2)</f>
        <v>54600</v>
      </c>
      <c r="C266" s="6" t="n">
        <f aca="false">ROUND(CohortData!L266*Assumptions!$B$4*CohortData!I266,2)</f>
        <v>7280</v>
      </c>
      <c r="D266" s="6" t="n">
        <f aca="false">ROUND(CohortData!E266*Assumptions!$B$5*CohortData!I266,2)</f>
        <v>2600</v>
      </c>
      <c r="E266" s="6" t="n">
        <f aca="false">ROUND(B266*Assumptions!$B$3,2)</f>
        <v>1911</v>
      </c>
      <c r="F266" s="6" t="n">
        <f aca="false">ROUND(B266*Assumptions!$B$6,2)</f>
        <v>819</v>
      </c>
      <c r="G266" s="6" t="n">
        <f aca="false">ROUND(CohortData!G266*CohortData!I266-CohortData!G266*Assumptions!$B$7,2)</f>
        <v>0</v>
      </c>
      <c r="H266" s="7" t="n">
        <f aca="false">SUM(B266:E266,F266:G266)</f>
        <v>67210</v>
      </c>
      <c r="I266" s="6" t="n">
        <f aca="false">CEILING(H266,Assumptions!$B$8)</f>
        <v>67300</v>
      </c>
      <c r="J266" s="6" t="n">
        <f aca="false">FLOOR(H266,Assumptions!$B$8)</f>
        <v>67200</v>
      </c>
      <c r="K266" s="6" t="n">
        <f aca="false">ROUNDUP(H266,Assumptions!$B$9)</f>
        <v>67210</v>
      </c>
      <c r="L266" s="6" t="n">
        <f aca="false">ROUNDDOWN(H266,Assumptions!$B$10)</f>
        <v>67210</v>
      </c>
    </row>
    <row r="267" customFormat="false" ht="15" hidden="false" customHeight="false" outlineLevel="0" collapsed="false">
      <c r="A267" s="5" t="s">
        <v>310</v>
      </c>
      <c r="B267" s="6" t="n">
        <f aca="false">ROUND(CohortData!G267*CohortData!I267,2)</f>
        <v>82351.5</v>
      </c>
      <c r="C267" s="6" t="n">
        <f aca="false">ROUND(CohortData!L267*Assumptions!$B$4*CohortData!I267,2)</f>
        <v>10980.2</v>
      </c>
      <c r="D267" s="6" t="n">
        <f aca="false">ROUND(CohortData!E267*Assumptions!$B$5*CohortData!I267,2)</f>
        <v>4991</v>
      </c>
      <c r="E267" s="6" t="n">
        <f aca="false">ROUND(B267*Assumptions!$B$3,2)</f>
        <v>2882.3</v>
      </c>
      <c r="F267" s="6" t="n">
        <f aca="false">ROUND(B267*Assumptions!$B$6,2)</f>
        <v>1235.27</v>
      </c>
      <c r="G267" s="6" t="n">
        <f aca="false">ROUND(CohortData!G267*CohortData!I267-CohortData!G267*Assumptions!$B$7,2)</f>
        <v>10741.5</v>
      </c>
      <c r="H267" s="7" t="n">
        <f aca="false">SUM(B267:E267,F267:G267)</f>
        <v>113181.77</v>
      </c>
      <c r="I267" s="6" t="n">
        <f aca="false">CEILING(H267,Assumptions!$B$8)</f>
        <v>113200</v>
      </c>
      <c r="J267" s="6" t="n">
        <f aca="false">FLOOR(H267,Assumptions!$B$8)</f>
        <v>113100</v>
      </c>
      <c r="K267" s="6" t="n">
        <f aca="false">ROUNDUP(H267,Assumptions!$B$9)</f>
        <v>113182</v>
      </c>
      <c r="L267" s="6" t="n">
        <f aca="false">ROUNDDOWN(H267,Assumptions!$B$10)</f>
        <v>113181</v>
      </c>
    </row>
    <row r="268" customFormat="false" ht="15" hidden="false" customHeight="false" outlineLevel="0" collapsed="false">
      <c r="A268" s="5" t="s">
        <v>311</v>
      </c>
      <c r="B268" s="6" t="n">
        <f aca="false">ROUND(CohortData!G268*CohortData!I268,2)</f>
        <v>49848</v>
      </c>
      <c r="C268" s="6" t="n">
        <f aca="false">ROUND(CohortData!L268*Assumptions!$B$4*CohortData!I268,2)</f>
        <v>6646.4</v>
      </c>
      <c r="D268" s="6" t="n">
        <f aca="false">ROUND(CohortData!E268*Assumptions!$B$5*CohortData!I268,2)</f>
        <v>2680</v>
      </c>
      <c r="E268" s="6" t="n">
        <f aca="false">ROUND(B268*Assumptions!$B$3,2)</f>
        <v>1744.68</v>
      </c>
      <c r="F268" s="6" t="n">
        <f aca="false">ROUND(B268*Assumptions!$B$6,2)</f>
        <v>747.72</v>
      </c>
      <c r="G268" s="6" t="n">
        <f aca="false">ROUND(CohortData!G268*CohortData!I268-CohortData!G268*Assumptions!$B$7,2)</f>
        <v>0</v>
      </c>
      <c r="H268" s="7" t="n">
        <f aca="false">SUM(B268:E268,F268:G268)</f>
        <v>61666.8</v>
      </c>
      <c r="I268" s="6" t="n">
        <f aca="false">CEILING(H268,Assumptions!$B$8)</f>
        <v>61700</v>
      </c>
      <c r="J268" s="6" t="n">
        <f aca="false">FLOOR(H268,Assumptions!$B$8)</f>
        <v>61600</v>
      </c>
      <c r="K268" s="6" t="n">
        <f aca="false">ROUNDUP(H268,Assumptions!$B$9)</f>
        <v>61667</v>
      </c>
      <c r="L268" s="6" t="n">
        <f aca="false">ROUNDDOWN(H268,Assumptions!$B$10)</f>
        <v>61666</v>
      </c>
    </row>
    <row r="269" customFormat="false" ht="15" hidden="false" customHeight="false" outlineLevel="0" collapsed="false">
      <c r="A269" s="5" t="s">
        <v>312</v>
      </c>
      <c r="B269" s="6" t="n">
        <f aca="false">ROUND(CohortData!G269*CohortData!I269,2)</f>
        <v>48720</v>
      </c>
      <c r="C269" s="6" t="n">
        <f aca="false">ROUND(CohortData!L269*Assumptions!$B$4*CohortData!I269,2)</f>
        <v>6496</v>
      </c>
      <c r="D269" s="6" t="n">
        <f aca="false">ROUND(CohortData!E269*Assumptions!$B$5*CohortData!I269,2)</f>
        <v>2320</v>
      </c>
      <c r="E269" s="6" t="n">
        <f aca="false">ROUND(B269*Assumptions!$B$3,2)</f>
        <v>1705.2</v>
      </c>
      <c r="F269" s="6" t="n">
        <f aca="false">ROUND(B269*Assumptions!$B$6,2)</f>
        <v>730.8</v>
      </c>
      <c r="G269" s="6" t="n">
        <f aca="false">ROUND(CohortData!G269*CohortData!I269-CohortData!G269*Assumptions!$B$7,2)</f>
        <v>0</v>
      </c>
      <c r="H269" s="7" t="n">
        <f aca="false">SUM(B269:E269,F269:G269)</f>
        <v>59972</v>
      </c>
      <c r="I269" s="6" t="n">
        <f aca="false">CEILING(H269,Assumptions!$B$8)</f>
        <v>60000</v>
      </c>
      <c r="J269" s="6" t="n">
        <f aca="false">FLOOR(H269,Assumptions!$B$8)</f>
        <v>59900</v>
      </c>
      <c r="K269" s="6" t="n">
        <f aca="false">ROUNDUP(H269,Assumptions!$B$9)</f>
        <v>59972</v>
      </c>
      <c r="L269" s="6" t="n">
        <f aca="false">ROUNDDOWN(H269,Assumptions!$B$10)</f>
        <v>59972</v>
      </c>
    </row>
    <row r="270" customFormat="false" ht="15" hidden="false" customHeight="false" outlineLevel="0" collapsed="false">
      <c r="A270" s="5" t="s">
        <v>313</v>
      </c>
      <c r="B270" s="6" t="n">
        <f aca="false">ROUND(CohortData!G270*CohortData!I270,2)</f>
        <v>88770</v>
      </c>
      <c r="C270" s="6" t="n">
        <f aca="false">ROUND(CohortData!L270*Assumptions!$B$4*CohortData!I270,2)</f>
        <v>11836</v>
      </c>
      <c r="D270" s="6" t="n">
        <f aca="false">ROUND(CohortData!E270*Assumptions!$B$5*CohortData!I270,2)</f>
        <v>5380</v>
      </c>
      <c r="E270" s="6" t="n">
        <f aca="false">ROUND(B270*Assumptions!$B$3,2)</f>
        <v>3106.95</v>
      </c>
      <c r="F270" s="6" t="n">
        <f aca="false">ROUND(B270*Assumptions!$B$6,2)</f>
        <v>1331.55</v>
      </c>
      <c r="G270" s="6" t="n">
        <f aca="false">ROUND(CohortData!G270*CohortData!I270-CohortData!G270*Assumptions!$B$7,2)</f>
        <v>0</v>
      </c>
      <c r="H270" s="7" t="n">
        <f aca="false">SUM(B270:E270,F270:G270)</f>
        <v>110424.5</v>
      </c>
      <c r="I270" s="6" t="n">
        <f aca="false">CEILING(H270,Assumptions!$B$8)</f>
        <v>110500</v>
      </c>
      <c r="J270" s="6" t="n">
        <f aca="false">FLOOR(H270,Assumptions!$B$8)</f>
        <v>110400</v>
      </c>
      <c r="K270" s="6" t="n">
        <f aca="false">ROUNDUP(H270,Assumptions!$B$9)</f>
        <v>110425</v>
      </c>
      <c r="L270" s="6" t="n">
        <f aca="false">ROUNDDOWN(H270,Assumptions!$B$10)</f>
        <v>110424</v>
      </c>
    </row>
    <row r="271" customFormat="false" ht="15" hidden="false" customHeight="false" outlineLevel="0" collapsed="false">
      <c r="A271" s="5" t="s">
        <v>314</v>
      </c>
      <c r="B271" s="6" t="n">
        <f aca="false">ROUND(CohortData!G271*CohortData!I271,2)</f>
        <v>58180.8</v>
      </c>
      <c r="C271" s="6" t="n">
        <f aca="false">ROUND(CohortData!L271*Assumptions!$B$4*CohortData!I271,2)</f>
        <v>7757.44</v>
      </c>
      <c r="D271" s="6" t="n">
        <f aca="false">ROUND(CohortData!E271*Assumptions!$B$5*CohortData!I271,2)</f>
        <v>3128</v>
      </c>
      <c r="E271" s="6" t="n">
        <f aca="false">ROUND(B271*Assumptions!$B$3,2)</f>
        <v>2036.33</v>
      </c>
      <c r="F271" s="6" t="n">
        <f aca="false">ROUND(B271*Assumptions!$B$6,2)</f>
        <v>872.71</v>
      </c>
      <c r="G271" s="6" t="n">
        <f aca="false">ROUND(CohortData!G271*CohortData!I271-CohortData!G271*Assumptions!$B$7,2)</f>
        <v>7588.8</v>
      </c>
      <c r="H271" s="7" t="n">
        <f aca="false">SUM(B271:E271,F271:G271)</f>
        <v>79564.08</v>
      </c>
      <c r="I271" s="6" t="n">
        <f aca="false">CEILING(H271,Assumptions!$B$8)</f>
        <v>79600</v>
      </c>
      <c r="J271" s="6" t="n">
        <f aca="false">FLOOR(H271,Assumptions!$B$8)</f>
        <v>79500</v>
      </c>
      <c r="K271" s="6" t="n">
        <f aca="false">ROUNDUP(H271,Assumptions!$B$9)</f>
        <v>79565</v>
      </c>
      <c r="L271" s="6" t="n">
        <f aca="false">ROUNDDOWN(H271,Assumptions!$B$10)</f>
        <v>79564</v>
      </c>
    </row>
    <row r="272" customFormat="false" ht="15" hidden="false" customHeight="false" outlineLevel="0" collapsed="false">
      <c r="A272" s="5" t="s">
        <v>315</v>
      </c>
      <c r="B272" s="6" t="n">
        <f aca="false">ROUND(CohortData!G272*CohortData!I272,2)</f>
        <v>152460</v>
      </c>
      <c r="C272" s="6" t="n">
        <f aca="false">ROUND(CohortData!L272*Assumptions!$B$4*CohortData!I272,2)</f>
        <v>20328</v>
      </c>
      <c r="D272" s="6" t="n">
        <f aca="false">ROUND(CohortData!E272*Assumptions!$B$5*CohortData!I272,2)</f>
        <v>7260</v>
      </c>
      <c r="E272" s="6" t="n">
        <f aca="false">ROUND(B272*Assumptions!$B$3,2)</f>
        <v>5336.1</v>
      </c>
      <c r="F272" s="6" t="n">
        <f aca="false">ROUND(B272*Assumptions!$B$6,2)</f>
        <v>2286.9</v>
      </c>
      <c r="G272" s="6" t="n">
        <f aca="false">ROUND(CohortData!G272*CohortData!I272-CohortData!G272*Assumptions!$B$7,2)</f>
        <v>0</v>
      </c>
      <c r="H272" s="7" t="n">
        <f aca="false">SUM(B272:E272,F272:G272)</f>
        <v>187671</v>
      </c>
      <c r="I272" s="6" t="n">
        <f aca="false">CEILING(H272,Assumptions!$B$8)</f>
        <v>187700</v>
      </c>
      <c r="J272" s="6" t="n">
        <f aca="false">FLOOR(H272,Assumptions!$B$8)</f>
        <v>187600</v>
      </c>
      <c r="K272" s="6" t="n">
        <f aca="false">ROUNDUP(H272,Assumptions!$B$9)</f>
        <v>187671</v>
      </c>
      <c r="L272" s="6" t="n">
        <f aca="false">ROUNDDOWN(H272,Assumptions!$B$10)</f>
        <v>187671</v>
      </c>
    </row>
    <row r="273" customFormat="false" ht="15" hidden="false" customHeight="false" outlineLevel="0" collapsed="false">
      <c r="A273" s="5" t="s">
        <v>316</v>
      </c>
      <c r="B273" s="6" t="n">
        <f aca="false">ROUND(CohortData!G273*CohortData!I273,2)</f>
        <v>72930</v>
      </c>
      <c r="C273" s="6" t="n">
        <f aca="false">ROUND(CohortData!L273*Assumptions!$B$4*CohortData!I273,2)</f>
        <v>9724</v>
      </c>
      <c r="D273" s="6" t="n">
        <f aca="false">ROUND(CohortData!E273*Assumptions!$B$5*CohortData!I273,2)</f>
        <v>4420</v>
      </c>
      <c r="E273" s="6" t="n">
        <f aca="false">ROUND(B273*Assumptions!$B$3,2)</f>
        <v>2552.55</v>
      </c>
      <c r="F273" s="6" t="n">
        <f aca="false">ROUND(B273*Assumptions!$B$6,2)</f>
        <v>1093.95</v>
      </c>
      <c r="G273" s="6" t="n">
        <f aca="false">ROUND(CohortData!G273*CohortData!I273-CohortData!G273*Assumptions!$B$7,2)</f>
        <v>0</v>
      </c>
      <c r="H273" s="7" t="n">
        <f aca="false">SUM(B273:E273,F273:G273)</f>
        <v>90720.5</v>
      </c>
      <c r="I273" s="6" t="n">
        <f aca="false">CEILING(H273,Assumptions!$B$8)</f>
        <v>90800</v>
      </c>
      <c r="J273" s="6" t="n">
        <f aca="false">FLOOR(H273,Assumptions!$B$8)</f>
        <v>90700</v>
      </c>
      <c r="K273" s="6" t="n">
        <f aca="false">ROUNDUP(H273,Assumptions!$B$9)</f>
        <v>90721</v>
      </c>
      <c r="L273" s="6" t="n">
        <f aca="false">ROUNDDOWN(H273,Assumptions!$B$10)</f>
        <v>90720</v>
      </c>
    </row>
    <row r="274" customFormat="false" ht="15" hidden="false" customHeight="false" outlineLevel="0" collapsed="false">
      <c r="A274" s="5" t="s">
        <v>317</v>
      </c>
      <c r="B274" s="6" t="n">
        <f aca="false">ROUND(CohortData!G274*CohortData!I274,2)</f>
        <v>90024</v>
      </c>
      <c r="C274" s="6" t="n">
        <f aca="false">ROUND(CohortData!L274*Assumptions!$B$4*CohortData!I274,2)</f>
        <v>12003.2</v>
      </c>
      <c r="D274" s="6" t="n">
        <f aca="false">ROUND(CohortData!E274*Assumptions!$B$5*CohortData!I274,2)</f>
        <v>4840</v>
      </c>
      <c r="E274" s="6" t="n">
        <f aca="false">ROUND(B274*Assumptions!$B$3,2)</f>
        <v>3150.84</v>
      </c>
      <c r="F274" s="6" t="n">
        <f aca="false">ROUND(B274*Assumptions!$B$6,2)</f>
        <v>1350.36</v>
      </c>
      <c r="G274" s="6" t="n">
        <f aca="false">ROUND(CohortData!G274*CohortData!I274-CohortData!G274*Assumptions!$B$7,2)</f>
        <v>0</v>
      </c>
      <c r="H274" s="7" t="n">
        <f aca="false">SUM(B274:E274,F274:G274)</f>
        <v>111368.4</v>
      </c>
      <c r="I274" s="6" t="n">
        <f aca="false">CEILING(H274,Assumptions!$B$8)</f>
        <v>111400</v>
      </c>
      <c r="J274" s="6" t="n">
        <f aca="false">FLOOR(H274,Assumptions!$B$8)</f>
        <v>111300</v>
      </c>
      <c r="K274" s="6" t="n">
        <f aca="false">ROUNDUP(H274,Assumptions!$B$9)</f>
        <v>111369</v>
      </c>
      <c r="L274" s="6" t="n">
        <f aca="false">ROUNDDOWN(H274,Assumptions!$B$10)</f>
        <v>111368</v>
      </c>
    </row>
    <row r="275" customFormat="false" ht="15" hidden="false" customHeight="false" outlineLevel="0" collapsed="false">
      <c r="A275" s="5" t="s">
        <v>318</v>
      </c>
      <c r="B275" s="6" t="n">
        <f aca="false">ROUND(CohortData!G275*CohortData!I275,2)</f>
        <v>213486</v>
      </c>
      <c r="C275" s="6" t="n">
        <f aca="false">ROUND(CohortData!L275*Assumptions!$B$4*CohortData!I275,2)</f>
        <v>0</v>
      </c>
      <c r="D275" s="6" t="n">
        <f aca="false">ROUND(CohortData!E275*Assumptions!$B$5*CohortData!I275,2)</f>
        <v>10166</v>
      </c>
      <c r="E275" s="6" t="n">
        <f aca="false">ROUND(B275*Assumptions!$B$3,2)</f>
        <v>7472.01</v>
      </c>
      <c r="F275" s="6" t="n">
        <f aca="false">ROUND(B275*Assumptions!$B$6,2)</f>
        <v>3202.29</v>
      </c>
      <c r="G275" s="6" t="n">
        <f aca="false">ROUND(CohortData!G275*CohortData!I275-CohortData!G275*Assumptions!$B$7,2)</f>
        <v>27846</v>
      </c>
      <c r="H275" s="7" t="n">
        <f aca="false">SUM(B275:E275,F275:G275)</f>
        <v>262172.3</v>
      </c>
      <c r="I275" s="6" t="n">
        <f aca="false">CEILING(H275,Assumptions!$B$8)</f>
        <v>262200</v>
      </c>
      <c r="J275" s="6" t="n">
        <f aca="false">FLOOR(H275,Assumptions!$B$8)</f>
        <v>262100</v>
      </c>
      <c r="K275" s="6" t="n">
        <f aca="false">ROUNDUP(H275,Assumptions!$B$9)</f>
        <v>262173</v>
      </c>
      <c r="L275" s="6" t="n">
        <f aca="false">ROUNDDOWN(H275,Assumptions!$B$10)</f>
        <v>262172</v>
      </c>
    </row>
    <row r="276" customFormat="false" ht="15" hidden="false" customHeight="false" outlineLevel="0" collapsed="false">
      <c r="A276" s="5" t="s">
        <v>319</v>
      </c>
      <c r="B276" s="6" t="n">
        <f aca="false">ROUND(CohortData!G276*CohortData!I276,2)</f>
        <v>114840</v>
      </c>
      <c r="C276" s="6" t="n">
        <f aca="false">ROUND(CohortData!L276*Assumptions!$B$4*CohortData!I276,2)</f>
        <v>15312</v>
      </c>
      <c r="D276" s="6" t="n">
        <f aca="false">ROUND(CohortData!E276*Assumptions!$B$5*CohortData!I276,2)</f>
        <v>6960</v>
      </c>
      <c r="E276" s="6" t="n">
        <f aca="false">ROUND(B276*Assumptions!$B$3,2)</f>
        <v>4019.4</v>
      </c>
      <c r="F276" s="6" t="n">
        <f aca="false">ROUND(B276*Assumptions!$B$6,2)</f>
        <v>1722.6</v>
      </c>
      <c r="G276" s="6" t="n">
        <f aca="false">ROUND(CohortData!G276*CohortData!I276-CohortData!G276*Assumptions!$B$7,2)</f>
        <v>0</v>
      </c>
      <c r="H276" s="7" t="n">
        <f aca="false">SUM(B276:E276,F276:G276)</f>
        <v>142854</v>
      </c>
      <c r="I276" s="6" t="n">
        <f aca="false">CEILING(H276,Assumptions!$B$8)</f>
        <v>142900</v>
      </c>
      <c r="J276" s="6" t="n">
        <f aca="false">FLOOR(H276,Assumptions!$B$8)</f>
        <v>142800</v>
      </c>
      <c r="K276" s="6" t="n">
        <f aca="false">ROUNDUP(H276,Assumptions!$B$9)</f>
        <v>142854</v>
      </c>
      <c r="L276" s="6" t="n">
        <f aca="false">ROUNDDOWN(H276,Assumptions!$B$10)</f>
        <v>142854</v>
      </c>
    </row>
    <row r="277" customFormat="false" ht="15" hidden="false" customHeight="false" outlineLevel="0" collapsed="false">
      <c r="A277" s="5" t="s">
        <v>320</v>
      </c>
      <c r="B277" s="6" t="n">
        <f aca="false">ROUND(CohortData!G277*CohortData!I277,2)</f>
        <v>77748</v>
      </c>
      <c r="C277" s="6" t="n">
        <f aca="false">ROUND(CohortData!L277*Assumptions!$B$4*CohortData!I277,2)</f>
        <v>10366.4</v>
      </c>
      <c r="D277" s="6" t="n">
        <f aca="false">ROUND(CohortData!E277*Assumptions!$B$5*CohortData!I277,2)</f>
        <v>4180</v>
      </c>
      <c r="E277" s="6" t="n">
        <f aca="false">ROUND(B277*Assumptions!$B$3,2)</f>
        <v>2721.18</v>
      </c>
      <c r="F277" s="6" t="n">
        <f aca="false">ROUND(B277*Assumptions!$B$6,2)</f>
        <v>1166.22</v>
      </c>
      <c r="G277" s="6" t="n">
        <f aca="false">ROUND(CohortData!G277*CohortData!I277-CohortData!G277*Assumptions!$B$7,2)</f>
        <v>0</v>
      </c>
      <c r="H277" s="7" t="n">
        <f aca="false">SUM(B277:E277,F277:G277)</f>
        <v>96181.8</v>
      </c>
      <c r="I277" s="6" t="n">
        <f aca="false">CEILING(H277,Assumptions!$B$8)</f>
        <v>96200</v>
      </c>
      <c r="J277" s="6" t="n">
        <f aca="false">FLOOR(H277,Assumptions!$B$8)</f>
        <v>96100</v>
      </c>
      <c r="K277" s="6" t="n">
        <f aca="false">ROUNDUP(H277,Assumptions!$B$9)</f>
        <v>96182</v>
      </c>
      <c r="L277" s="6" t="n">
        <f aca="false">ROUNDDOWN(H277,Assumptions!$B$10)</f>
        <v>96181</v>
      </c>
    </row>
    <row r="278" customFormat="false" ht="15" hidden="false" customHeight="false" outlineLevel="0" collapsed="false">
      <c r="A278" s="5" t="s">
        <v>321</v>
      </c>
      <c r="B278" s="6" t="n">
        <f aca="false">ROUND(CohortData!G278*CohortData!I278,2)</f>
        <v>157920</v>
      </c>
      <c r="C278" s="6" t="n">
        <f aca="false">ROUND(CohortData!L278*Assumptions!$B$4*CohortData!I278,2)</f>
        <v>21056</v>
      </c>
      <c r="D278" s="6" t="n">
        <f aca="false">ROUND(CohortData!E278*Assumptions!$B$5*CohortData!I278,2)</f>
        <v>7520</v>
      </c>
      <c r="E278" s="6" t="n">
        <f aca="false">ROUND(B278*Assumptions!$B$3,2)</f>
        <v>5527.2</v>
      </c>
      <c r="F278" s="6" t="n">
        <f aca="false">ROUND(B278*Assumptions!$B$6,2)</f>
        <v>2368.8</v>
      </c>
      <c r="G278" s="6" t="n">
        <f aca="false">ROUND(CohortData!G278*CohortData!I278-CohortData!G278*Assumptions!$B$7,2)</f>
        <v>0</v>
      </c>
      <c r="H278" s="7" t="n">
        <f aca="false">SUM(B278:E278,F278:G278)</f>
        <v>194392</v>
      </c>
      <c r="I278" s="6" t="n">
        <f aca="false">CEILING(H278,Assumptions!$B$8)</f>
        <v>194400</v>
      </c>
      <c r="J278" s="6" t="n">
        <f aca="false">FLOOR(H278,Assumptions!$B$8)</f>
        <v>194300</v>
      </c>
      <c r="K278" s="6" t="n">
        <f aca="false">ROUNDUP(H278,Assumptions!$B$9)</f>
        <v>194392</v>
      </c>
      <c r="L278" s="6" t="n">
        <f aca="false">ROUNDDOWN(H278,Assumptions!$B$10)</f>
        <v>194392</v>
      </c>
    </row>
    <row r="279" customFormat="false" ht="15" hidden="false" customHeight="false" outlineLevel="0" collapsed="false">
      <c r="A279" s="5" t="s">
        <v>322</v>
      </c>
      <c r="B279" s="6" t="n">
        <f aca="false">ROUND(CohortData!G279*CohortData!I279,2)</f>
        <v>63376.5</v>
      </c>
      <c r="C279" s="6" t="n">
        <f aca="false">ROUND(CohortData!L279*Assumptions!$B$4*CohortData!I279,2)</f>
        <v>8450.2</v>
      </c>
      <c r="D279" s="6" t="n">
        <f aca="false">ROUND(CohortData!E279*Assumptions!$B$5*CohortData!I279,2)</f>
        <v>3841</v>
      </c>
      <c r="E279" s="6" t="n">
        <f aca="false">ROUND(B279*Assumptions!$B$3,2)</f>
        <v>2218.18</v>
      </c>
      <c r="F279" s="6" t="n">
        <f aca="false">ROUND(B279*Assumptions!$B$6,2)</f>
        <v>950.65</v>
      </c>
      <c r="G279" s="6" t="n">
        <f aca="false">ROUND(CohortData!G279*CohortData!I279-CohortData!G279*Assumptions!$B$7,2)</f>
        <v>8266.5</v>
      </c>
      <c r="H279" s="7" t="n">
        <f aca="false">SUM(B279:E279,F279:G279)</f>
        <v>87103.03</v>
      </c>
      <c r="I279" s="6" t="n">
        <f aca="false">CEILING(H279,Assumptions!$B$8)</f>
        <v>87200</v>
      </c>
      <c r="J279" s="6" t="n">
        <f aca="false">FLOOR(H279,Assumptions!$B$8)</f>
        <v>87100</v>
      </c>
      <c r="K279" s="6" t="n">
        <f aca="false">ROUNDUP(H279,Assumptions!$B$9)</f>
        <v>87104</v>
      </c>
      <c r="L279" s="6" t="n">
        <f aca="false">ROUNDDOWN(H279,Assumptions!$B$10)</f>
        <v>87103</v>
      </c>
    </row>
    <row r="280" customFormat="false" ht="15" hidden="false" customHeight="false" outlineLevel="0" collapsed="false">
      <c r="A280" s="5" t="s">
        <v>323</v>
      </c>
      <c r="B280" s="6" t="n">
        <f aca="false">ROUND(CohortData!G280*CohortData!I280,2)</f>
        <v>174840</v>
      </c>
      <c r="C280" s="6" t="n">
        <f aca="false">ROUND(CohortData!L280*Assumptions!$B$4*CohortData!I280,2)</f>
        <v>23312</v>
      </c>
      <c r="D280" s="6" t="n">
        <f aca="false">ROUND(CohortData!E280*Assumptions!$B$5*CohortData!I280,2)</f>
        <v>9400</v>
      </c>
      <c r="E280" s="6" t="n">
        <f aca="false">ROUND(B280*Assumptions!$B$3,2)</f>
        <v>6119.4</v>
      </c>
      <c r="F280" s="6" t="n">
        <f aca="false">ROUND(B280*Assumptions!$B$6,2)</f>
        <v>2622.6</v>
      </c>
      <c r="G280" s="6" t="n">
        <f aca="false">ROUND(CohortData!G280*CohortData!I280-CohortData!G280*Assumptions!$B$7,2)</f>
        <v>0</v>
      </c>
      <c r="H280" s="7" t="n">
        <f aca="false">SUM(B280:E280,F280:G280)</f>
        <v>216294</v>
      </c>
      <c r="I280" s="6" t="n">
        <f aca="false">CEILING(H280,Assumptions!$B$8)</f>
        <v>216300</v>
      </c>
      <c r="J280" s="6" t="n">
        <f aca="false">FLOOR(H280,Assumptions!$B$8)</f>
        <v>216200</v>
      </c>
      <c r="K280" s="6" t="n">
        <f aca="false">ROUNDUP(H280,Assumptions!$B$9)</f>
        <v>216294</v>
      </c>
      <c r="L280" s="6" t="n">
        <f aca="false">ROUNDDOWN(H280,Assumptions!$B$10)</f>
        <v>216294</v>
      </c>
    </row>
    <row r="281" customFormat="false" ht="15" hidden="false" customHeight="false" outlineLevel="0" collapsed="false">
      <c r="A281" s="5" t="s">
        <v>324</v>
      </c>
      <c r="B281" s="6" t="n">
        <f aca="false">ROUND(CohortData!G281*CohortData!I281,2)</f>
        <v>164640</v>
      </c>
      <c r="C281" s="6" t="n">
        <f aca="false">ROUND(CohortData!L281*Assumptions!$B$4*CohortData!I281,2)</f>
        <v>21952</v>
      </c>
      <c r="D281" s="6" t="n">
        <f aca="false">ROUND(CohortData!E281*Assumptions!$B$5*CohortData!I281,2)</f>
        <v>7840</v>
      </c>
      <c r="E281" s="6" t="n">
        <f aca="false">ROUND(B281*Assumptions!$B$3,2)</f>
        <v>5762.4</v>
      </c>
      <c r="F281" s="6" t="n">
        <f aca="false">ROUND(B281*Assumptions!$B$6,2)</f>
        <v>2469.6</v>
      </c>
      <c r="G281" s="6" t="n">
        <f aca="false">ROUND(CohortData!G281*CohortData!I281-CohortData!G281*Assumptions!$B$7,2)</f>
        <v>0</v>
      </c>
      <c r="H281" s="7" t="n">
        <f aca="false">SUM(B281:E281,F281:G281)</f>
        <v>202664</v>
      </c>
      <c r="I281" s="6" t="n">
        <f aca="false">CEILING(H281,Assumptions!$B$8)</f>
        <v>202700</v>
      </c>
      <c r="J281" s="6" t="n">
        <f aca="false">FLOOR(H281,Assumptions!$B$8)</f>
        <v>202600</v>
      </c>
      <c r="K281" s="6" t="n">
        <f aca="false">ROUNDUP(H281,Assumptions!$B$9)</f>
        <v>202664</v>
      </c>
      <c r="L281" s="6" t="n">
        <f aca="false">ROUNDDOWN(H281,Assumptions!$B$10)</f>
        <v>202664</v>
      </c>
    </row>
    <row r="282" customFormat="false" ht="15" hidden="false" customHeight="false" outlineLevel="0" collapsed="false">
      <c r="A282" s="5" t="s">
        <v>325</v>
      </c>
      <c r="B282" s="6" t="n">
        <f aca="false">ROUND(CohortData!G282*CohortData!I282,2)</f>
        <v>130350</v>
      </c>
      <c r="C282" s="6" t="n">
        <f aca="false">ROUND(CohortData!L282*Assumptions!$B$4*CohortData!I282,2)</f>
        <v>17380</v>
      </c>
      <c r="D282" s="6" t="n">
        <f aca="false">ROUND(CohortData!E282*Assumptions!$B$5*CohortData!I282,2)</f>
        <v>7900</v>
      </c>
      <c r="E282" s="6" t="n">
        <f aca="false">ROUND(B282*Assumptions!$B$3,2)</f>
        <v>4562.25</v>
      </c>
      <c r="F282" s="6" t="n">
        <f aca="false">ROUND(B282*Assumptions!$B$6,2)</f>
        <v>1955.25</v>
      </c>
      <c r="G282" s="6" t="n">
        <f aca="false">ROUND(CohortData!G282*CohortData!I282-CohortData!G282*Assumptions!$B$7,2)</f>
        <v>0</v>
      </c>
      <c r="H282" s="7" t="n">
        <f aca="false">SUM(B282:E282,F282:G282)</f>
        <v>162147.5</v>
      </c>
      <c r="I282" s="6" t="n">
        <f aca="false">CEILING(H282,Assumptions!$B$8)</f>
        <v>162200</v>
      </c>
      <c r="J282" s="6" t="n">
        <f aca="false">FLOOR(H282,Assumptions!$B$8)</f>
        <v>162100</v>
      </c>
      <c r="K282" s="6" t="n">
        <f aca="false">ROUNDUP(H282,Assumptions!$B$9)</f>
        <v>162148</v>
      </c>
      <c r="L282" s="6" t="n">
        <f aca="false">ROUNDDOWN(H282,Assumptions!$B$10)</f>
        <v>162147</v>
      </c>
    </row>
    <row r="283" customFormat="false" ht="15" hidden="false" customHeight="false" outlineLevel="0" collapsed="false">
      <c r="A283" s="5" t="s">
        <v>326</v>
      </c>
      <c r="B283" s="6" t="n">
        <f aca="false">ROUND(CohortData!G283*CohortData!I283,2)</f>
        <v>146307.6</v>
      </c>
      <c r="C283" s="6" t="n">
        <f aca="false">ROUND(CohortData!L283*Assumptions!$B$4*CohortData!I283,2)</f>
        <v>19507.68</v>
      </c>
      <c r="D283" s="6" t="n">
        <f aca="false">ROUND(CohortData!E283*Assumptions!$B$5*CohortData!I283,2)</f>
        <v>7866</v>
      </c>
      <c r="E283" s="6" t="n">
        <f aca="false">ROUND(B283*Assumptions!$B$3,2)</f>
        <v>5120.77</v>
      </c>
      <c r="F283" s="6" t="n">
        <f aca="false">ROUND(B283*Assumptions!$B$6,2)</f>
        <v>2194.61</v>
      </c>
      <c r="G283" s="6" t="n">
        <f aca="false">ROUND(CohortData!G283*CohortData!I283-CohortData!G283*Assumptions!$B$7,2)</f>
        <v>19083.6</v>
      </c>
      <c r="H283" s="7" t="n">
        <f aca="false">SUM(B283:E283,F283:G283)</f>
        <v>200080.26</v>
      </c>
      <c r="I283" s="6" t="n">
        <f aca="false">CEILING(H283,Assumptions!$B$8)</f>
        <v>200100</v>
      </c>
      <c r="J283" s="6" t="n">
        <f aca="false">FLOOR(H283,Assumptions!$B$8)</f>
        <v>200000</v>
      </c>
      <c r="K283" s="6" t="n">
        <f aca="false">ROUNDUP(H283,Assumptions!$B$9)</f>
        <v>200081</v>
      </c>
      <c r="L283" s="6" t="n">
        <f aca="false">ROUNDDOWN(H283,Assumptions!$B$10)</f>
        <v>200080</v>
      </c>
    </row>
    <row r="284" customFormat="false" ht="15" hidden="false" customHeight="false" outlineLevel="0" collapsed="false">
      <c r="A284" s="5" t="s">
        <v>327</v>
      </c>
      <c r="B284" s="6" t="n">
        <f aca="false">ROUND(CohortData!G284*CohortData!I284,2)</f>
        <v>94080</v>
      </c>
      <c r="C284" s="6" t="n">
        <f aca="false">ROUND(CohortData!L284*Assumptions!$B$4*CohortData!I284,2)</f>
        <v>12544</v>
      </c>
      <c r="D284" s="6" t="n">
        <f aca="false">ROUND(CohortData!E284*Assumptions!$B$5*CohortData!I284,2)</f>
        <v>4480</v>
      </c>
      <c r="E284" s="6" t="n">
        <f aca="false">ROUND(B284*Assumptions!$B$3,2)</f>
        <v>3292.8</v>
      </c>
      <c r="F284" s="6" t="n">
        <f aca="false">ROUND(B284*Assumptions!$B$6,2)</f>
        <v>1411.2</v>
      </c>
      <c r="G284" s="6" t="n">
        <f aca="false">ROUND(CohortData!G284*CohortData!I284-CohortData!G284*Assumptions!$B$7,2)</f>
        <v>0</v>
      </c>
      <c r="H284" s="7" t="n">
        <f aca="false">SUM(B284:E284,F284:G284)</f>
        <v>115808</v>
      </c>
      <c r="I284" s="6" t="n">
        <f aca="false">CEILING(H284,Assumptions!$B$8)</f>
        <v>115900</v>
      </c>
      <c r="J284" s="6" t="n">
        <f aca="false">FLOOR(H284,Assumptions!$B$8)</f>
        <v>115800</v>
      </c>
      <c r="K284" s="6" t="n">
        <f aca="false">ROUNDUP(H284,Assumptions!$B$9)</f>
        <v>115808</v>
      </c>
      <c r="L284" s="6" t="n">
        <f aca="false">ROUNDDOWN(H284,Assumptions!$B$10)</f>
        <v>115808</v>
      </c>
    </row>
    <row r="285" customFormat="false" ht="15" hidden="false" customHeight="false" outlineLevel="0" collapsed="false">
      <c r="A285" s="5" t="s">
        <v>328</v>
      </c>
      <c r="B285" s="6" t="n">
        <f aca="false">ROUND(CohortData!G285*CohortData!I285,2)</f>
        <v>112860</v>
      </c>
      <c r="C285" s="6" t="n">
        <f aca="false">ROUND(CohortData!L285*Assumptions!$B$4*CohortData!I285,2)</f>
        <v>15048</v>
      </c>
      <c r="D285" s="6" t="n">
        <f aca="false">ROUND(CohortData!E285*Assumptions!$B$5*CohortData!I285,2)</f>
        <v>6840</v>
      </c>
      <c r="E285" s="6" t="n">
        <f aca="false">ROUND(B285*Assumptions!$B$3,2)</f>
        <v>3950.1</v>
      </c>
      <c r="F285" s="6" t="n">
        <f aca="false">ROUND(B285*Assumptions!$B$6,2)</f>
        <v>1692.9</v>
      </c>
      <c r="G285" s="6" t="n">
        <f aca="false">ROUND(CohortData!G285*CohortData!I285-CohortData!G285*Assumptions!$B$7,2)</f>
        <v>0</v>
      </c>
      <c r="H285" s="7" t="n">
        <f aca="false">SUM(B285:E285,F285:G285)</f>
        <v>140391</v>
      </c>
      <c r="I285" s="6" t="n">
        <f aca="false">CEILING(H285,Assumptions!$B$8)</f>
        <v>140400</v>
      </c>
      <c r="J285" s="6" t="n">
        <f aca="false">FLOOR(H285,Assumptions!$B$8)</f>
        <v>140300</v>
      </c>
      <c r="K285" s="6" t="n">
        <f aca="false">ROUNDUP(H285,Assumptions!$B$9)</f>
        <v>140391</v>
      </c>
      <c r="L285" s="6" t="n">
        <f aca="false">ROUNDDOWN(H285,Assumptions!$B$10)</f>
        <v>140391</v>
      </c>
    </row>
    <row r="286" customFormat="false" ht="15" hidden="false" customHeight="false" outlineLevel="0" collapsed="false">
      <c r="A286" s="5" t="s">
        <v>329</v>
      </c>
      <c r="B286" s="6" t="n">
        <f aca="false">ROUND(CohortData!G286*CohortData!I286,2)</f>
        <v>114576</v>
      </c>
      <c r="C286" s="6" t="n">
        <f aca="false">ROUND(CohortData!L286*Assumptions!$B$4*CohortData!I286,2)</f>
        <v>15276.8</v>
      </c>
      <c r="D286" s="6" t="n">
        <f aca="false">ROUND(CohortData!E286*Assumptions!$B$5*CohortData!I286,2)</f>
        <v>6160</v>
      </c>
      <c r="E286" s="6" t="n">
        <f aca="false">ROUND(B286*Assumptions!$B$3,2)</f>
        <v>4010.16</v>
      </c>
      <c r="F286" s="6" t="n">
        <f aca="false">ROUND(B286*Assumptions!$B$6,2)</f>
        <v>1718.64</v>
      </c>
      <c r="G286" s="6" t="n">
        <f aca="false">ROUND(CohortData!G286*CohortData!I286-CohortData!G286*Assumptions!$B$7,2)</f>
        <v>0</v>
      </c>
      <c r="H286" s="7" t="n">
        <f aca="false">SUM(B286:E286,F286:G286)</f>
        <v>141741.6</v>
      </c>
      <c r="I286" s="6" t="n">
        <f aca="false">CEILING(H286,Assumptions!$B$8)</f>
        <v>141800</v>
      </c>
      <c r="J286" s="6" t="n">
        <f aca="false">FLOOR(H286,Assumptions!$B$8)</f>
        <v>141700</v>
      </c>
      <c r="K286" s="6" t="n">
        <f aca="false">ROUNDUP(H286,Assumptions!$B$9)</f>
        <v>141742</v>
      </c>
      <c r="L286" s="6" t="n">
        <f aca="false">ROUNDDOWN(H286,Assumptions!$B$10)</f>
        <v>141741</v>
      </c>
    </row>
    <row r="287" customFormat="false" ht="15" hidden="false" customHeight="false" outlineLevel="0" collapsed="false">
      <c r="A287" s="5" t="s">
        <v>330</v>
      </c>
      <c r="B287" s="6" t="n">
        <f aca="false">ROUND(CohortData!G287*CohortData!I287,2)</f>
        <v>95151</v>
      </c>
      <c r="C287" s="6" t="n">
        <f aca="false">ROUND(CohortData!L287*Assumptions!$B$4*CohortData!I287,2)</f>
        <v>12686.8</v>
      </c>
      <c r="D287" s="6" t="n">
        <f aca="false">ROUND(CohortData!E287*Assumptions!$B$5*CohortData!I287,2)</f>
        <v>4531</v>
      </c>
      <c r="E287" s="6" t="n">
        <f aca="false">ROUND(B287*Assumptions!$B$3,2)</f>
        <v>3330.29</v>
      </c>
      <c r="F287" s="6" t="n">
        <f aca="false">ROUND(B287*Assumptions!$B$6,2)</f>
        <v>1427.27</v>
      </c>
      <c r="G287" s="6" t="n">
        <f aca="false">ROUND(CohortData!G287*CohortData!I287-CohortData!G287*Assumptions!$B$7,2)</f>
        <v>12411</v>
      </c>
      <c r="H287" s="7" t="n">
        <f aca="false">SUM(B287:E287,F287:G287)</f>
        <v>129537.36</v>
      </c>
      <c r="I287" s="6" t="n">
        <f aca="false">CEILING(H287,Assumptions!$B$8)</f>
        <v>129600</v>
      </c>
      <c r="J287" s="6" t="n">
        <f aca="false">FLOOR(H287,Assumptions!$B$8)</f>
        <v>129500</v>
      </c>
      <c r="K287" s="6" t="n">
        <f aca="false">ROUNDUP(H287,Assumptions!$B$9)</f>
        <v>129538</v>
      </c>
      <c r="L287" s="6" t="n">
        <f aca="false">ROUNDDOWN(H287,Assumptions!$B$10)</f>
        <v>129537</v>
      </c>
    </row>
    <row r="288" customFormat="false" ht="15" hidden="false" customHeight="false" outlineLevel="0" collapsed="false">
      <c r="A288" s="5" t="s">
        <v>331</v>
      </c>
      <c r="B288" s="6" t="n">
        <f aca="false">ROUND(CohortData!G288*CohortData!I288,2)</f>
        <v>48840</v>
      </c>
      <c r="C288" s="6" t="n">
        <f aca="false">ROUND(CohortData!L288*Assumptions!$B$4*CohortData!I288,2)</f>
        <v>6512</v>
      </c>
      <c r="D288" s="6" t="n">
        <f aca="false">ROUND(CohortData!E288*Assumptions!$B$5*CohortData!I288,2)</f>
        <v>2960</v>
      </c>
      <c r="E288" s="6" t="n">
        <f aca="false">ROUND(B288*Assumptions!$B$3,2)</f>
        <v>1709.4</v>
      </c>
      <c r="F288" s="6" t="n">
        <f aca="false">ROUND(B288*Assumptions!$B$6,2)</f>
        <v>732.6</v>
      </c>
      <c r="G288" s="6" t="n">
        <f aca="false">ROUND(CohortData!G288*CohortData!I288-CohortData!G288*Assumptions!$B$7,2)</f>
        <v>0</v>
      </c>
      <c r="H288" s="7" t="n">
        <f aca="false">SUM(B288:E288,F288:G288)</f>
        <v>60754</v>
      </c>
      <c r="I288" s="6" t="n">
        <f aca="false">CEILING(H288,Assumptions!$B$8)</f>
        <v>60800</v>
      </c>
      <c r="J288" s="6" t="n">
        <f aca="false">FLOOR(H288,Assumptions!$B$8)</f>
        <v>60700</v>
      </c>
      <c r="K288" s="6" t="n">
        <f aca="false">ROUNDUP(H288,Assumptions!$B$9)</f>
        <v>60754</v>
      </c>
      <c r="L288" s="6" t="n">
        <f aca="false">ROUNDDOWN(H288,Assumptions!$B$10)</f>
        <v>60754</v>
      </c>
    </row>
    <row r="289" customFormat="false" ht="15" hidden="false" customHeight="false" outlineLevel="0" collapsed="false">
      <c r="A289" s="5" t="s">
        <v>332</v>
      </c>
      <c r="B289" s="6" t="n">
        <f aca="false">ROUND(CohortData!G289*CohortData!I289,2)</f>
        <v>55428</v>
      </c>
      <c r="C289" s="6" t="n">
        <f aca="false">ROUND(CohortData!L289*Assumptions!$B$4*CohortData!I289,2)</f>
        <v>7390.4</v>
      </c>
      <c r="D289" s="6" t="n">
        <f aca="false">ROUND(CohortData!E289*Assumptions!$B$5*CohortData!I289,2)</f>
        <v>2980</v>
      </c>
      <c r="E289" s="6" t="n">
        <f aca="false">ROUND(B289*Assumptions!$B$3,2)</f>
        <v>1939.98</v>
      </c>
      <c r="F289" s="6" t="n">
        <f aca="false">ROUND(B289*Assumptions!$B$6,2)</f>
        <v>831.42</v>
      </c>
      <c r="G289" s="6" t="n">
        <f aca="false">ROUND(CohortData!G289*CohortData!I289-CohortData!G289*Assumptions!$B$7,2)</f>
        <v>0</v>
      </c>
      <c r="H289" s="7" t="n">
        <f aca="false">SUM(B289:E289,F289:G289)</f>
        <v>68569.8</v>
      </c>
      <c r="I289" s="6" t="n">
        <f aca="false">CEILING(H289,Assumptions!$B$8)</f>
        <v>68600</v>
      </c>
      <c r="J289" s="6" t="n">
        <f aca="false">FLOOR(H289,Assumptions!$B$8)</f>
        <v>68500</v>
      </c>
      <c r="K289" s="6" t="n">
        <f aca="false">ROUNDUP(H289,Assumptions!$B$9)</f>
        <v>68570</v>
      </c>
      <c r="L289" s="6" t="n">
        <f aca="false">ROUNDDOWN(H289,Assumptions!$B$10)</f>
        <v>68569</v>
      </c>
    </row>
    <row r="290" customFormat="false" ht="15" hidden="false" customHeight="false" outlineLevel="0" collapsed="false">
      <c r="A290" s="5" t="s">
        <v>333</v>
      </c>
      <c r="B290" s="6" t="n">
        <f aca="false">ROUND(CohortData!G290*CohortData!I290,2)</f>
        <v>183540</v>
      </c>
      <c r="C290" s="6" t="n">
        <f aca="false">ROUND(CohortData!L290*Assumptions!$B$4*CohortData!I290,2)</f>
        <v>24472</v>
      </c>
      <c r="D290" s="6" t="n">
        <f aca="false">ROUND(CohortData!E290*Assumptions!$B$5*CohortData!I290,2)</f>
        <v>8740</v>
      </c>
      <c r="E290" s="6" t="n">
        <f aca="false">ROUND(B290*Assumptions!$B$3,2)</f>
        <v>6423.9</v>
      </c>
      <c r="F290" s="6" t="n">
        <f aca="false">ROUND(B290*Assumptions!$B$6,2)</f>
        <v>2753.1</v>
      </c>
      <c r="G290" s="6" t="n">
        <f aca="false">ROUND(CohortData!G290*CohortData!I290-CohortData!G290*Assumptions!$B$7,2)</f>
        <v>0</v>
      </c>
      <c r="H290" s="7" t="n">
        <f aca="false">SUM(B290:E290,F290:G290)</f>
        <v>225929</v>
      </c>
      <c r="I290" s="6" t="n">
        <f aca="false">CEILING(H290,Assumptions!$B$8)</f>
        <v>226000</v>
      </c>
      <c r="J290" s="6" t="n">
        <f aca="false">FLOOR(H290,Assumptions!$B$8)</f>
        <v>225900</v>
      </c>
      <c r="K290" s="6" t="n">
        <f aca="false">ROUNDUP(H290,Assumptions!$B$9)</f>
        <v>225929</v>
      </c>
      <c r="L290" s="6" t="n">
        <f aca="false">ROUNDDOWN(H290,Assumptions!$B$10)</f>
        <v>225929</v>
      </c>
    </row>
    <row r="291" customFormat="false" ht="15" hidden="false" customHeight="false" outlineLevel="0" collapsed="false">
      <c r="A291" s="5" t="s">
        <v>334</v>
      </c>
      <c r="B291" s="6" t="n">
        <f aca="false">ROUND(CohortData!G291*CohortData!I291,2)</f>
        <v>121440</v>
      </c>
      <c r="C291" s="6" t="n">
        <f aca="false">ROUND(CohortData!L291*Assumptions!$B$4*CohortData!I291,2)</f>
        <v>16192</v>
      </c>
      <c r="D291" s="6" t="n">
        <f aca="false">ROUND(CohortData!E291*Assumptions!$B$5*CohortData!I291,2)</f>
        <v>7360</v>
      </c>
      <c r="E291" s="6" t="n">
        <f aca="false">ROUND(B291*Assumptions!$B$3,2)</f>
        <v>4250.4</v>
      </c>
      <c r="F291" s="6" t="n">
        <f aca="false">ROUND(B291*Assumptions!$B$6,2)</f>
        <v>1821.6</v>
      </c>
      <c r="G291" s="6" t="n">
        <f aca="false">ROUND(CohortData!G291*CohortData!I291-CohortData!G291*Assumptions!$B$7,2)</f>
        <v>15840</v>
      </c>
      <c r="H291" s="7" t="n">
        <f aca="false">SUM(B291:E291,F291:G291)</f>
        <v>166904</v>
      </c>
      <c r="I291" s="6" t="n">
        <f aca="false">CEILING(H291,Assumptions!$B$8)</f>
        <v>167000</v>
      </c>
      <c r="J291" s="6" t="n">
        <f aca="false">FLOOR(H291,Assumptions!$B$8)</f>
        <v>166900</v>
      </c>
      <c r="K291" s="6" t="n">
        <f aca="false">ROUNDUP(H291,Assumptions!$B$9)</f>
        <v>166904</v>
      </c>
      <c r="L291" s="6" t="n">
        <f aca="false">ROUNDDOWN(H291,Assumptions!$B$10)</f>
        <v>166904</v>
      </c>
    </row>
    <row r="292" customFormat="false" ht="15" hidden="false" customHeight="false" outlineLevel="0" collapsed="false">
      <c r="A292" s="5" t="s">
        <v>335</v>
      </c>
      <c r="B292" s="6" t="n">
        <f aca="false">ROUND(CohortData!G292*CohortData!I292,2)</f>
        <v>104532</v>
      </c>
      <c r="C292" s="6" t="n">
        <f aca="false">ROUND(CohortData!L292*Assumptions!$B$4*CohortData!I292,2)</f>
        <v>0</v>
      </c>
      <c r="D292" s="6" t="n">
        <f aca="false">ROUND(CohortData!E292*Assumptions!$B$5*CohortData!I292,2)</f>
        <v>5620</v>
      </c>
      <c r="E292" s="6" t="n">
        <f aca="false">ROUND(B292*Assumptions!$B$3,2)</f>
        <v>3658.62</v>
      </c>
      <c r="F292" s="6" t="n">
        <f aca="false">ROUND(B292*Assumptions!$B$6,2)</f>
        <v>1567.98</v>
      </c>
      <c r="G292" s="6" t="n">
        <f aca="false">ROUND(CohortData!G292*CohortData!I292-CohortData!G292*Assumptions!$B$7,2)</f>
        <v>0</v>
      </c>
      <c r="H292" s="7" t="n">
        <f aca="false">SUM(B292:E292,F292:G292)</f>
        <v>115378.6</v>
      </c>
      <c r="I292" s="6" t="n">
        <f aca="false">CEILING(H292,Assumptions!$B$8)</f>
        <v>115400</v>
      </c>
      <c r="J292" s="6" t="n">
        <f aca="false">FLOOR(H292,Assumptions!$B$8)</f>
        <v>115300</v>
      </c>
      <c r="K292" s="6" t="n">
        <f aca="false">ROUNDUP(H292,Assumptions!$B$9)</f>
        <v>115379</v>
      </c>
      <c r="L292" s="6" t="n">
        <f aca="false">ROUNDDOWN(H292,Assumptions!$B$10)</f>
        <v>115378</v>
      </c>
    </row>
    <row r="293" customFormat="false" ht="15" hidden="false" customHeight="false" outlineLevel="0" collapsed="false">
      <c r="A293" s="5" t="s">
        <v>336</v>
      </c>
      <c r="B293" s="6" t="n">
        <f aca="false">ROUND(CohortData!G293*CohortData!I293,2)</f>
        <v>132720</v>
      </c>
      <c r="C293" s="6" t="n">
        <f aca="false">ROUND(CohortData!L293*Assumptions!$B$4*CohortData!I293,2)</f>
        <v>17696</v>
      </c>
      <c r="D293" s="6" t="n">
        <f aca="false">ROUND(CohortData!E293*Assumptions!$B$5*CohortData!I293,2)</f>
        <v>6320</v>
      </c>
      <c r="E293" s="6" t="n">
        <f aca="false">ROUND(B293*Assumptions!$B$3,2)</f>
        <v>4645.2</v>
      </c>
      <c r="F293" s="6" t="n">
        <f aca="false">ROUND(B293*Assumptions!$B$6,2)</f>
        <v>1990.8</v>
      </c>
      <c r="G293" s="6" t="n">
        <f aca="false">ROUND(CohortData!G293*CohortData!I293-CohortData!G293*Assumptions!$B$7,2)</f>
        <v>0</v>
      </c>
      <c r="H293" s="7" t="n">
        <f aca="false">SUM(B293:E293,F293:G293)</f>
        <v>163372</v>
      </c>
      <c r="I293" s="6" t="n">
        <f aca="false">CEILING(H293,Assumptions!$B$8)</f>
        <v>163400</v>
      </c>
      <c r="J293" s="6" t="n">
        <f aca="false">FLOOR(H293,Assumptions!$B$8)</f>
        <v>163300</v>
      </c>
      <c r="K293" s="6" t="n">
        <f aca="false">ROUNDUP(H293,Assumptions!$B$9)</f>
        <v>163372</v>
      </c>
      <c r="L293" s="6" t="n">
        <f aca="false">ROUNDDOWN(H293,Assumptions!$B$10)</f>
        <v>163372</v>
      </c>
    </row>
    <row r="294" customFormat="false" ht="15" hidden="false" customHeight="false" outlineLevel="0" collapsed="false">
      <c r="A294" s="5" t="s">
        <v>337</v>
      </c>
      <c r="B294" s="6" t="n">
        <f aca="false">ROUND(CohortData!G294*CohortData!I294,2)</f>
        <v>102300</v>
      </c>
      <c r="C294" s="6" t="n">
        <f aca="false">ROUND(CohortData!L294*Assumptions!$B$4*CohortData!I294,2)</f>
        <v>13640</v>
      </c>
      <c r="D294" s="6" t="n">
        <f aca="false">ROUND(CohortData!E294*Assumptions!$B$5*CohortData!I294,2)</f>
        <v>6200</v>
      </c>
      <c r="E294" s="6" t="n">
        <f aca="false">ROUND(B294*Assumptions!$B$3,2)</f>
        <v>3580.5</v>
      </c>
      <c r="F294" s="6" t="n">
        <f aca="false">ROUND(B294*Assumptions!$B$6,2)</f>
        <v>1534.5</v>
      </c>
      <c r="G294" s="6" t="n">
        <f aca="false">ROUND(CohortData!G294*CohortData!I294-CohortData!G294*Assumptions!$B$7,2)</f>
        <v>0</v>
      </c>
      <c r="H294" s="7" t="n">
        <f aca="false">SUM(B294:E294,F294:G294)</f>
        <v>127255</v>
      </c>
      <c r="I294" s="6" t="n">
        <f aca="false">CEILING(H294,Assumptions!$B$8)</f>
        <v>127300</v>
      </c>
      <c r="J294" s="6" t="n">
        <f aca="false">FLOOR(H294,Assumptions!$B$8)</f>
        <v>127200</v>
      </c>
      <c r="K294" s="6" t="n">
        <f aca="false">ROUNDUP(H294,Assumptions!$B$9)</f>
        <v>127255</v>
      </c>
      <c r="L294" s="6" t="n">
        <f aca="false">ROUNDDOWN(H294,Assumptions!$B$10)</f>
        <v>127255</v>
      </c>
    </row>
    <row r="295" customFormat="false" ht="15" hidden="false" customHeight="false" outlineLevel="0" collapsed="false">
      <c r="A295" s="5" t="s">
        <v>338</v>
      </c>
      <c r="B295" s="6" t="n">
        <f aca="false">ROUND(CohortData!G295*CohortData!I295,2)</f>
        <v>145024.2</v>
      </c>
      <c r="C295" s="6" t="n">
        <f aca="false">ROUND(CohortData!L295*Assumptions!$B$4*CohortData!I295,2)</f>
        <v>19336.56</v>
      </c>
      <c r="D295" s="6" t="n">
        <f aca="false">ROUND(CohortData!E295*Assumptions!$B$5*CohortData!I295,2)</f>
        <v>7797</v>
      </c>
      <c r="E295" s="6" t="n">
        <f aca="false">ROUND(B295*Assumptions!$B$3,2)</f>
        <v>5075.85</v>
      </c>
      <c r="F295" s="6" t="n">
        <f aca="false">ROUND(B295*Assumptions!$B$6,2)</f>
        <v>2175.36</v>
      </c>
      <c r="G295" s="6" t="n">
        <f aca="false">ROUND(CohortData!G295*CohortData!I295-CohortData!G295*Assumptions!$B$7,2)</f>
        <v>18916.2</v>
      </c>
      <c r="H295" s="7" t="n">
        <f aca="false">SUM(B295:E295,F295:G295)</f>
        <v>198325.17</v>
      </c>
      <c r="I295" s="6" t="n">
        <f aca="false">CEILING(H295,Assumptions!$B$8)</f>
        <v>198400</v>
      </c>
      <c r="J295" s="6" t="n">
        <f aca="false">FLOOR(H295,Assumptions!$B$8)</f>
        <v>198300</v>
      </c>
      <c r="K295" s="6" t="n">
        <f aca="false">ROUNDUP(H295,Assumptions!$B$9)</f>
        <v>198326</v>
      </c>
      <c r="L295" s="6" t="n">
        <f aca="false">ROUNDDOWN(H295,Assumptions!$B$10)</f>
        <v>198325</v>
      </c>
    </row>
    <row r="296" customFormat="false" ht="15" hidden="false" customHeight="false" outlineLevel="0" collapsed="false">
      <c r="A296" s="5" t="s">
        <v>339</v>
      </c>
      <c r="B296" s="6" t="n">
        <f aca="false">ROUND(CohortData!G296*CohortData!I296,2)</f>
        <v>198660</v>
      </c>
      <c r="C296" s="6" t="n">
        <f aca="false">ROUND(CohortData!L296*Assumptions!$B$4*CohortData!I296,2)</f>
        <v>26488</v>
      </c>
      <c r="D296" s="6" t="n">
        <f aca="false">ROUND(CohortData!E296*Assumptions!$B$5*CohortData!I296,2)</f>
        <v>9460</v>
      </c>
      <c r="E296" s="6" t="n">
        <f aca="false">ROUND(B296*Assumptions!$B$3,2)</f>
        <v>6953.1</v>
      </c>
      <c r="F296" s="6" t="n">
        <f aca="false">ROUND(B296*Assumptions!$B$6,2)</f>
        <v>2979.9</v>
      </c>
      <c r="G296" s="6" t="n">
        <f aca="false">ROUND(CohortData!G296*CohortData!I296-CohortData!G296*Assumptions!$B$7,2)</f>
        <v>0</v>
      </c>
      <c r="H296" s="7" t="n">
        <f aca="false">SUM(B296:E296,F296:G296)</f>
        <v>244541</v>
      </c>
      <c r="I296" s="6" t="n">
        <f aca="false">CEILING(H296,Assumptions!$B$8)</f>
        <v>244600</v>
      </c>
      <c r="J296" s="6" t="n">
        <f aca="false">FLOOR(H296,Assumptions!$B$8)</f>
        <v>244500</v>
      </c>
      <c r="K296" s="6" t="n">
        <f aca="false">ROUNDUP(H296,Assumptions!$B$9)</f>
        <v>244541</v>
      </c>
      <c r="L296" s="6" t="n">
        <f aca="false">ROUNDDOWN(H296,Assumptions!$B$10)</f>
        <v>244541</v>
      </c>
    </row>
    <row r="297" customFormat="false" ht="15" hidden="false" customHeight="false" outlineLevel="0" collapsed="false">
      <c r="A297" s="5" t="s">
        <v>340</v>
      </c>
      <c r="B297" s="6" t="n">
        <f aca="false">ROUND(CohortData!G297*CohortData!I297,2)</f>
        <v>41910</v>
      </c>
      <c r="C297" s="6" t="n">
        <f aca="false">ROUND(CohortData!L297*Assumptions!$B$4*CohortData!I297,2)</f>
        <v>5588</v>
      </c>
      <c r="D297" s="6" t="n">
        <f aca="false">ROUND(CohortData!E297*Assumptions!$B$5*CohortData!I297,2)</f>
        <v>2540</v>
      </c>
      <c r="E297" s="6" t="n">
        <f aca="false">ROUND(B297*Assumptions!$B$3,2)</f>
        <v>1466.85</v>
      </c>
      <c r="F297" s="6" t="n">
        <f aca="false">ROUND(B297*Assumptions!$B$6,2)</f>
        <v>628.65</v>
      </c>
      <c r="G297" s="6" t="n">
        <f aca="false">ROUND(CohortData!G297*CohortData!I297-CohortData!G297*Assumptions!$B$7,2)</f>
        <v>0</v>
      </c>
      <c r="H297" s="7" t="n">
        <f aca="false">SUM(B297:E297,F297:G297)</f>
        <v>52133.5</v>
      </c>
      <c r="I297" s="6" t="n">
        <f aca="false">CEILING(H297,Assumptions!$B$8)</f>
        <v>52200</v>
      </c>
      <c r="J297" s="6" t="n">
        <f aca="false">FLOOR(H297,Assumptions!$B$8)</f>
        <v>52100</v>
      </c>
      <c r="K297" s="6" t="n">
        <f aca="false">ROUNDUP(H297,Assumptions!$B$9)</f>
        <v>52134</v>
      </c>
      <c r="L297" s="6" t="n">
        <f aca="false">ROUNDDOWN(H297,Assumptions!$B$10)</f>
        <v>52133</v>
      </c>
    </row>
    <row r="298" customFormat="false" ht="15" hidden="false" customHeight="false" outlineLevel="0" collapsed="false">
      <c r="A298" s="5" t="s">
        <v>341</v>
      </c>
      <c r="B298" s="6" t="n">
        <f aca="false">ROUND(CohortData!G298*CohortData!I298,2)</f>
        <v>165168</v>
      </c>
      <c r="C298" s="6" t="n">
        <f aca="false">ROUND(CohortData!L298*Assumptions!$B$4*CohortData!I298,2)</f>
        <v>22022.4</v>
      </c>
      <c r="D298" s="6" t="n">
        <f aca="false">ROUND(CohortData!E298*Assumptions!$B$5*CohortData!I298,2)</f>
        <v>8880</v>
      </c>
      <c r="E298" s="6" t="n">
        <f aca="false">ROUND(B298*Assumptions!$B$3,2)</f>
        <v>5780.88</v>
      </c>
      <c r="F298" s="6" t="n">
        <f aca="false">ROUND(B298*Assumptions!$B$6,2)</f>
        <v>2477.52</v>
      </c>
      <c r="G298" s="6" t="n">
        <f aca="false">ROUND(CohortData!G298*CohortData!I298-CohortData!G298*Assumptions!$B$7,2)</f>
        <v>0</v>
      </c>
      <c r="H298" s="7" t="n">
        <f aca="false">SUM(B298:E298,F298:G298)</f>
        <v>204328.8</v>
      </c>
      <c r="I298" s="6" t="n">
        <f aca="false">CEILING(H298,Assumptions!$B$8)</f>
        <v>204400</v>
      </c>
      <c r="J298" s="6" t="n">
        <f aca="false">FLOOR(H298,Assumptions!$B$8)</f>
        <v>204300</v>
      </c>
      <c r="K298" s="6" t="n">
        <f aca="false">ROUNDUP(H298,Assumptions!$B$9)</f>
        <v>204329</v>
      </c>
      <c r="L298" s="6" t="n">
        <f aca="false">ROUNDDOWN(H298,Assumptions!$B$10)</f>
        <v>204328</v>
      </c>
    </row>
    <row r="299" customFormat="false" ht="15" hidden="false" customHeight="false" outlineLevel="0" collapsed="false">
      <c r="A299" s="5" t="s">
        <v>342</v>
      </c>
      <c r="B299" s="6" t="n">
        <f aca="false">ROUND(CohortData!G299*CohortData!I299,2)</f>
        <v>209622</v>
      </c>
      <c r="C299" s="6" t="n">
        <f aca="false">ROUND(CohortData!L299*Assumptions!$B$4*CohortData!I299,2)</f>
        <v>27949.6</v>
      </c>
      <c r="D299" s="6" t="n">
        <f aca="false">ROUND(CohortData!E299*Assumptions!$B$5*CohortData!I299,2)</f>
        <v>9982</v>
      </c>
      <c r="E299" s="6" t="n">
        <f aca="false">ROUND(B299*Assumptions!$B$3,2)</f>
        <v>7336.77</v>
      </c>
      <c r="F299" s="6" t="n">
        <f aca="false">ROUND(B299*Assumptions!$B$6,2)</f>
        <v>3144.33</v>
      </c>
      <c r="G299" s="6" t="n">
        <f aca="false">ROUND(CohortData!G299*CohortData!I299-CohortData!G299*Assumptions!$B$7,2)</f>
        <v>27342</v>
      </c>
      <c r="H299" s="7" t="n">
        <f aca="false">SUM(B299:E299,F299:G299)</f>
        <v>285376.7</v>
      </c>
      <c r="I299" s="6" t="n">
        <f aca="false">CEILING(H299,Assumptions!$B$8)</f>
        <v>285400</v>
      </c>
      <c r="J299" s="6" t="n">
        <f aca="false">FLOOR(H299,Assumptions!$B$8)</f>
        <v>285300</v>
      </c>
      <c r="K299" s="6" t="n">
        <f aca="false">ROUNDUP(H299,Assumptions!$B$9)</f>
        <v>285377</v>
      </c>
      <c r="L299" s="6" t="n">
        <f aca="false">ROUNDDOWN(H299,Assumptions!$B$10)</f>
        <v>285376</v>
      </c>
    </row>
    <row r="300" customFormat="false" ht="15" hidden="false" customHeight="false" outlineLevel="0" collapsed="false">
      <c r="A300" s="5" t="s">
        <v>343</v>
      </c>
      <c r="B300" s="6" t="n">
        <f aca="false">ROUND(CohortData!G300*CohortData!I300,2)</f>
        <v>141900</v>
      </c>
      <c r="C300" s="6" t="n">
        <f aca="false">ROUND(CohortData!L300*Assumptions!$B$4*CohortData!I300,2)</f>
        <v>18920</v>
      </c>
      <c r="D300" s="6" t="n">
        <f aca="false">ROUND(CohortData!E300*Assumptions!$B$5*CohortData!I300,2)</f>
        <v>8600</v>
      </c>
      <c r="E300" s="6" t="n">
        <f aca="false">ROUND(B300*Assumptions!$B$3,2)</f>
        <v>4966.5</v>
      </c>
      <c r="F300" s="6" t="n">
        <f aca="false">ROUND(B300*Assumptions!$B$6,2)</f>
        <v>2128.5</v>
      </c>
      <c r="G300" s="6" t="n">
        <f aca="false">ROUND(CohortData!G300*CohortData!I300-CohortData!G300*Assumptions!$B$7,2)</f>
        <v>0</v>
      </c>
      <c r="H300" s="7" t="n">
        <f aca="false">SUM(B300:E300,F300:G300)</f>
        <v>176515</v>
      </c>
      <c r="I300" s="6" t="n">
        <f aca="false">CEILING(H300,Assumptions!$B$8)</f>
        <v>176600</v>
      </c>
      <c r="J300" s="6" t="n">
        <f aca="false">FLOOR(H300,Assumptions!$B$8)</f>
        <v>176500</v>
      </c>
      <c r="K300" s="6" t="n">
        <f aca="false">ROUNDUP(H300,Assumptions!$B$9)</f>
        <v>176515</v>
      </c>
      <c r="L300" s="6" t="n">
        <f aca="false">ROUNDDOWN(H300,Assumptions!$B$10)</f>
        <v>176515</v>
      </c>
    </row>
    <row r="301" customFormat="false" ht="15" hidden="false" customHeight="false" outlineLevel="0" collapsed="false">
      <c r="A301" s="5" t="s">
        <v>344</v>
      </c>
      <c r="B301" s="6" t="n">
        <f aca="false">ROUND(CohortData!G301*CohortData!I301,2)</f>
        <v>55800</v>
      </c>
      <c r="C301" s="6" t="n">
        <f aca="false">ROUND(CohortData!L301*Assumptions!$B$4*CohortData!I301,2)</f>
        <v>7440</v>
      </c>
      <c r="D301" s="6" t="n">
        <f aca="false">ROUND(CohortData!E301*Assumptions!$B$5*CohortData!I301,2)</f>
        <v>3000</v>
      </c>
      <c r="E301" s="6" t="n">
        <f aca="false">ROUND(B301*Assumptions!$B$3,2)</f>
        <v>1953</v>
      </c>
      <c r="F301" s="6" t="n">
        <f aca="false">ROUND(B301*Assumptions!$B$6,2)</f>
        <v>837</v>
      </c>
      <c r="G301" s="6" t="n">
        <f aca="false">ROUND(CohortData!G301*CohortData!I301-CohortData!G301*Assumptions!$B$7,2)</f>
        <v>0</v>
      </c>
      <c r="H301" s="7" t="n">
        <f aca="false">SUM(B301:E301,F301:G301)</f>
        <v>69030</v>
      </c>
      <c r="I301" s="6" t="n">
        <f aca="false">CEILING(H301,Assumptions!$B$8)</f>
        <v>69100</v>
      </c>
      <c r="J301" s="6" t="n">
        <f aca="false">FLOOR(H301,Assumptions!$B$8)</f>
        <v>69000</v>
      </c>
      <c r="K301" s="6" t="n">
        <f aca="false">ROUNDUP(H301,Assumptions!$B$9)</f>
        <v>69030</v>
      </c>
      <c r="L301" s="6" t="n">
        <f aca="false">ROUNDDOWN(H301,Assumptions!$B$10)</f>
        <v>69030</v>
      </c>
    </row>
    <row r="302" customFormat="false" ht="15" hidden="false" customHeight="false" outlineLevel="0" collapsed="false">
      <c r="A302" s="5" t="s">
        <v>345</v>
      </c>
      <c r="B302" s="6" t="n">
        <f aca="false">ROUND(CohortData!G302*CohortData!I302,2)</f>
        <v>55020</v>
      </c>
      <c r="C302" s="6" t="n">
        <f aca="false">ROUND(CohortData!L302*Assumptions!$B$4*CohortData!I302,2)</f>
        <v>7336</v>
      </c>
      <c r="D302" s="6" t="n">
        <f aca="false">ROUND(CohortData!E302*Assumptions!$B$5*CohortData!I302,2)</f>
        <v>2620</v>
      </c>
      <c r="E302" s="6" t="n">
        <f aca="false">ROUND(B302*Assumptions!$B$3,2)</f>
        <v>1925.7</v>
      </c>
      <c r="F302" s="6" t="n">
        <f aca="false">ROUND(B302*Assumptions!$B$6,2)</f>
        <v>825.3</v>
      </c>
      <c r="G302" s="6" t="n">
        <f aca="false">ROUND(CohortData!G302*CohortData!I302-CohortData!G302*Assumptions!$B$7,2)</f>
        <v>0</v>
      </c>
      <c r="H302" s="7" t="n">
        <f aca="false">SUM(B302:E302,F302:G302)</f>
        <v>67727</v>
      </c>
      <c r="I302" s="6" t="n">
        <f aca="false">CEILING(H302,Assumptions!$B$8)</f>
        <v>67800</v>
      </c>
      <c r="J302" s="6" t="n">
        <f aca="false">FLOOR(H302,Assumptions!$B$8)</f>
        <v>67700</v>
      </c>
      <c r="K302" s="6" t="n">
        <f aca="false">ROUNDUP(H302,Assumptions!$B$9)</f>
        <v>67727</v>
      </c>
      <c r="L302" s="6" t="n">
        <f aca="false">ROUNDDOWN(H302,Assumptions!$B$10)</f>
        <v>67727</v>
      </c>
    </row>
    <row r="303" customFormat="false" ht="15" hidden="false" customHeight="false" outlineLevel="0" collapsed="false">
      <c r="A303" s="5" t="s">
        <v>346</v>
      </c>
      <c r="B303" s="6" t="n">
        <f aca="false">ROUND(CohortData!G303*CohortData!I303,2)</f>
        <v>116127</v>
      </c>
      <c r="C303" s="6" t="n">
        <f aca="false">ROUND(CohortData!L303*Assumptions!$B$4*CohortData!I303,2)</f>
        <v>15483.6</v>
      </c>
      <c r="D303" s="6" t="n">
        <f aca="false">ROUND(CohortData!E303*Assumptions!$B$5*CohortData!I303,2)</f>
        <v>7038</v>
      </c>
      <c r="E303" s="6" t="n">
        <f aca="false">ROUND(B303*Assumptions!$B$3,2)</f>
        <v>4064.45</v>
      </c>
      <c r="F303" s="6" t="n">
        <f aca="false">ROUND(B303*Assumptions!$B$6,2)</f>
        <v>1741.91</v>
      </c>
      <c r="G303" s="6" t="n">
        <f aca="false">ROUND(CohortData!G303*CohortData!I303-CohortData!G303*Assumptions!$B$7,2)</f>
        <v>15147</v>
      </c>
      <c r="H303" s="7" t="n">
        <f aca="false">SUM(B303:E303,F303:G303)</f>
        <v>159601.96</v>
      </c>
      <c r="I303" s="6" t="n">
        <f aca="false">CEILING(H303,Assumptions!$B$8)</f>
        <v>159700</v>
      </c>
      <c r="J303" s="6" t="n">
        <f aca="false">FLOOR(H303,Assumptions!$B$8)</f>
        <v>159600</v>
      </c>
      <c r="K303" s="6" t="n">
        <f aca="false">ROUNDUP(H303,Assumptions!$B$9)</f>
        <v>159602</v>
      </c>
      <c r="L303" s="6" t="n">
        <f aca="false">ROUNDDOWN(H303,Assumptions!$B$10)</f>
        <v>159601</v>
      </c>
    </row>
    <row r="304" customFormat="false" ht="15" hidden="false" customHeight="false" outlineLevel="0" collapsed="false">
      <c r="A304" s="5" t="s">
        <v>347</v>
      </c>
      <c r="B304" s="6" t="n">
        <f aca="false">ROUND(CohortData!G304*CohortData!I304,2)</f>
        <v>175584</v>
      </c>
      <c r="C304" s="6" t="n">
        <f aca="false">ROUND(CohortData!L304*Assumptions!$B$4*CohortData!I304,2)</f>
        <v>23411.2</v>
      </c>
      <c r="D304" s="6" t="n">
        <f aca="false">ROUND(CohortData!E304*Assumptions!$B$5*CohortData!I304,2)</f>
        <v>9440</v>
      </c>
      <c r="E304" s="6" t="n">
        <f aca="false">ROUND(B304*Assumptions!$B$3,2)</f>
        <v>6145.44</v>
      </c>
      <c r="F304" s="6" t="n">
        <f aca="false">ROUND(B304*Assumptions!$B$6,2)</f>
        <v>2633.76</v>
      </c>
      <c r="G304" s="6" t="n">
        <f aca="false">ROUND(CohortData!G304*CohortData!I304-CohortData!G304*Assumptions!$B$7,2)</f>
        <v>0</v>
      </c>
      <c r="H304" s="7" t="n">
        <f aca="false">SUM(B304:E304,F304:G304)</f>
        <v>217214.4</v>
      </c>
      <c r="I304" s="6" t="n">
        <f aca="false">CEILING(H304,Assumptions!$B$8)</f>
        <v>217300</v>
      </c>
      <c r="J304" s="6" t="n">
        <f aca="false">FLOOR(H304,Assumptions!$B$8)</f>
        <v>217200</v>
      </c>
      <c r="K304" s="6" t="n">
        <f aca="false">ROUNDUP(H304,Assumptions!$B$9)</f>
        <v>217215</v>
      </c>
      <c r="L304" s="6" t="n">
        <f aca="false">ROUNDDOWN(H304,Assumptions!$B$10)</f>
        <v>217214</v>
      </c>
    </row>
    <row r="305" customFormat="false" ht="15" hidden="false" customHeight="false" outlineLevel="0" collapsed="false">
      <c r="A305" s="5" t="s">
        <v>348</v>
      </c>
      <c r="B305" s="6" t="n">
        <f aca="false">ROUND(CohortData!G305*CohortData!I305,2)</f>
        <v>114660</v>
      </c>
      <c r="C305" s="6" t="n">
        <f aca="false">ROUND(CohortData!L305*Assumptions!$B$4*CohortData!I305,2)</f>
        <v>15288</v>
      </c>
      <c r="D305" s="6" t="n">
        <f aca="false">ROUND(CohortData!E305*Assumptions!$B$5*CohortData!I305,2)</f>
        <v>5460</v>
      </c>
      <c r="E305" s="6" t="n">
        <f aca="false">ROUND(B305*Assumptions!$B$3,2)</f>
        <v>4013.1</v>
      </c>
      <c r="F305" s="6" t="n">
        <f aca="false">ROUND(B305*Assumptions!$B$6,2)</f>
        <v>1719.9</v>
      </c>
      <c r="G305" s="6" t="n">
        <f aca="false">ROUND(CohortData!G305*CohortData!I305-CohortData!G305*Assumptions!$B$7,2)</f>
        <v>0</v>
      </c>
      <c r="H305" s="7" t="n">
        <f aca="false">SUM(B305:E305,F305:G305)</f>
        <v>141141</v>
      </c>
      <c r="I305" s="6" t="n">
        <f aca="false">CEILING(H305,Assumptions!$B$8)</f>
        <v>141200</v>
      </c>
      <c r="J305" s="6" t="n">
        <f aca="false">FLOOR(H305,Assumptions!$B$8)</f>
        <v>141100</v>
      </c>
      <c r="K305" s="6" t="n">
        <f aca="false">ROUNDUP(H305,Assumptions!$B$9)</f>
        <v>141141</v>
      </c>
      <c r="L305" s="6" t="n">
        <f aca="false">ROUNDDOWN(H305,Assumptions!$B$10)</f>
        <v>141141</v>
      </c>
    </row>
    <row r="306" customFormat="false" ht="15" hidden="false" customHeight="false" outlineLevel="0" collapsed="false">
      <c r="A306" s="5" t="s">
        <v>349</v>
      </c>
      <c r="B306" s="6" t="n">
        <f aca="false">ROUND(CohortData!G306*CohortData!I306,2)</f>
        <v>51150</v>
      </c>
      <c r="C306" s="6" t="n">
        <f aca="false">ROUND(CohortData!L306*Assumptions!$B$4*CohortData!I306,2)</f>
        <v>6820</v>
      </c>
      <c r="D306" s="6" t="n">
        <f aca="false">ROUND(CohortData!E306*Assumptions!$B$5*CohortData!I306,2)</f>
        <v>3100</v>
      </c>
      <c r="E306" s="6" t="n">
        <f aca="false">ROUND(B306*Assumptions!$B$3,2)</f>
        <v>1790.25</v>
      </c>
      <c r="F306" s="6" t="n">
        <f aca="false">ROUND(B306*Assumptions!$B$6,2)</f>
        <v>767.25</v>
      </c>
      <c r="G306" s="6" t="n">
        <f aca="false">ROUND(CohortData!G306*CohortData!I306-CohortData!G306*Assumptions!$B$7,2)</f>
        <v>0</v>
      </c>
      <c r="H306" s="7" t="n">
        <f aca="false">SUM(B306:E306,F306:G306)</f>
        <v>63627.5</v>
      </c>
      <c r="I306" s="6" t="n">
        <f aca="false">CEILING(H306,Assumptions!$B$8)</f>
        <v>63700</v>
      </c>
      <c r="J306" s="6" t="n">
        <f aca="false">FLOOR(H306,Assumptions!$B$8)</f>
        <v>63600</v>
      </c>
      <c r="K306" s="6" t="n">
        <f aca="false">ROUNDUP(H306,Assumptions!$B$9)</f>
        <v>63628</v>
      </c>
      <c r="L306" s="6" t="n">
        <f aca="false">ROUNDDOWN(H306,Assumptions!$B$10)</f>
        <v>63627</v>
      </c>
    </row>
    <row r="307" customFormat="false" ht="15" hidden="false" customHeight="false" outlineLevel="0" collapsed="false">
      <c r="A307" s="5" t="s">
        <v>350</v>
      </c>
      <c r="B307" s="6" t="n">
        <f aca="false">ROUND(CohortData!G307*CohortData!I307,2)</f>
        <v>97110.6</v>
      </c>
      <c r="C307" s="6" t="n">
        <f aca="false">ROUND(CohortData!L307*Assumptions!$B$4*CohortData!I307,2)</f>
        <v>12948.08</v>
      </c>
      <c r="D307" s="6" t="n">
        <f aca="false">ROUND(CohortData!E307*Assumptions!$B$5*CohortData!I307,2)</f>
        <v>5221</v>
      </c>
      <c r="E307" s="6" t="n">
        <f aca="false">ROUND(B307*Assumptions!$B$3,2)</f>
        <v>3398.87</v>
      </c>
      <c r="F307" s="6" t="n">
        <f aca="false">ROUND(B307*Assumptions!$B$6,2)</f>
        <v>1456.66</v>
      </c>
      <c r="G307" s="6" t="n">
        <f aca="false">ROUND(CohortData!G307*CohortData!I307-CohortData!G307*Assumptions!$B$7,2)</f>
        <v>12666.6</v>
      </c>
      <c r="H307" s="7" t="n">
        <f aca="false">SUM(B307:E307,F307:G307)</f>
        <v>132801.81</v>
      </c>
      <c r="I307" s="6" t="n">
        <f aca="false">CEILING(H307,Assumptions!$B$8)</f>
        <v>132900</v>
      </c>
      <c r="J307" s="6" t="n">
        <f aca="false">FLOOR(H307,Assumptions!$B$8)</f>
        <v>132800</v>
      </c>
      <c r="K307" s="6" t="n">
        <f aca="false">ROUNDUP(H307,Assumptions!$B$9)</f>
        <v>132802</v>
      </c>
      <c r="L307" s="6" t="n">
        <f aca="false">ROUNDDOWN(H307,Assumptions!$B$10)</f>
        <v>132801</v>
      </c>
    </row>
    <row r="308" customFormat="false" ht="15" hidden="false" customHeight="false" outlineLevel="0" collapsed="false">
      <c r="A308" s="5" t="s">
        <v>351</v>
      </c>
      <c r="B308" s="6" t="n">
        <f aca="false">ROUND(CohortData!G308*CohortData!I308,2)</f>
        <v>83160</v>
      </c>
      <c r="C308" s="6" t="n">
        <f aca="false">ROUND(CohortData!L308*Assumptions!$B$4*CohortData!I308,2)</f>
        <v>11088</v>
      </c>
      <c r="D308" s="6" t="n">
        <f aca="false">ROUND(CohortData!E308*Assumptions!$B$5*CohortData!I308,2)</f>
        <v>3960</v>
      </c>
      <c r="E308" s="6" t="n">
        <f aca="false">ROUND(B308*Assumptions!$B$3,2)</f>
        <v>2910.6</v>
      </c>
      <c r="F308" s="6" t="n">
        <f aca="false">ROUND(B308*Assumptions!$B$6,2)</f>
        <v>1247.4</v>
      </c>
      <c r="G308" s="6" t="n">
        <f aca="false">ROUND(CohortData!G308*CohortData!I308-CohortData!G308*Assumptions!$B$7,2)</f>
        <v>0</v>
      </c>
      <c r="H308" s="7" t="n">
        <f aca="false">SUM(B308:E308,F308:G308)</f>
        <v>102366</v>
      </c>
      <c r="I308" s="6" t="n">
        <f aca="false">CEILING(H308,Assumptions!$B$8)</f>
        <v>102400</v>
      </c>
      <c r="J308" s="6" t="n">
        <f aca="false">FLOOR(H308,Assumptions!$B$8)</f>
        <v>102300</v>
      </c>
      <c r="K308" s="6" t="n">
        <f aca="false">ROUNDUP(H308,Assumptions!$B$9)</f>
        <v>102366</v>
      </c>
      <c r="L308" s="6" t="n">
        <f aca="false">ROUNDDOWN(H308,Assumptions!$B$10)</f>
        <v>102366</v>
      </c>
    </row>
    <row r="309" customFormat="false" ht="15" hidden="false" customHeight="false" outlineLevel="0" collapsed="false">
      <c r="A309" s="5" t="s">
        <v>352</v>
      </c>
      <c r="B309" s="6" t="n">
        <f aca="false">ROUND(CohortData!G309*CohortData!I309,2)</f>
        <v>65010</v>
      </c>
      <c r="C309" s="6" t="n">
        <f aca="false">ROUND(CohortData!L309*Assumptions!$B$4*CohortData!I309,2)</f>
        <v>0</v>
      </c>
      <c r="D309" s="6" t="n">
        <f aca="false">ROUND(CohortData!E309*Assumptions!$B$5*CohortData!I309,2)</f>
        <v>3940</v>
      </c>
      <c r="E309" s="6" t="n">
        <f aca="false">ROUND(B309*Assumptions!$B$3,2)</f>
        <v>2275.35</v>
      </c>
      <c r="F309" s="6" t="n">
        <f aca="false">ROUND(B309*Assumptions!$B$6,2)</f>
        <v>975.15</v>
      </c>
      <c r="G309" s="6" t="n">
        <f aca="false">ROUND(CohortData!G309*CohortData!I309-CohortData!G309*Assumptions!$B$7,2)</f>
        <v>0</v>
      </c>
      <c r="H309" s="7" t="n">
        <f aca="false">SUM(B309:E309,F309:G309)</f>
        <v>72200.5</v>
      </c>
      <c r="I309" s="6" t="n">
        <f aca="false">CEILING(H309,Assumptions!$B$8)</f>
        <v>72300</v>
      </c>
      <c r="J309" s="6" t="n">
        <f aca="false">FLOOR(H309,Assumptions!$B$8)</f>
        <v>72200</v>
      </c>
      <c r="K309" s="6" t="n">
        <f aca="false">ROUNDUP(H309,Assumptions!$B$9)</f>
        <v>72201</v>
      </c>
      <c r="L309" s="6" t="n">
        <f aca="false">ROUNDDOWN(H309,Assumptions!$B$10)</f>
        <v>72200</v>
      </c>
    </row>
    <row r="310" customFormat="false" ht="15" hidden="false" customHeight="false" outlineLevel="0" collapsed="false">
      <c r="A310" s="5" t="s">
        <v>353</v>
      </c>
      <c r="B310" s="6" t="n">
        <f aca="false">ROUND(CohortData!G310*CohortData!I310,2)</f>
        <v>139128</v>
      </c>
      <c r="C310" s="6" t="n">
        <f aca="false">ROUND(CohortData!L310*Assumptions!$B$4*CohortData!I310,2)</f>
        <v>18550.4</v>
      </c>
      <c r="D310" s="6" t="n">
        <f aca="false">ROUND(CohortData!E310*Assumptions!$B$5*CohortData!I310,2)</f>
        <v>7480</v>
      </c>
      <c r="E310" s="6" t="n">
        <f aca="false">ROUND(B310*Assumptions!$B$3,2)</f>
        <v>4869.48</v>
      </c>
      <c r="F310" s="6" t="n">
        <f aca="false">ROUND(B310*Assumptions!$B$6,2)</f>
        <v>2086.92</v>
      </c>
      <c r="G310" s="6" t="n">
        <f aca="false">ROUND(CohortData!G310*CohortData!I310-CohortData!G310*Assumptions!$B$7,2)</f>
        <v>0</v>
      </c>
      <c r="H310" s="7" t="n">
        <f aca="false">SUM(B310:E310,F310:G310)</f>
        <v>172114.8</v>
      </c>
      <c r="I310" s="6" t="n">
        <f aca="false">CEILING(H310,Assumptions!$B$8)</f>
        <v>172200</v>
      </c>
      <c r="J310" s="6" t="n">
        <f aca="false">FLOOR(H310,Assumptions!$B$8)</f>
        <v>172100</v>
      </c>
      <c r="K310" s="6" t="n">
        <f aca="false">ROUNDUP(H310,Assumptions!$B$9)</f>
        <v>172115</v>
      </c>
      <c r="L310" s="6" t="n">
        <f aca="false">ROUNDDOWN(H310,Assumptions!$B$10)</f>
        <v>172114</v>
      </c>
    </row>
    <row r="311" customFormat="false" ht="15" hidden="false" customHeight="false" outlineLevel="0" collapsed="false">
      <c r="A311" s="5" t="s">
        <v>354</v>
      </c>
      <c r="B311" s="6" t="n">
        <f aca="false">ROUND(CohortData!G311*CohortData!I311,2)</f>
        <v>158907</v>
      </c>
      <c r="C311" s="6" t="n">
        <f aca="false">ROUND(CohortData!L311*Assumptions!$B$4*CohortData!I311,2)</f>
        <v>21187.6</v>
      </c>
      <c r="D311" s="6" t="n">
        <f aca="false">ROUND(CohortData!E311*Assumptions!$B$5*CohortData!I311,2)</f>
        <v>7567</v>
      </c>
      <c r="E311" s="6" t="n">
        <f aca="false">ROUND(B311*Assumptions!$B$3,2)</f>
        <v>5561.75</v>
      </c>
      <c r="F311" s="6" t="n">
        <f aca="false">ROUND(B311*Assumptions!$B$6,2)</f>
        <v>2383.61</v>
      </c>
      <c r="G311" s="6" t="n">
        <f aca="false">ROUND(CohortData!G311*CohortData!I311-CohortData!G311*Assumptions!$B$7,2)</f>
        <v>20727</v>
      </c>
      <c r="H311" s="7" t="n">
        <f aca="false">SUM(B311:E311,F311:G311)</f>
        <v>216333.96</v>
      </c>
      <c r="I311" s="6" t="n">
        <f aca="false">CEILING(H311,Assumptions!$B$8)</f>
        <v>216400</v>
      </c>
      <c r="J311" s="6" t="n">
        <f aca="false">FLOOR(H311,Assumptions!$B$8)</f>
        <v>216300</v>
      </c>
      <c r="K311" s="6" t="n">
        <f aca="false">ROUNDUP(H311,Assumptions!$B$9)</f>
        <v>216334</v>
      </c>
      <c r="L311" s="6" t="n">
        <f aca="false">ROUNDDOWN(H311,Assumptions!$B$10)</f>
        <v>216333</v>
      </c>
    </row>
    <row r="312" customFormat="false" ht="15" hidden="false" customHeight="false" outlineLevel="0" collapsed="false">
      <c r="A312" s="5" t="s">
        <v>355</v>
      </c>
      <c r="B312" s="6" t="n">
        <f aca="false">ROUND(CohortData!G312*CohortData!I312,2)</f>
        <v>56430</v>
      </c>
      <c r="C312" s="6" t="n">
        <f aca="false">ROUND(CohortData!L312*Assumptions!$B$4*CohortData!I312,2)</f>
        <v>7524</v>
      </c>
      <c r="D312" s="6" t="n">
        <f aca="false">ROUND(CohortData!E312*Assumptions!$B$5*CohortData!I312,2)</f>
        <v>3420</v>
      </c>
      <c r="E312" s="6" t="n">
        <f aca="false">ROUND(B312*Assumptions!$B$3,2)</f>
        <v>1975.05</v>
      </c>
      <c r="F312" s="6" t="n">
        <f aca="false">ROUND(B312*Assumptions!$B$6,2)</f>
        <v>846.45</v>
      </c>
      <c r="G312" s="6" t="n">
        <f aca="false">ROUND(CohortData!G312*CohortData!I312-CohortData!G312*Assumptions!$B$7,2)</f>
        <v>0</v>
      </c>
      <c r="H312" s="7" t="n">
        <f aca="false">SUM(B312:E312,F312:G312)</f>
        <v>70195.5</v>
      </c>
      <c r="I312" s="6" t="n">
        <f aca="false">CEILING(H312,Assumptions!$B$8)</f>
        <v>70200</v>
      </c>
      <c r="J312" s="6" t="n">
        <f aca="false">FLOOR(H312,Assumptions!$B$8)</f>
        <v>70100</v>
      </c>
      <c r="K312" s="6" t="n">
        <f aca="false">ROUNDUP(H312,Assumptions!$B$9)</f>
        <v>70196</v>
      </c>
      <c r="L312" s="6" t="n">
        <f aca="false">ROUNDDOWN(H312,Assumptions!$B$10)</f>
        <v>70195</v>
      </c>
    </row>
    <row r="313" customFormat="false" ht="15" hidden="false" customHeight="false" outlineLevel="0" collapsed="false">
      <c r="A313" s="5" t="s">
        <v>356</v>
      </c>
      <c r="B313" s="6" t="n">
        <f aca="false">ROUND(CohortData!G313*CohortData!I313,2)</f>
        <v>117552</v>
      </c>
      <c r="C313" s="6" t="n">
        <f aca="false">ROUND(CohortData!L313*Assumptions!$B$4*CohortData!I313,2)</f>
        <v>15673.6</v>
      </c>
      <c r="D313" s="6" t="n">
        <f aca="false">ROUND(CohortData!E313*Assumptions!$B$5*CohortData!I313,2)</f>
        <v>6320</v>
      </c>
      <c r="E313" s="6" t="n">
        <f aca="false">ROUND(B313*Assumptions!$B$3,2)</f>
        <v>4114.32</v>
      </c>
      <c r="F313" s="6" t="n">
        <f aca="false">ROUND(B313*Assumptions!$B$6,2)</f>
        <v>1763.28</v>
      </c>
      <c r="G313" s="6" t="n">
        <f aca="false">ROUND(CohortData!G313*CohortData!I313-CohortData!G313*Assumptions!$B$7,2)</f>
        <v>0</v>
      </c>
      <c r="H313" s="7" t="n">
        <f aca="false">SUM(B313:E313,F313:G313)</f>
        <v>145423.2</v>
      </c>
      <c r="I313" s="6" t="n">
        <f aca="false">CEILING(H313,Assumptions!$B$8)</f>
        <v>145500</v>
      </c>
      <c r="J313" s="6" t="n">
        <f aca="false">FLOOR(H313,Assumptions!$B$8)</f>
        <v>145400</v>
      </c>
      <c r="K313" s="6" t="n">
        <f aca="false">ROUNDUP(H313,Assumptions!$B$9)</f>
        <v>145424</v>
      </c>
      <c r="L313" s="6" t="n">
        <f aca="false">ROUNDDOWN(H313,Assumptions!$B$10)</f>
        <v>145423</v>
      </c>
    </row>
    <row r="314" customFormat="false" ht="15" hidden="false" customHeight="false" outlineLevel="0" collapsed="false">
      <c r="A314" s="5" t="s">
        <v>357</v>
      </c>
      <c r="B314" s="6" t="n">
        <f aca="false">ROUND(CohortData!G314*CohortData!I314,2)</f>
        <v>81060</v>
      </c>
      <c r="C314" s="6" t="n">
        <f aca="false">ROUND(CohortData!L314*Assumptions!$B$4*CohortData!I314,2)</f>
        <v>10808</v>
      </c>
      <c r="D314" s="6" t="n">
        <f aca="false">ROUND(CohortData!E314*Assumptions!$B$5*CohortData!I314,2)</f>
        <v>3860</v>
      </c>
      <c r="E314" s="6" t="n">
        <f aca="false">ROUND(B314*Assumptions!$B$3,2)</f>
        <v>2837.1</v>
      </c>
      <c r="F314" s="6" t="n">
        <f aca="false">ROUND(B314*Assumptions!$B$6,2)</f>
        <v>1215.9</v>
      </c>
      <c r="G314" s="6" t="n">
        <f aca="false">ROUND(CohortData!G314*CohortData!I314-CohortData!G314*Assumptions!$B$7,2)</f>
        <v>0</v>
      </c>
      <c r="H314" s="7" t="n">
        <f aca="false">SUM(B314:E314,F314:G314)</f>
        <v>99781</v>
      </c>
      <c r="I314" s="6" t="n">
        <f aca="false">CEILING(H314,Assumptions!$B$8)</f>
        <v>99800</v>
      </c>
      <c r="J314" s="6" t="n">
        <f aca="false">FLOOR(H314,Assumptions!$B$8)</f>
        <v>99700</v>
      </c>
      <c r="K314" s="6" t="n">
        <f aca="false">ROUNDUP(H314,Assumptions!$B$9)</f>
        <v>99781</v>
      </c>
      <c r="L314" s="6" t="n">
        <f aca="false">ROUNDDOWN(H314,Assumptions!$B$10)</f>
        <v>99781</v>
      </c>
    </row>
    <row r="315" customFormat="false" ht="15" hidden="false" customHeight="false" outlineLevel="0" collapsed="false">
      <c r="A315" s="5" t="s">
        <v>358</v>
      </c>
      <c r="B315" s="6" t="n">
        <f aca="false">ROUND(CohortData!G315*CohortData!I315,2)</f>
        <v>91839</v>
      </c>
      <c r="C315" s="6" t="n">
        <f aca="false">ROUND(CohortData!L315*Assumptions!$B$4*CohortData!I315,2)</f>
        <v>12245.2</v>
      </c>
      <c r="D315" s="6" t="n">
        <f aca="false">ROUND(CohortData!E315*Assumptions!$B$5*CohortData!I315,2)</f>
        <v>5566</v>
      </c>
      <c r="E315" s="6" t="n">
        <f aca="false">ROUND(B315*Assumptions!$B$3,2)</f>
        <v>3214.37</v>
      </c>
      <c r="F315" s="6" t="n">
        <f aca="false">ROUND(B315*Assumptions!$B$6,2)</f>
        <v>1377.59</v>
      </c>
      <c r="G315" s="6" t="n">
        <f aca="false">ROUND(CohortData!G315*CohortData!I315-CohortData!G315*Assumptions!$B$7,2)</f>
        <v>11979</v>
      </c>
      <c r="H315" s="7" t="n">
        <f aca="false">SUM(B315:E315,F315:G315)</f>
        <v>126221.16</v>
      </c>
      <c r="I315" s="6" t="n">
        <f aca="false">CEILING(H315,Assumptions!$B$8)</f>
        <v>126300</v>
      </c>
      <c r="J315" s="6" t="n">
        <f aca="false">FLOOR(H315,Assumptions!$B$8)</f>
        <v>126200</v>
      </c>
      <c r="K315" s="6" t="n">
        <f aca="false">ROUNDUP(H315,Assumptions!$B$9)</f>
        <v>126222</v>
      </c>
      <c r="L315" s="6" t="n">
        <f aca="false">ROUNDDOWN(H315,Assumptions!$B$10)</f>
        <v>126221</v>
      </c>
    </row>
    <row r="316" customFormat="false" ht="15" hidden="false" customHeight="false" outlineLevel="0" collapsed="false">
      <c r="A316" s="5" t="s">
        <v>359</v>
      </c>
      <c r="B316" s="6" t="n">
        <f aca="false">ROUND(CohortData!G316*CohortData!I316,2)</f>
        <v>124992</v>
      </c>
      <c r="C316" s="6" t="n">
        <f aca="false">ROUND(CohortData!L316*Assumptions!$B$4*CohortData!I316,2)</f>
        <v>16665.6</v>
      </c>
      <c r="D316" s="6" t="n">
        <f aca="false">ROUND(CohortData!E316*Assumptions!$B$5*CohortData!I316,2)</f>
        <v>6720</v>
      </c>
      <c r="E316" s="6" t="n">
        <f aca="false">ROUND(B316*Assumptions!$B$3,2)</f>
        <v>4374.72</v>
      </c>
      <c r="F316" s="6" t="n">
        <f aca="false">ROUND(B316*Assumptions!$B$6,2)</f>
        <v>1874.88</v>
      </c>
      <c r="G316" s="6" t="n">
        <f aca="false">ROUND(CohortData!G316*CohortData!I316-CohortData!G316*Assumptions!$B$7,2)</f>
        <v>0</v>
      </c>
      <c r="H316" s="7" t="n">
        <f aca="false">SUM(B316:E316,F316:G316)</f>
        <v>154627.2</v>
      </c>
      <c r="I316" s="6" t="n">
        <f aca="false">CEILING(H316,Assumptions!$B$8)</f>
        <v>154700</v>
      </c>
      <c r="J316" s="6" t="n">
        <f aca="false">FLOOR(H316,Assumptions!$B$8)</f>
        <v>154600</v>
      </c>
      <c r="K316" s="6" t="n">
        <f aca="false">ROUNDUP(H316,Assumptions!$B$9)</f>
        <v>154628</v>
      </c>
      <c r="L316" s="6" t="n">
        <f aca="false">ROUNDDOWN(H316,Assumptions!$B$10)</f>
        <v>154627</v>
      </c>
    </row>
    <row r="317" customFormat="false" ht="15" hidden="false" customHeight="false" outlineLevel="0" collapsed="false">
      <c r="A317" s="5" t="s">
        <v>360</v>
      </c>
      <c r="B317" s="6" t="n">
        <f aca="false">ROUND(CohortData!G317*CohortData!I317,2)</f>
        <v>95340</v>
      </c>
      <c r="C317" s="6" t="n">
        <f aca="false">ROUND(CohortData!L317*Assumptions!$B$4*CohortData!I317,2)</f>
        <v>12712</v>
      </c>
      <c r="D317" s="6" t="n">
        <f aca="false">ROUND(CohortData!E317*Assumptions!$B$5*CohortData!I317,2)</f>
        <v>4540</v>
      </c>
      <c r="E317" s="6" t="n">
        <f aca="false">ROUND(B317*Assumptions!$B$3,2)</f>
        <v>3336.9</v>
      </c>
      <c r="F317" s="6" t="n">
        <f aca="false">ROUND(B317*Assumptions!$B$6,2)</f>
        <v>1430.1</v>
      </c>
      <c r="G317" s="6" t="n">
        <f aca="false">ROUND(CohortData!G317*CohortData!I317-CohortData!G317*Assumptions!$B$7,2)</f>
        <v>0</v>
      </c>
      <c r="H317" s="7" t="n">
        <f aca="false">SUM(B317:E317,F317:G317)</f>
        <v>117359</v>
      </c>
      <c r="I317" s="6" t="n">
        <f aca="false">CEILING(H317,Assumptions!$B$8)</f>
        <v>117400</v>
      </c>
      <c r="J317" s="6" t="n">
        <f aca="false">FLOOR(H317,Assumptions!$B$8)</f>
        <v>117300</v>
      </c>
      <c r="K317" s="6" t="n">
        <f aca="false">ROUNDUP(H317,Assumptions!$B$9)</f>
        <v>117359</v>
      </c>
      <c r="L317" s="6" t="n">
        <f aca="false">ROUNDDOWN(H317,Assumptions!$B$10)</f>
        <v>117359</v>
      </c>
    </row>
    <row r="318" customFormat="false" ht="15" hidden="false" customHeight="false" outlineLevel="0" collapsed="false">
      <c r="A318" s="5" t="s">
        <v>361</v>
      </c>
      <c r="B318" s="6" t="n">
        <f aca="false">ROUND(CohortData!G318*CohortData!I318,2)</f>
        <v>45540</v>
      </c>
      <c r="C318" s="6" t="n">
        <f aca="false">ROUND(CohortData!L318*Assumptions!$B$4*CohortData!I318,2)</f>
        <v>6072</v>
      </c>
      <c r="D318" s="6" t="n">
        <f aca="false">ROUND(CohortData!E318*Assumptions!$B$5*CohortData!I318,2)</f>
        <v>2760</v>
      </c>
      <c r="E318" s="6" t="n">
        <f aca="false">ROUND(B318*Assumptions!$B$3,2)</f>
        <v>1593.9</v>
      </c>
      <c r="F318" s="6" t="n">
        <f aca="false">ROUND(B318*Assumptions!$B$6,2)</f>
        <v>683.1</v>
      </c>
      <c r="G318" s="6" t="n">
        <f aca="false">ROUND(CohortData!G318*CohortData!I318-CohortData!G318*Assumptions!$B$7,2)</f>
        <v>0</v>
      </c>
      <c r="H318" s="7" t="n">
        <f aca="false">SUM(B318:E318,F318:G318)</f>
        <v>56649</v>
      </c>
      <c r="I318" s="6" t="n">
        <f aca="false">CEILING(H318,Assumptions!$B$8)</f>
        <v>56700</v>
      </c>
      <c r="J318" s="6" t="n">
        <f aca="false">FLOOR(H318,Assumptions!$B$8)</f>
        <v>56600</v>
      </c>
      <c r="K318" s="6" t="n">
        <f aca="false">ROUNDUP(H318,Assumptions!$B$9)</f>
        <v>56649</v>
      </c>
      <c r="L318" s="6" t="n">
        <f aca="false">ROUNDDOWN(H318,Assumptions!$B$10)</f>
        <v>56649</v>
      </c>
    </row>
    <row r="319" customFormat="false" ht="15" hidden="false" customHeight="false" outlineLevel="0" collapsed="false">
      <c r="A319" s="5" t="s">
        <v>362</v>
      </c>
      <c r="B319" s="6" t="n">
        <f aca="false">ROUND(CohortData!G319*CohortData!I319,2)</f>
        <v>139462.8</v>
      </c>
      <c r="C319" s="6" t="n">
        <f aca="false">ROUND(CohortData!L319*Assumptions!$B$4*CohortData!I319,2)</f>
        <v>18595.04</v>
      </c>
      <c r="D319" s="6" t="n">
        <f aca="false">ROUND(CohortData!E319*Assumptions!$B$5*CohortData!I319,2)</f>
        <v>7498</v>
      </c>
      <c r="E319" s="6" t="n">
        <f aca="false">ROUND(B319*Assumptions!$B$3,2)</f>
        <v>4881.2</v>
      </c>
      <c r="F319" s="6" t="n">
        <f aca="false">ROUND(B319*Assumptions!$B$6,2)</f>
        <v>2091.94</v>
      </c>
      <c r="G319" s="6" t="n">
        <f aca="false">ROUND(CohortData!G319*CohortData!I319-CohortData!G319*Assumptions!$B$7,2)</f>
        <v>18190.8</v>
      </c>
      <c r="H319" s="7" t="n">
        <f aca="false">SUM(B319:E319,F319:G319)</f>
        <v>190719.78</v>
      </c>
      <c r="I319" s="6" t="n">
        <f aca="false">CEILING(H319,Assumptions!$B$8)</f>
        <v>190800</v>
      </c>
      <c r="J319" s="6" t="n">
        <f aca="false">FLOOR(H319,Assumptions!$B$8)</f>
        <v>190700</v>
      </c>
      <c r="K319" s="6" t="n">
        <f aca="false">ROUNDUP(H319,Assumptions!$B$9)</f>
        <v>190720</v>
      </c>
      <c r="L319" s="6" t="n">
        <f aca="false">ROUNDDOWN(H319,Assumptions!$B$10)</f>
        <v>190719</v>
      </c>
    </row>
    <row r="320" customFormat="false" ht="15" hidden="false" customHeight="false" outlineLevel="0" collapsed="false">
      <c r="A320" s="5" t="s">
        <v>363</v>
      </c>
      <c r="B320" s="6" t="n">
        <f aca="false">ROUND(CohortData!G320*CohortData!I320,2)</f>
        <v>160020</v>
      </c>
      <c r="C320" s="6" t="n">
        <f aca="false">ROUND(CohortData!L320*Assumptions!$B$4*CohortData!I320,2)</f>
        <v>21336</v>
      </c>
      <c r="D320" s="6" t="n">
        <f aca="false">ROUND(CohortData!E320*Assumptions!$B$5*CohortData!I320,2)</f>
        <v>7620</v>
      </c>
      <c r="E320" s="6" t="n">
        <f aca="false">ROUND(B320*Assumptions!$B$3,2)</f>
        <v>5600.7</v>
      </c>
      <c r="F320" s="6" t="n">
        <f aca="false">ROUND(B320*Assumptions!$B$6,2)</f>
        <v>2400.3</v>
      </c>
      <c r="G320" s="6" t="n">
        <f aca="false">ROUND(CohortData!G320*CohortData!I320-CohortData!G320*Assumptions!$B$7,2)</f>
        <v>0</v>
      </c>
      <c r="H320" s="7" t="n">
        <f aca="false">SUM(B320:E320,F320:G320)</f>
        <v>196977</v>
      </c>
      <c r="I320" s="6" t="n">
        <f aca="false">CEILING(H320,Assumptions!$B$8)</f>
        <v>197000</v>
      </c>
      <c r="J320" s="6" t="n">
        <f aca="false">FLOOR(H320,Assumptions!$B$8)</f>
        <v>196900</v>
      </c>
      <c r="K320" s="6" t="n">
        <f aca="false">ROUNDUP(H320,Assumptions!$B$9)</f>
        <v>196977</v>
      </c>
      <c r="L320" s="6" t="n">
        <f aca="false">ROUNDDOWN(H320,Assumptions!$B$10)</f>
        <v>196977</v>
      </c>
    </row>
    <row r="321" customFormat="false" ht="15" hidden="false" customHeight="false" outlineLevel="0" collapsed="false">
      <c r="A321" s="5" t="s">
        <v>364</v>
      </c>
      <c r="B321" s="6" t="n">
        <f aca="false">ROUND(CohortData!G321*CohortData!I321,2)</f>
        <v>49500</v>
      </c>
      <c r="C321" s="6" t="n">
        <f aca="false">ROUND(CohortData!L321*Assumptions!$B$4*CohortData!I321,2)</f>
        <v>6600</v>
      </c>
      <c r="D321" s="6" t="n">
        <f aca="false">ROUND(CohortData!E321*Assumptions!$B$5*CohortData!I321,2)</f>
        <v>3000</v>
      </c>
      <c r="E321" s="6" t="n">
        <f aca="false">ROUND(B321*Assumptions!$B$3,2)</f>
        <v>1732.5</v>
      </c>
      <c r="F321" s="6" t="n">
        <f aca="false">ROUND(B321*Assumptions!$B$6,2)</f>
        <v>742.5</v>
      </c>
      <c r="G321" s="6" t="n">
        <f aca="false">ROUND(CohortData!G321*CohortData!I321-CohortData!G321*Assumptions!$B$7,2)</f>
        <v>0</v>
      </c>
      <c r="H321" s="7" t="n">
        <f aca="false">SUM(B321:E321,F321:G321)</f>
        <v>61575</v>
      </c>
      <c r="I321" s="6" t="n">
        <f aca="false">CEILING(H321,Assumptions!$B$8)</f>
        <v>61600</v>
      </c>
      <c r="J321" s="6" t="n">
        <f aca="false">FLOOR(H321,Assumptions!$B$8)</f>
        <v>61500</v>
      </c>
      <c r="K321" s="6" t="n">
        <f aca="false">ROUNDUP(H321,Assumptions!$B$9)</f>
        <v>61575</v>
      </c>
      <c r="L321" s="6" t="n">
        <f aca="false">ROUNDDOWN(H321,Assumptions!$B$10)</f>
        <v>61575</v>
      </c>
    </row>
    <row r="322" customFormat="false" ht="15" hidden="false" customHeight="false" outlineLevel="0" collapsed="false">
      <c r="A322" s="5" t="s">
        <v>365</v>
      </c>
      <c r="B322" s="6" t="n">
        <f aca="false">ROUND(CohortData!G322*CohortData!I322,2)</f>
        <v>46500</v>
      </c>
      <c r="C322" s="6" t="n">
        <f aca="false">ROUND(CohortData!L322*Assumptions!$B$4*CohortData!I322,2)</f>
        <v>6200</v>
      </c>
      <c r="D322" s="6" t="n">
        <f aca="false">ROUND(CohortData!E322*Assumptions!$B$5*CohortData!I322,2)</f>
        <v>2500</v>
      </c>
      <c r="E322" s="6" t="n">
        <f aca="false">ROUND(B322*Assumptions!$B$3,2)</f>
        <v>1627.5</v>
      </c>
      <c r="F322" s="6" t="n">
        <f aca="false">ROUND(B322*Assumptions!$B$6,2)</f>
        <v>697.5</v>
      </c>
      <c r="G322" s="6" t="n">
        <f aca="false">ROUND(CohortData!G322*CohortData!I322-CohortData!G322*Assumptions!$B$7,2)</f>
        <v>0</v>
      </c>
      <c r="H322" s="7" t="n">
        <f aca="false">SUM(B322:E322,F322:G322)</f>
        <v>57525</v>
      </c>
      <c r="I322" s="6" t="n">
        <f aca="false">CEILING(H322,Assumptions!$B$8)</f>
        <v>57600</v>
      </c>
      <c r="J322" s="6" t="n">
        <f aca="false">FLOOR(H322,Assumptions!$B$8)</f>
        <v>57500</v>
      </c>
      <c r="K322" s="6" t="n">
        <f aca="false">ROUNDUP(H322,Assumptions!$B$9)</f>
        <v>57525</v>
      </c>
      <c r="L322" s="6" t="n">
        <f aca="false">ROUNDDOWN(H322,Assumptions!$B$10)</f>
        <v>57525</v>
      </c>
    </row>
    <row r="323" customFormat="false" ht="15" hidden="false" customHeight="false" outlineLevel="0" collapsed="false">
      <c r="A323" s="5" t="s">
        <v>366</v>
      </c>
      <c r="B323" s="6" t="n">
        <f aca="false">ROUND(CohortData!G323*CohortData!I323,2)</f>
        <v>209139</v>
      </c>
      <c r="C323" s="6" t="n">
        <f aca="false">ROUND(CohortData!L323*Assumptions!$B$4*CohortData!I323,2)</f>
        <v>27885.2</v>
      </c>
      <c r="D323" s="6" t="n">
        <f aca="false">ROUND(CohortData!E323*Assumptions!$B$5*CohortData!I323,2)</f>
        <v>9959</v>
      </c>
      <c r="E323" s="6" t="n">
        <f aca="false">ROUND(B323*Assumptions!$B$3,2)</f>
        <v>7319.87</v>
      </c>
      <c r="F323" s="6" t="n">
        <f aca="false">ROUND(B323*Assumptions!$B$6,2)</f>
        <v>3137.09</v>
      </c>
      <c r="G323" s="6" t="n">
        <f aca="false">ROUND(CohortData!G323*CohortData!I323-CohortData!G323*Assumptions!$B$7,2)</f>
        <v>27279</v>
      </c>
      <c r="H323" s="7" t="n">
        <f aca="false">SUM(B323:E323,F323:G323)</f>
        <v>284719.16</v>
      </c>
      <c r="I323" s="6" t="n">
        <f aca="false">CEILING(H323,Assumptions!$B$8)</f>
        <v>284800</v>
      </c>
      <c r="J323" s="6" t="n">
        <f aca="false">FLOOR(H323,Assumptions!$B$8)</f>
        <v>284700</v>
      </c>
      <c r="K323" s="6" t="n">
        <f aca="false">ROUNDUP(H323,Assumptions!$B$9)</f>
        <v>284720</v>
      </c>
      <c r="L323" s="6" t="n">
        <f aca="false">ROUNDDOWN(H323,Assumptions!$B$10)</f>
        <v>284719</v>
      </c>
    </row>
    <row r="324" customFormat="false" ht="15" hidden="false" customHeight="false" outlineLevel="0" collapsed="false">
      <c r="A324" s="5" t="s">
        <v>367</v>
      </c>
      <c r="B324" s="6" t="n">
        <f aca="false">ROUND(CohortData!G324*CohortData!I324,2)</f>
        <v>124080</v>
      </c>
      <c r="C324" s="6" t="n">
        <f aca="false">ROUND(CohortData!L324*Assumptions!$B$4*CohortData!I324,2)</f>
        <v>16544</v>
      </c>
      <c r="D324" s="6" t="n">
        <f aca="false">ROUND(CohortData!E324*Assumptions!$B$5*CohortData!I324,2)</f>
        <v>7520</v>
      </c>
      <c r="E324" s="6" t="n">
        <f aca="false">ROUND(B324*Assumptions!$B$3,2)</f>
        <v>4342.8</v>
      </c>
      <c r="F324" s="6" t="n">
        <f aca="false">ROUND(B324*Assumptions!$B$6,2)</f>
        <v>1861.2</v>
      </c>
      <c r="G324" s="6" t="n">
        <f aca="false">ROUND(CohortData!G324*CohortData!I324-CohortData!G324*Assumptions!$B$7,2)</f>
        <v>0</v>
      </c>
      <c r="H324" s="7" t="n">
        <f aca="false">SUM(B324:E324,F324:G324)</f>
        <v>154348</v>
      </c>
      <c r="I324" s="6" t="n">
        <f aca="false">CEILING(H324,Assumptions!$B$8)</f>
        <v>154400</v>
      </c>
      <c r="J324" s="6" t="n">
        <f aca="false">FLOOR(H324,Assumptions!$B$8)</f>
        <v>154300</v>
      </c>
      <c r="K324" s="6" t="n">
        <f aca="false">ROUNDUP(H324,Assumptions!$B$9)</f>
        <v>154348</v>
      </c>
      <c r="L324" s="6" t="n">
        <f aca="false">ROUNDDOWN(H324,Assumptions!$B$10)</f>
        <v>154348</v>
      </c>
    </row>
    <row r="325" customFormat="false" ht="15" hidden="false" customHeight="false" outlineLevel="0" collapsed="false">
      <c r="A325" s="5" t="s">
        <v>368</v>
      </c>
      <c r="B325" s="6" t="n">
        <f aca="false">ROUND(CohortData!G325*CohortData!I325,2)</f>
        <v>39804</v>
      </c>
      <c r="C325" s="6" t="n">
        <f aca="false">ROUND(CohortData!L325*Assumptions!$B$4*CohortData!I325,2)</f>
        <v>5307.2</v>
      </c>
      <c r="D325" s="6" t="n">
        <f aca="false">ROUND(CohortData!E325*Assumptions!$B$5*CohortData!I325,2)</f>
        <v>2140</v>
      </c>
      <c r="E325" s="6" t="n">
        <f aca="false">ROUND(B325*Assumptions!$B$3,2)</f>
        <v>1393.14</v>
      </c>
      <c r="F325" s="6" t="n">
        <f aca="false">ROUND(B325*Assumptions!$B$6,2)</f>
        <v>597.06</v>
      </c>
      <c r="G325" s="6" t="n">
        <f aca="false">ROUND(CohortData!G325*CohortData!I325-CohortData!G325*Assumptions!$B$7,2)</f>
        <v>0</v>
      </c>
      <c r="H325" s="7" t="n">
        <f aca="false">SUM(B325:E325,F325:G325)</f>
        <v>49241.4</v>
      </c>
      <c r="I325" s="6" t="n">
        <f aca="false">CEILING(H325,Assumptions!$B$8)</f>
        <v>49300</v>
      </c>
      <c r="J325" s="6" t="n">
        <f aca="false">FLOOR(H325,Assumptions!$B$8)</f>
        <v>49200</v>
      </c>
      <c r="K325" s="6" t="n">
        <f aca="false">ROUNDUP(H325,Assumptions!$B$9)</f>
        <v>49242</v>
      </c>
      <c r="L325" s="6" t="n">
        <f aca="false">ROUNDDOWN(H325,Assumptions!$B$10)</f>
        <v>49241</v>
      </c>
    </row>
    <row r="326" customFormat="false" ht="15" hidden="false" customHeight="false" outlineLevel="0" collapsed="false">
      <c r="A326" s="5" t="s">
        <v>369</v>
      </c>
      <c r="B326" s="6" t="n">
        <f aca="false">ROUND(CohortData!G326*CohortData!I326,2)</f>
        <v>61740</v>
      </c>
      <c r="C326" s="6" t="n">
        <f aca="false">ROUND(CohortData!L326*Assumptions!$B$4*CohortData!I326,2)</f>
        <v>0</v>
      </c>
      <c r="D326" s="6" t="n">
        <f aca="false">ROUND(CohortData!E326*Assumptions!$B$5*CohortData!I326,2)</f>
        <v>2940</v>
      </c>
      <c r="E326" s="6" t="n">
        <f aca="false">ROUND(B326*Assumptions!$B$3,2)</f>
        <v>2160.9</v>
      </c>
      <c r="F326" s="6" t="n">
        <f aca="false">ROUND(B326*Assumptions!$B$6,2)</f>
        <v>926.1</v>
      </c>
      <c r="G326" s="6" t="n">
        <f aca="false">ROUND(CohortData!G326*CohortData!I326-CohortData!G326*Assumptions!$B$7,2)</f>
        <v>0</v>
      </c>
      <c r="H326" s="7" t="n">
        <f aca="false">SUM(B326:E326,F326:G326)</f>
        <v>67767</v>
      </c>
      <c r="I326" s="6" t="n">
        <f aca="false">CEILING(H326,Assumptions!$B$8)</f>
        <v>67800</v>
      </c>
      <c r="J326" s="6" t="n">
        <f aca="false">FLOOR(H326,Assumptions!$B$8)</f>
        <v>67700</v>
      </c>
      <c r="K326" s="6" t="n">
        <f aca="false">ROUNDUP(H326,Assumptions!$B$9)</f>
        <v>67767</v>
      </c>
      <c r="L326" s="6" t="n">
        <f aca="false">ROUNDDOWN(H326,Assumptions!$B$10)</f>
        <v>67767</v>
      </c>
    </row>
    <row r="327" customFormat="false" ht="15" hidden="false" customHeight="false" outlineLevel="0" collapsed="false">
      <c r="A327" s="5" t="s">
        <v>370</v>
      </c>
      <c r="B327" s="6" t="n">
        <f aca="false">ROUND(CohortData!G327*CohortData!I327,2)</f>
        <v>184057.5</v>
      </c>
      <c r="C327" s="6" t="n">
        <f aca="false">ROUND(CohortData!L327*Assumptions!$B$4*CohortData!I327,2)</f>
        <v>24541</v>
      </c>
      <c r="D327" s="6" t="n">
        <f aca="false">ROUND(CohortData!E327*Assumptions!$B$5*CohortData!I327,2)</f>
        <v>11155</v>
      </c>
      <c r="E327" s="6" t="n">
        <f aca="false">ROUND(B327*Assumptions!$B$3,2)</f>
        <v>6442.01</v>
      </c>
      <c r="F327" s="6" t="n">
        <f aca="false">ROUND(B327*Assumptions!$B$6,2)</f>
        <v>2760.86</v>
      </c>
      <c r="G327" s="6" t="n">
        <f aca="false">ROUND(CohortData!G327*CohortData!I327-CohortData!G327*Assumptions!$B$7,2)</f>
        <v>24007.5</v>
      </c>
      <c r="H327" s="7" t="n">
        <f aca="false">SUM(B327:E327,F327:G327)</f>
        <v>252963.87</v>
      </c>
      <c r="I327" s="6" t="n">
        <f aca="false">CEILING(H327,Assumptions!$B$8)</f>
        <v>253000</v>
      </c>
      <c r="J327" s="6" t="n">
        <f aca="false">FLOOR(H327,Assumptions!$B$8)</f>
        <v>252900</v>
      </c>
      <c r="K327" s="6" t="n">
        <f aca="false">ROUNDUP(H327,Assumptions!$B$9)</f>
        <v>252964</v>
      </c>
      <c r="L327" s="6" t="n">
        <f aca="false">ROUNDDOWN(H327,Assumptions!$B$10)</f>
        <v>252963</v>
      </c>
    </row>
    <row r="328" customFormat="false" ht="15" hidden="false" customHeight="false" outlineLevel="0" collapsed="false">
      <c r="A328" s="5" t="s">
        <v>371</v>
      </c>
      <c r="B328" s="6" t="n">
        <f aca="false">ROUND(CohortData!G328*CohortData!I328,2)</f>
        <v>82212</v>
      </c>
      <c r="C328" s="6" t="n">
        <f aca="false">ROUND(CohortData!L328*Assumptions!$B$4*CohortData!I328,2)</f>
        <v>10961.6</v>
      </c>
      <c r="D328" s="6" t="n">
        <f aca="false">ROUND(CohortData!E328*Assumptions!$B$5*CohortData!I328,2)</f>
        <v>4420</v>
      </c>
      <c r="E328" s="6" t="n">
        <f aca="false">ROUND(B328*Assumptions!$B$3,2)</f>
        <v>2877.42</v>
      </c>
      <c r="F328" s="6" t="n">
        <f aca="false">ROUND(B328*Assumptions!$B$6,2)</f>
        <v>1233.18</v>
      </c>
      <c r="G328" s="6" t="n">
        <f aca="false">ROUND(CohortData!G328*CohortData!I328-CohortData!G328*Assumptions!$B$7,2)</f>
        <v>0</v>
      </c>
      <c r="H328" s="7" t="n">
        <f aca="false">SUM(B328:E328,F328:G328)</f>
        <v>101704.2</v>
      </c>
      <c r="I328" s="6" t="n">
        <f aca="false">CEILING(H328,Assumptions!$B$8)</f>
        <v>101800</v>
      </c>
      <c r="J328" s="6" t="n">
        <f aca="false">FLOOR(H328,Assumptions!$B$8)</f>
        <v>101700</v>
      </c>
      <c r="K328" s="6" t="n">
        <f aca="false">ROUNDUP(H328,Assumptions!$B$9)</f>
        <v>101705</v>
      </c>
      <c r="L328" s="6" t="n">
        <f aca="false">ROUNDDOWN(H328,Assumptions!$B$10)</f>
        <v>101704</v>
      </c>
    </row>
    <row r="329" customFormat="false" ht="15" hidden="false" customHeight="false" outlineLevel="0" collapsed="false">
      <c r="A329" s="5" t="s">
        <v>372</v>
      </c>
      <c r="B329" s="6" t="n">
        <f aca="false">ROUND(CohortData!G329*CohortData!I329,2)</f>
        <v>77700</v>
      </c>
      <c r="C329" s="6" t="n">
        <f aca="false">ROUND(CohortData!L329*Assumptions!$B$4*CohortData!I329,2)</f>
        <v>10360</v>
      </c>
      <c r="D329" s="6" t="n">
        <f aca="false">ROUND(CohortData!E329*Assumptions!$B$5*CohortData!I329,2)</f>
        <v>3700</v>
      </c>
      <c r="E329" s="6" t="n">
        <f aca="false">ROUND(B329*Assumptions!$B$3,2)</f>
        <v>2719.5</v>
      </c>
      <c r="F329" s="6" t="n">
        <f aca="false">ROUND(B329*Assumptions!$B$6,2)</f>
        <v>1165.5</v>
      </c>
      <c r="G329" s="6" t="n">
        <f aca="false">ROUND(CohortData!G329*CohortData!I329-CohortData!G329*Assumptions!$B$7,2)</f>
        <v>0</v>
      </c>
      <c r="H329" s="7" t="n">
        <f aca="false">SUM(B329:E329,F329:G329)</f>
        <v>95645</v>
      </c>
      <c r="I329" s="6" t="n">
        <f aca="false">CEILING(H329,Assumptions!$B$8)</f>
        <v>95700</v>
      </c>
      <c r="J329" s="6" t="n">
        <f aca="false">FLOOR(H329,Assumptions!$B$8)</f>
        <v>95600</v>
      </c>
      <c r="K329" s="6" t="n">
        <f aca="false">ROUNDUP(H329,Assumptions!$B$9)</f>
        <v>95645</v>
      </c>
      <c r="L329" s="6" t="n">
        <f aca="false">ROUNDDOWN(H329,Assumptions!$B$10)</f>
        <v>95645</v>
      </c>
    </row>
    <row r="330" customFormat="false" ht="15" hidden="false" customHeight="false" outlineLevel="0" collapsed="false">
      <c r="A330" s="5" t="s">
        <v>373</v>
      </c>
      <c r="B330" s="6" t="n">
        <f aca="false">ROUND(CohortData!G330*CohortData!I330,2)</f>
        <v>101640</v>
      </c>
      <c r="C330" s="6" t="n">
        <f aca="false">ROUND(CohortData!L330*Assumptions!$B$4*CohortData!I330,2)</f>
        <v>13552</v>
      </c>
      <c r="D330" s="6" t="n">
        <f aca="false">ROUND(CohortData!E330*Assumptions!$B$5*CohortData!I330,2)</f>
        <v>6160</v>
      </c>
      <c r="E330" s="6" t="n">
        <f aca="false">ROUND(B330*Assumptions!$B$3,2)</f>
        <v>3557.4</v>
      </c>
      <c r="F330" s="6" t="n">
        <f aca="false">ROUND(B330*Assumptions!$B$6,2)</f>
        <v>1524.6</v>
      </c>
      <c r="G330" s="6" t="n">
        <f aca="false">ROUND(CohortData!G330*CohortData!I330-CohortData!G330*Assumptions!$B$7,2)</f>
        <v>0</v>
      </c>
      <c r="H330" s="7" t="n">
        <f aca="false">SUM(B330:E330,F330:G330)</f>
        <v>126434</v>
      </c>
      <c r="I330" s="6" t="n">
        <f aca="false">CEILING(H330,Assumptions!$B$8)</f>
        <v>126500</v>
      </c>
      <c r="J330" s="6" t="n">
        <f aca="false">FLOOR(H330,Assumptions!$B$8)</f>
        <v>126400</v>
      </c>
      <c r="K330" s="6" t="n">
        <f aca="false">ROUNDUP(H330,Assumptions!$B$9)</f>
        <v>126434</v>
      </c>
      <c r="L330" s="6" t="n">
        <f aca="false">ROUNDDOWN(H330,Assumptions!$B$10)</f>
        <v>126434</v>
      </c>
    </row>
    <row r="331" customFormat="false" ht="15" hidden="false" customHeight="false" outlineLevel="0" collapsed="false">
      <c r="A331" s="5" t="s">
        <v>374</v>
      </c>
      <c r="B331" s="6" t="n">
        <f aca="false">ROUND(CohortData!G331*CohortData!I331,2)</f>
        <v>148874.4</v>
      </c>
      <c r="C331" s="6" t="n">
        <f aca="false">ROUND(CohortData!L331*Assumptions!$B$4*CohortData!I331,2)</f>
        <v>19849.92</v>
      </c>
      <c r="D331" s="6" t="n">
        <f aca="false">ROUND(CohortData!E331*Assumptions!$B$5*CohortData!I331,2)</f>
        <v>8004</v>
      </c>
      <c r="E331" s="6" t="n">
        <f aca="false">ROUND(B331*Assumptions!$B$3,2)</f>
        <v>5210.6</v>
      </c>
      <c r="F331" s="6" t="n">
        <f aca="false">ROUND(B331*Assumptions!$B$6,2)</f>
        <v>2233.12</v>
      </c>
      <c r="G331" s="6" t="n">
        <f aca="false">ROUND(CohortData!G331*CohortData!I331-CohortData!G331*Assumptions!$B$7,2)</f>
        <v>19418.4</v>
      </c>
      <c r="H331" s="7" t="n">
        <f aca="false">SUM(B331:E331,F331:G331)</f>
        <v>203590.44</v>
      </c>
      <c r="I331" s="6" t="n">
        <f aca="false">CEILING(H331,Assumptions!$B$8)</f>
        <v>203600</v>
      </c>
      <c r="J331" s="6" t="n">
        <f aca="false">FLOOR(H331,Assumptions!$B$8)</f>
        <v>203500</v>
      </c>
      <c r="K331" s="6" t="n">
        <f aca="false">ROUNDUP(H331,Assumptions!$B$9)</f>
        <v>203591</v>
      </c>
      <c r="L331" s="6" t="n">
        <f aca="false">ROUNDDOWN(H331,Assumptions!$B$10)</f>
        <v>203590</v>
      </c>
    </row>
    <row r="332" customFormat="false" ht="15" hidden="false" customHeight="false" outlineLevel="0" collapsed="false">
      <c r="A332" s="5" t="s">
        <v>375</v>
      </c>
      <c r="B332" s="6" t="n">
        <f aca="false">ROUND(CohortData!G332*CohortData!I332,2)</f>
        <v>145320</v>
      </c>
      <c r="C332" s="6" t="n">
        <f aca="false">ROUND(CohortData!L332*Assumptions!$B$4*CohortData!I332,2)</f>
        <v>19376</v>
      </c>
      <c r="D332" s="6" t="n">
        <f aca="false">ROUND(CohortData!E332*Assumptions!$B$5*CohortData!I332,2)</f>
        <v>6920</v>
      </c>
      <c r="E332" s="6" t="n">
        <f aca="false">ROUND(B332*Assumptions!$B$3,2)</f>
        <v>5086.2</v>
      </c>
      <c r="F332" s="6" t="n">
        <f aca="false">ROUND(B332*Assumptions!$B$6,2)</f>
        <v>2179.8</v>
      </c>
      <c r="G332" s="6" t="n">
        <f aca="false">ROUND(CohortData!G332*CohortData!I332-CohortData!G332*Assumptions!$B$7,2)</f>
        <v>0</v>
      </c>
      <c r="H332" s="7" t="n">
        <f aca="false">SUM(B332:E332,F332:G332)</f>
        <v>178882</v>
      </c>
      <c r="I332" s="6" t="n">
        <f aca="false">CEILING(H332,Assumptions!$B$8)</f>
        <v>178900</v>
      </c>
      <c r="J332" s="6" t="n">
        <f aca="false">FLOOR(H332,Assumptions!$B$8)</f>
        <v>178800</v>
      </c>
      <c r="K332" s="6" t="n">
        <f aca="false">ROUNDUP(H332,Assumptions!$B$9)</f>
        <v>178882</v>
      </c>
      <c r="L332" s="6" t="n">
        <f aca="false">ROUNDDOWN(H332,Assumptions!$B$10)</f>
        <v>178882</v>
      </c>
    </row>
    <row r="333" customFormat="false" ht="15" hidden="false" customHeight="false" outlineLevel="0" collapsed="false">
      <c r="A333" s="5" t="s">
        <v>376</v>
      </c>
      <c r="B333" s="6" t="n">
        <f aca="false">ROUND(CohortData!G333*CohortData!I333,2)</f>
        <v>68970</v>
      </c>
      <c r="C333" s="6" t="n">
        <f aca="false">ROUND(CohortData!L333*Assumptions!$B$4*CohortData!I333,2)</f>
        <v>9196</v>
      </c>
      <c r="D333" s="6" t="n">
        <f aca="false">ROUND(CohortData!E333*Assumptions!$B$5*CohortData!I333,2)</f>
        <v>4180</v>
      </c>
      <c r="E333" s="6" t="n">
        <f aca="false">ROUND(B333*Assumptions!$B$3,2)</f>
        <v>2413.95</v>
      </c>
      <c r="F333" s="6" t="n">
        <f aca="false">ROUND(B333*Assumptions!$B$6,2)</f>
        <v>1034.55</v>
      </c>
      <c r="G333" s="6" t="n">
        <f aca="false">ROUND(CohortData!G333*CohortData!I333-CohortData!G333*Assumptions!$B$7,2)</f>
        <v>0</v>
      </c>
      <c r="H333" s="7" t="n">
        <f aca="false">SUM(B333:E333,F333:G333)</f>
        <v>85794.5</v>
      </c>
      <c r="I333" s="6" t="n">
        <f aca="false">CEILING(H333,Assumptions!$B$8)</f>
        <v>85800</v>
      </c>
      <c r="J333" s="6" t="n">
        <f aca="false">FLOOR(H333,Assumptions!$B$8)</f>
        <v>85700</v>
      </c>
      <c r="K333" s="6" t="n">
        <f aca="false">ROUNDUP(H333,Assumptions!$B$9)</f>
        <v>85795</v>
      </c>
      <c r="L333" s="6" t="n">
        <f aca="false">ROUNDDOWN(H333,Assumptions!$B$10)</f>
        <v>85794</v>
      </c>
    </row>
    <row r="334" customFormat="false" ht="15" hidden="false" customHeight="false" outlineLevel="0" collapsed="false">
      <c r="A334" s="5" t="s">
        <v>377</v>
      </c>
      <c r="B334" s="6" t="n">
        <f aca="false">ROUND(CohortData!G334*CohortData!I334,2)</f>
        <v>113460</v>
      </c>
      <c r="C334" s="6" t="n">
        <f aca="false">ROUND(CohortData!L334*Assumptions!$B$4*CohortData!I334,2)</f>
        <v>15128</v>
      </c>
      <c r="D334" s="6" t="n">
        <f aca="false">ROUND(CohortData!E334*Assumptions!$B$5*CohortData!I334,2)</f>
        <v>6100</v>
      </c>
      <c r="E334" s="6" t="n">
        <f aca="false">ROUND(B334*Assumptions!$B$3,2)</f>
        <v>3971.1</v>
      </c>
      <c r="F334" s="6" t="n">
        <f aca="false">ROUND(B334*Assumptions!$B$6,2)</f>
        <v>1701.9</v>
      </c>
      <c r="G334" s="6" t="n">
        <f aca="false">ROUND(CohortData!G334*CohortData!I334-CohortData!G334*Assumptions!$B$7,2)</f>
        <v>0</v>
      </c>
      <c r="H334" s="7" t="n">
        <f aca="false">SUM(B334:E334,F334:G334)</f>
        <v>140361</v>
      </c>
      <c r="I334" s="6" t="n">
        <f aca="false">CEILING(H334,Assumptions!$B$8)</f>
        <v>140400</v>
      </c>
      <c r="J334" s="6" t="n">
        <f aca="false">FLOOR(H334,Assumptions!$B$8)</f>
        <v>140300</v>
      </c>
      <c r="K334" s="6" t="n">
        <f aca="false">ROUNDUP(H334,Assumptions!$B$9)</f>
        <v>140361</v>
      </c>
      <c r="L334" s="6" t="n">
        <f aca="false">ROUNDDOWN(H334,Assumptions!$B$10)</f>
        <v>140361</v>
      </c>
    </row>
    <row r="335" customFormat="false" ht="15" hidden="false" customHeight="false" outlineLevel="0" collapsed="false">
      <c r="A335" s="5" t="s">
        <v>378</v>
      </c>
      <c r="B335" s="6" t="n">
        <f aca="false">ROUND(CohortData!G335*CohortData!I335,2)</f>
        <v>62790</v>
      </c>
      <c r="C335" s="6" t="n">
        <f aca="false">ROUND(CohortData!L335*Assumptions!$B$4*CohortData!I335,2)</f>
        <v>8372</v>
      </c>
      <c r="D335" s="6" t="n">
        <f aca="false">ROUND(CohortData!E335*Assumptions!$B$5*CohortData!I335,2)</f>
        <v>2990</v>
      </c>
      <c r="E335" s="6" t="n">
        <f aca="false">ROUND(B335*Assumptions!$B$3,2)</f>
        <v>2197.65</v>
      </c>
      <c r="F335" s="6" t="n">
        <f aca="false">ROUND(B335*Assumptions!$B$6,2)</f>
        <v>941.85</v>
      </c>
      <c r="G335" s="6" t="n">
        <f aca="false">ROUND(CohortData!G335*CohortData!I335-CohortData!G335*Assumptions!$B$7,2)</f>
        <v>8190</v>
      </c>
      <c r="H335" s="7" t="n">
        <f aca="false">SUM(B335:E335,F335:G335)</f>
        <v>85481.5</v>
      </c>
      <c r="I335" s="6" t="n">
        <f aca="false">CEILING(H335,Assumptions!$B$8)</f>
        <v>85500</v>
      </c>
      <c r="J335" s="6" t="n">
        <f aca="false">FLOOR(H335,Assumptions!$B$8)</f>
        <v>85400</v>
      </c>
      <c r="K335" s="6" t="n">
        <f aca="false">ROUNDUP(H335,Assumptions!$B$9)</f>
        <v>85482</v>
      </c>
      <c r="L335" s="6" t="n">
        <f aca="false">ROUNDDOWN(H335,Assumptions!$B$10)</f>
        <v>85481</v>
      </c>
    </row>
    <row r="336" customFormat="false" ht="15" hidden="false" customHeight="false" outlineLevel="0" collapsed="false">
      <c r="A336" s="5" t="s">
        <v>379</v>
      </c>
      <c r="B336" s="6" t="n">
        <f aca="false">ROUND(CohortData!G336*CohortData!I336,2)</f>
        <v>60720</v>
      </c>
      <c r="C336" s="6" t="n">
        <f aca="false">ROUND(CohortData!L336*Assumptions!$B$4*CohortData!I336,2)</f>
        <v>8096</v>
      </c>
      <c r="D336" s="6" t="n">
        <f aca="false">ROUND(CohortData!E336*Assumptions!$B$5*CohortData!I336,2)</f>
        <v>3680</v>
      </c>
      <c r="E336" s="6" t="n">
        <f aca="false">ROUND(B336*Assumptions!$B$3,2)</f>
        <v>2125.2</v>
      </c>
      <c r="F336" s="6" t="n">
        <f aca="false">ROUND(B336*Assumptions!$B$6,2)</f>
        <v>910.8</v>
      </c>
      <c r="G336" s="6" t="n">
        <f aca="false">ROUND(CohortData!G336*CohortData!I336-CohortData!G336*Assumptions!$B$7,2)</f>
        <v>0</v>
      </c>
      <c r="H336" s="7" t="n">
        <f aca="false">SUM(B336:E336,F336:G336)</f>
        <v>75532</v>
      </c>
      <c r="I336" s="6" t="n">
        <f aca="false">CEILING(H336,Assumptions!$B$8)</f>
        <v>75600</v>
      </c>
      <c r="J336" s="6" t="n">
        <f aca="false">FLOOR(H336,Assumptions!$B$8)</f>
        <v>75500</v>
      </c>
      <c r="K336" s="6" t="n">
        <f aca="false">ROUNDUP(H336,Assumptions!$B$9)</f>
        <v>75532</v>
      </c>
      <c r="L336" s="6" t="n">
        <f aca="false">ROUNDDOWN(H336,Assumptions!$B$10)</f>
        <v>75532</v>
      </c>
    </row>
    <row r="337" customFormat="false" ht="15" hidden="false" customHeight="false" outlineLevel="0" collapsed="false">
      <c r="A337" s="5" t="s">
        <v>380</v>
      </c>
      <c r="B337" s="6" t="n">
        <f aca="false">ROUND(CohortData!G337*CohortData!I337,2)</f>
        <v>109368</v>
      </c>
      <c r="C337" s="6" t="n">
        <f aca="false">ROUND(CohortData!L337*Assumptions!$B$4*CohortData!I337,2)</f>
        <v>14582.4</v>
      </c>
      <c r="D337" s="6" t="n">
        <f aca="false">ROUND(CohortData!E337*Assumptions!$B$5*CohortData!I337,2)</f>
        <v>5880</v>
      </c>
      <c r="E337" s="6" t="n">
        <f aca="false">ROUND(B337*Assumptions!$B$3,2)</f>
        <v>3827.88</v>
      </c>
      <c r="F337" s="6" t="n">
        <f aca="false">ROUND(B337*Assumptions!$B$6,2)</f>
        <v>1640.52</v>
      </c>
      <c r="G337" s="6" t="n">
        <f aca="false">ROUND(CohortData!G337*CohortData!I337-CohortData!G337*Assumptions!$B$7,2)</f>
        <v>0</v>
      </c>
      <c r="H337" s="7" t="n">
        <f aca="false">SUM(B337:E337,F337:G337)</f>
        <v>135298.8</v>
      </c>
      <c r="I337" s="6" t="n">
        <f aca="false">CEILING(H337,Assumptions!$B$8)</f>
        <v>135300</v>
      </c>
      <c r="J337" s="6" t="n">
        <f aca="false">FLOOR(H337,Assumptions!$B$8)</f>
        <v>135200</v>
      </c>
      <c r="K337" s="6" t="n">
        <f aca="false">ROUNDUP(H337,Assumptions!$B$9)</f>
        <v>135299</v>
      </c>
      <c r="L337" s="6" t="n">
        <f aca="false">ROUNDDOWN(H337,Assumptions!$B$10)</f>
        <v>135298</v>
      </c>
    </row>
    <row r="338" customFormat="false" ht="15" hidden="false" customHeight="false" outlineLevel="0" collapsed="false">
      <c r="A338" s="5" t="s">
        <v>381</v>
      </c>
      <c r="B338" s="6" t="n">
        <f aca="false">ROUND(CohortData!G338*CohortData!I338,2)</f>
        <v>42420</v>
      </c>
      <c r="C338" s="6" t="n">
        <f aca="false">ROUND(CohortData!L338*Assumptions!$B$4*CohortData!I338,2)</f>
        <v>5656</v>
      </c>
      <c r="D338" s="6" t="n">
        <f aca="false">ROUND(CohortData!E338*Assumptions!$B$5*CohortData!I338,2)</f>
        <v>2020</v>
      </c>
      <c r="E338" s="6" t="n">
        <f aca="false">ROUND(B338*Assumptions!$B$3,2)</f>
        <v>1484.7</v>
      </c>
      <c r="F338" s="6" t="n">
        <f aca="false">ROUND(B338*Assumptions!$B$6,2)</f>
        <v>636.3</v>
      </c>
      <c r="G338" s="6" t="n">
        <f aca="false">ROUND(CohortData!G338*CohortData!I338-CohortData!G338*Assumptions!$B$7,2)</f>
        <v>0</v>
      </c>
      <c r="H338" s="7" t="n">
        <f aca="false">SUM(B338:E338,F338:G338)</f>
        <v>52217</v>
      </c>
      <c r="I338" s="6" t="n">
        <f aca="false">CEILING(H338,Assumptions!$B$8)</f>
        <v>52300</v>
      </c>
      <c r="J338" s="6" t="n">
        <f aca="false">FLOOR(H338,Assumptions!$B$8)</f>
        <v>52200</v>
      </c>
      <c r="K338" s="6" t="n">
        <f aca="false">ROUNDUP(H338,Assumptions!$B$9)</f>
        <v>52217</v>
      </c>
      <c r="L338" s="6" t="n">
        <f aca="false">ROUNDDOWN(H338,Assumptions!$B$10)</f>
        <v>52217</v>
      </c>
    </row>
    <row r="339" customFormat="false" ht="15" hidden="false" customHeight="false" outlineLevel="0" collapsed="false">
      <c r="A339" s="5" t="s">
        <v>382</v>
      </c>
      <c r="B339" s="6" t="n">
        <f aca="false">ROUND(CohortData!G339*CohortData!I339,2)</f>
        <v>113470.5</v>
      </c>
      <c r="C339" s="6" t="n">
        <f aca="false">ROUND(CohortData!L339*Assumptions!$B$4*CohortData!I339,2)</f>
        <v>15129.4</v>
      </c>
      <c r="D339" s="6" t="n">
        <f aca="false">ROUND(CohortData!E339*Assumptions!$B$5*CohortData!I339,2)</f>
        <v>6877</v>
      </c>
      <c r="E339" s="6" t="n">
        <f aca="false">ROUND(B339*Assumptions!$B$3,2)</f>
        <v>3971.47</v>
      </c>
      <c r="F339" s="6" t="n">
        <f aca="false">ROUND(B339*Assumptions!$B$6,2)</f>
        <v>1702.06</v>
      </c>
      <c r="G339" s="6" t="n">
        <f aca="false">ROUND(CohortData!G339*CohortData!I339-CohortData!G339*Assumptions!$B$7,2)</f>
        <v>14800.5</v>
      </c>
      <c r="H339" s="7" t="n">
        <f aca="false">SUM(B339:E339,F339:G339)</f>
        <v>155950.93</v>
      </c>
      <c r="I339" s="6" t="n">
        <f aca="false">CEILING(H339,Assumptions!$B$8)</f>
        <v>156000</v>
      </c>
      <c r="J339" s="6" t="n">
        <f aca="false">FLOOR(H339,Assumptions!$B$8)</f>
        <v>155900</v>
      </c>
      <c r="K339" s="6" t="n">
        <f aca="false">ROUNDUP(H339,Assumptions!$B$9)</f>
        <v>155951</v>
      </c>
      <c r="L339" s="6" t="n">
        <f aca="false">ROUNDDOWN(H339,Assumptions!$B$10)</f>
        <v>155950</v>
      </c>
    </row>
    <row r="340" customFormat="false" ht="15" hidden="false" customHeight="false" outlineLevel="0" collapsed="false">
      <c r="A340" s="5" t="s">
        <v>383</v>
      </c>
      <c r="B340" s="6" t="n">
        <f aca="false">ROUND(CohortData!G340*CohortData!I340,2)</f>
        <v>87420</v>
      </c>
      <c r="C340" s="6" t="n">
        <f aca="false">ROUND(CohortData!L340*Assumptions!$B$4*CohortData!I340,2)</f>
        <v>11656</v>
      </c>
      <c r="D340" s="6" t="n">
        <f aca="false">ROUND(CohortData!E340*Assumptions!$B$5*CohortData!I340,2)</f>
        <v>4700</v>
      </c>
      <c r="E340" s="6" t="n">
        <f aca="false">ROUND(B340*Assumptions!$B$3,2)</f>
        <v>3059.7</v>
      </c>
      <c r="F340" s="6" t="n">
        <f aca="false">ROUND(B340*Assumptions!$B$6,2)</f>
        <v>1311.3</v>
      </c>
      <c r="G340" s="6" t="n">
        <f aca="false">ROUND(CohortData!G340*CohortData!I340-CohortData!G340*Assumptions!$B$7,2)</f>
        <v>0</v>
      </c>
      <c r="H340" s="7" t="n">
        <f aca="false">SUM(B340:E340,F340:G340)</f>
        <v>108147</v>
      </c>
      <c r="I340" s="6" t="n">
        <f aca="false">CEILING(H340,Assumptions!$B$8)</f>
        <v>108200</v>
      </c>
      <c r="J340" s="6" t="n">
        <f aca="false">FLOOR(H340,Assumptions!$B$8)</f>
        <v>108100</v>
      </c>
      <c r="K340" s="6" t="n">
        <f aca="false">ROUNDUP(H340,Assumptions!$B$9)</f>
        <v>108147</v>
      </c>
      <c r="L340" s="6" t="n">
        <f aca="false">ROUNDDOWN(H340,Assumptions!$B$10)</f>
        <v>108147</v>
      </c>
    </row>
    <row r="341" customFormat="false" ht="15" hidden="false" customHeight="false" outlineLevel="0" collapsed="false">
      <c r="A341" s="5" t="s">
        <v>384</v>
      </c>
      <c r="B341" s="6" t="n">
        <f aca="false">ROUND(CohortData!G341*CohortData!I341,2)</f>
        <v>139440</v>
      </c>
      <c r="C341" s="6" t="n">
        <f aca="false">ROUND(CohortData!L341*Assumptions!$B$4*CohortData!I341,2)</f>
        <v>18592</v>
      </c>
      <c r="D341" s="6" t="n">
        <f aca="false">ROUND(CohortData!E341*Assumptions!$B$5*CohortData!I341,2)</f>
        <v>6640</v>
      </c>
      <c r="E341" s="6" t="n">
        <f aca="false">ROUND(B341*Assumptions!$B$3,2)</f>
        <v>4880.4</v>
      </c>
      <c r="F341" s="6" t="n">
        <f aca="false">ROUND(B341*Assumptions!$B$6,2)</f>
        <v>2091.6</v>
      </c>
      <c r="G341" s="6" t="n">
        <f aca="false">ROUND(CohortData!G341*CohortData!I341-CohortData!G341*Assumptions!$B$7,2)</f>
        <v>0</v>
      </c>
      <c r="H341" s="7" t="n">
        <f aca="false">SUM(B341:E341,F341:G341)</f>
        <v>171644</v>
      </c>
      <c r="I341" s="6" t="n">
        <f aca="false">CEILING(H341,Assumptions!$B$8)</f>
        <v>171700</v>
      </c>
      <c r="J341" s="6" t="n">
        <f aca="false">FLOOR(H341,Assumptions!$B$8)</f>
        <v>171600</v>
      </c>
      <c r="K341" s="6" t="n">
        <f aca="false">ROUNDUP(H341,Assumptions!$B$9)</f>
        <v>171644</v>
      </c>
      <c r="L341" s="6" t="n">
        <f aca="false">ROUNDDOWN(H341,Assumptions!$B$10)</f>
        <v>171644</v>
      </c>
    </row>
    <row r="342" customFormat="false" ht="15" hidden="false" customHeight="false" outlineLevel="0" collapsed="false">
      <c r="A342" s="5" t="s">
        <v>385</v>
      </c>
      <c r="B342" s="6" t="n">
        <f aca="false">ROUND(CohortData!G342*CohortData!I342,2)</f>
        <v>81180</v>
      </c>
      <c r="C342" s="6" t="n">
        <f aca="false">ROUND(CohortData!L342*Assumptions!$B$4*CohortData!I342,2)</f>
        <v>10824</v>
      </c>
      <c r="D342" s="6" t="n">
        <f aca="false">ROUND(CohortData!E342*Assumptions!$B$5*CohortData!I342,2)</f>
        <v>4920</v>
      </c>
      <c r="E342" s="6" t="n">
        <f aca="false">ROUND(B342*Assumptions!$B$3,2)</f>
        <v>2841.3</v>
      </c>
      <c r="F342" s="6" t="n">
        <f aca="false">ROUND(B342*Assumptions!$B$6,2)</f>
        <v>1217.7</v>
      </c>
      <c r="G342" s="6" t="n">
        <f aca="false">ROUND(CohortData!G342*CohortData!I342-CohortData!G342*Assumptions!$B$7,2)</f>
        <v>0</v>
      </c>
      <c r="H342" s="7" t="n">
        <f aca="false">SUM(B342:E342,F342:G342)</f>
        <v>100983</v>
      </c>
      <c r="I342" s="6" t="n">
        <f aca="false">CEILING(H342,Assumptions!$B$8)</f>
        <v>101000</v>
      </c>
      <c r="J342" s="6" t="n">
        <f aca="false">FLOOR(H342,Assumptions!$B$8)</f>
        <v>100900</v>
      </c>
      <c r="K342" s="6" t="n">
        <f aca="false">ROUNDUP(H342,Assumptions!$B$9)</f>
        <v>100983</v>
      </c>
      <c r="L342" s="6" t="n">
        <f aca="false">ROUNDDOWN(H342,Assumptions!$B$10)</f>
        <v>100983</v>
      </c>
    </row>
    <row r="343" customFormat="false" ht="15" hidden="false" customHeight="false" outlineLevel="0" collapsed="false">
      <c r="A343" s="5" t="s">
        <v>386</v>
      </c>
      <c r="B343" s="6" t="n">
        <f aca="false">ROUND(CohortData!G343*CohortData!I343,2)</f>
        <v>135184.8</v>
      </c>
      <c r="C343" s="6" t="n">
        <f aca="false">ROUND(CohortData!L343*Assumptions!$B$4*CohortData!I343,2)</f>
        <v>0</v>
      </c>
      <c r="D343" s="6" t="n">
        <f aca="false">ROUND(CohortData!E343*Assumptions!$B$5*CohortData!I343,2)</f>
        <v>7268</v>
      </c>
      <c r="E343" s="6" t="n">
        <f aca="false">ROUND(B343*Assumptions!$B$3,2)</f>
        <v>4731.47</v>
      </c>
      <c r="F343" s="6" t="n">
        <f aca="false">ROUND(B343*Assumptions!$B$6,2)</f>
        <v>2027.77</v>
      </c>
      <c r="G343" s="6" t="n">
        <f aca="false">ROUND(CohortData!G343*CohortData!I343-CohortData!G343*Assumptions!$B$7,2)</f>
        <v>17632.8</v>
      </c>
      <c r="H343" s="7" t="n">
        <f aca="false">SUM(B343:E343,F343:G343)</f>
        <v>166844.84</v>
      </c>
      <c r="I343" s="6" t="n">
        <f aca="false">CEILING(H343,Assumptions!$B$8)</f>
        <v>166900</v>
      </c>
      <c r="J343" s="6" t="n">
        <f aca="false">FLOOR(H343,Assumptions!$B$8)</f>
        <v>166800</v>
      </c>
      <c r="K343" s="6" t="n">
        <f aca="false">ROUNDUP(H343,Assumptions!$B$9)</f>
        <v>166845</v>
      </c>
      <c r="L343" s="6" t="n">
        <f aca="false">ROUNDDOWN(H343,Assumptions!$B$10)</f>
        <v>166844</v>
      </c>
    </row>
    <row r="344" customFormat="false" ht="15" hidden="false" customHeight="false" outlineLevel="0" collapsed="false">
      <c r="A344" s="5" t="s">
        <v>387</v>
      </c>
      <c r="B344" s="6" t="n">
        <f aca="false">ROUND(CohortData!G344*CohortData!I344,2)</f>
        <v>191520</v>
      </c>
      <c r="C344" s="6" t="n">
        <f aca="false">ROUND(CohortData!L344*Assumptions!$B$4*CohortData!I344,2)</f>
        <v>25536</v>
      </c>
      <c r="D344" s="6" t="n">
        <f aca="false">ROUND(CohortData!E344*Assumptions!$B$5*CohortData!I344,2)</f>
        <v>9120</v>
      </c>
      <c r="E344" s="6" t="n">
        <f aca="false">ROUND(B344*Assumptions!$B$3,2)</f>
        <v>6703.2</v>
      </c>
      <c r="F344" s="6" t="n">
        <f aca="false">ROUND(B344*Assumptions!$B$6,2)</f>
        <v>2872.8</v>
      </c>
      <c r="G344" s="6" t="n">
        <f aca="false">ROUND(CohortData!G344*CohortData!I344-CohortData!G344*Assumptions!$B$7,2)</f>
        <v>0</v>
      </c>
      <c r="H344" s="7" t="n">
        <f aca="false">SUM(B344:E344,F344:G344)</f>
        <v>235752</v>
      </c>
      <c r="I344" s="6" t="n">
        <f aca="false">CEILING(H344,Assumptions!$B$8)</f>
        <v>235800</v>
      </c>
      <c r="J344" s="6" t="n">
        <f aca="false">FLOOR(H344,Assumptions!$B$8)</f>
        <v>235700</v>
      </c>
      <c r="K344" s="6" t="n">
        <f aca="false">ROUNDUP(H344,Assumptions!$B$9)</f>
        <v>235752</v>
      </c>
      <c r="L344" s="6" t="n">
        <f aca="false">ROUNDDOWN(H344,Assumptions!$B$10)</f>
        <v>235752</v>
      </c>
    </row>
    <row r="345" customFormat="false" ht="15" hidden="false" customHeight="false" outlineLevel="0" collapsed="false">
      <c r="A345" s="5" t="s">
        <v>388</v>
      </c>
      <c r="B345" s="6" t="n">
        <f aca="false">ROUND(CohortData!G345*CohortData!I345,2)</f>
        <v>156420</v>
      </c>
      <c r="C345" s="6" t="n">
        <f aca="false">ROUND(CohortData!L345*Assumptions!$B$4*CohortData!I345,2)</f>
        <v>20856</v>
      </c>
      <c r="D345" s="6" t="n">
        <f aca="false">ROUND(CohortData!E345*Assumptions!$B$5*CohortData!I345,2)</f>
        <v>9480</v>
      </c>
      <c r="E345" s="6" t="n">
        <f aca="false">ROUND(B345*Assumptions!$B$3,2)</f>
        <v>5474.7</v>
      </c>
      <c r="F345" s="6" t="n">
        <f aca="false">ROUND(B345*Assumptions!$B$6,2)</f>
        <v>2346.3</v>
      </c>
      <c r="G345" s="6" t="n">
        <f aca="false">ROUND(CohortData!G345*CohortData!I345-CohortData!G345*Assumptions!$B$7,2)</f>
        <v>0</v>
      </c>
      <c r="H345" s="7" t="n">
        <f aca="false">SUM(B345:E345,F345:G345)</f>
        <v>194577</v>
      </c>
      <c r="I345" s="6" t="n">
        <f aca="false">CEILING(H345,Assumptions!$B$8)</f>
        <v>194600</v>
      </c>
      <c r="J345" s="6" t="n">
        <f aca="false">FLOOR(H345,Assumptions!$B$8)</f>
        <v>194500</v>
      </c>
      <c r="K345" s="6" t="n">
        <f aca="false">ROUNDUP(H345,Assumptions!$B$9)</f>
        <v>194577</v>
      </c>
      <c r="L345" s="6" t="n">
        <f aca="false">ROUNDDOWN(H345,Assumptions!$B$10)</f>
        <v>194577</v>
      </c>
    </row>
    <row r="346" customFormat="false" ht="15" hidden="false" customHeight="false" outlineLevel="0" collapsed="false">
      <c r="A346" s="5" t="s">
        <v>389</v>
      </c>
      <c r="B346" s="6" t="n">
        <f aca="false">ROUND(CohortData!G346*CohortData!I346,2)</f>
        <v>142848</v>
      </c>
      <c r="C346" s="6" t="n">
        <f aca="false">ROUND(CohortData!L346*Assumptions!$B$4*CohortData!I346,2)</f>
        <v>19046.4</v>
      </c>
      <c r="D346" s="6" t="n">
        <f aca="false">ROUND(CohortData!E346*Assumptions!$B$5*CohortData!I346,2)</f>
        <v>7680</v>
      </c>
      <c r="E346" s="6" t="n">
        <f aca="false">ROUND(B346*Assumptions!$B$3,2)</f>
        <v>4999.68</v>
      </c>
      <c r="F346" s="6" t="n">
        <f aca="false">ROUND(B346*Assumptions!$B$6,2)</f>
        <v>2142.72</v>
      </c>
      <c r="G346" s="6" t="n">
        <f aca="false">ROUND(CohortData!G346*CohortData!I346-CohortData!G346*Assumptions!$B$7,2)</f>
        <v>0</v>
      </c>
      <c r="H346" s="7" t="n">
        <f aca="false">SUM(B346:E346,F346:G346)</f>
        <v>176716.8</v>
      </c>
      <c r="I346" s="6" t="n">
        <f aca="false">CEILING(H346,Assumptions!$B$8)</f>
        <v>176800</v>
      </c>
      <c r="J346" s="6" t="n">
        <f aca="false">FLOOR(H346,Assumptions!$B$8)</f>
        <v>176700</v>
      </c>
      <c r="K346" s="6" t="n">
        <f aca="false">ROUNDUP(H346,Assumptions!$B$9)</f>
        <v>176717</v>
      </c>
      <c r="L346" s="6" t="n">
        <f aca="false">ROUNDDOWN(H346,Assumptions!$B$10)</f>
        <v>176716</v>
      </c>
    </row>
    <row r="347" customFormat="false" ht="15" hidden="false" customHeight="false" outlineLevel="0" collapsed="false">
      <c r="A347" s="5" t="s">
        <v>390</v>
      </c>
      <c r="B347" s="6" t="n">
        <f aca="false">ROUND(CohortData!G347*CohortData!I347,2)</f>
        <v>211554</v>
      </c>
      <c r="C347" s="6" t="n">
        <f aca="false">ROUND(CohortData!L347*Assumptions!$B$4*CohortData!I347,2)</f>
        <v>28207.2</v>
      </c>
      <c r="D347" s="6" t="n">
        <f aca="false">ROUND(CohortData!E347*Assumptions!$B$5*CohortData!I347,2)</f>
        <v>10074</v>
      </c>
      <c r="E347" s="6" t="n">
        <f aca="false">ROUND(B347*Assumptions!$B$3,2)</f>
        <v>7404.39</v>
      </c>
      <c r="F347" s="6" t="n">
        <f aca="false">ROUND(B347*Assumptions!$B$6,2)</f>
        <v>3173.31</v>
      </c>
      <c r="G347" s="6" t="n">
        <f aca="false">ROUND(CohortData!G347*CohortData!I347-CohortData!G347*Assumptions!$B$7,2)</f>
        <v>27594</v>
      </c>
      <c r="H347" s="7" t="n">
        <f aca="false">SUM(B347:E347,F347:G347)</f>
        <v>288006.9</v>
      </c>
      <c r="I347" s="6" t="n">
        <f aca="false">CEILING(H347,Assumptions!$B$8)</f>
        <v>288100</v>
      </c>
      <c r="J347" s="6" t="n">
        <f aca="false">FLOOR(H347,Assumptions!$B$8)</f>
        <v>288000</v>
      </c>
      <c r="K347" s="6" t="n">
        <f aca="false">ROUNDUP(H347,Assumptions!$B$9)</f>
        <v>288007</v>
      </c>
      <c r="L347" s="6" t="n">
        <f aca="false">ROUNDDOWN(H347,Assumptions!$B$10)</f>
        <v>288006</v>
      </c>
    </row>
    <row r="348" customFormat="false" ht="15" hidden="false" customHeight="false" outlineLevel="0" collapsed="false">
      <c r="A348" s="5" t="s">
        <v>391</v>
      </c>
      <c r="B348" s="6" t="n">
        <f aca="false">ROUND(CohortData!G348*CohortData!I348,2)</f>
        <v>154110</v>
      </c>
      <c r="C348" s="6" t="n">
        <f aca="false">ROUND(CohortData!L348*Assumptions!$B$4*CohortData!I348,2)</f>
        <v>20548</v>
      </c>
      <c r="D348" s="6" t="n">
        <f aca="false">ROUND(CohortData!E348*Assumptions!$B$5*CohortData!I348,2)</f>
        <v>9340</v>
      </c>
      <c r="E348" s="6" t="n">
        <f aca="false">ROUND(B348*Assumptions!$B$3,2)</f>
        <v>5393.85</v>
      </c>
      <c r="F348" s="6" t="n">
        <f aca="false">ROUND(B348*Assumptions!$B$6,2)</f>
        <v>2311.65</v>
      </c>
      <c r="G348" s="6" t="n">
        <f aca="false">ROUND(CohortData!G348*CohortData!I348-CohortData!G348*Assumptions!$B$7,2)</f>
        <v>0</v>
      </c>
      <c r="H348" s="7" t="n">
        <f aca="false">SUM(B348:E348,F348:G348)</f>
        <v>191703.5</v>
      </c>
      <c r="I348" s="6" t="n">
        <f aca="false">CEILING(H348,Assumptions!$B$8)</f>
        <v>191800</v>
      </c>
      <c r="J348" s="6" t="n">
        <f aca="false">FLOOR(H348,Assumptions!$B$8)</f>
        <v>191700</v>
      </c>
      <c r="K348" s="6" t="n">
        <f aca="false">ROUNDUP(H348,Assumptions!$B$9)</f>
        <v>191704</v>
      </c>
      <c r="L348" s="6" t="n">
        <f aca="false">ROUNDDOWN(H348,Assumptions!$B$10)</f>
        <v>191703</v>
      </c>
    </row>
    <row r="349" customFormat="false" ht="15" hidden="false" customHeight="false" outlineLevel="0" collapsed="false">
      <c r="A349" s="5" t="s">
        <v>392</v>
      </c>
      <c r="B349" s="6" t="n">
        <f aca="false">ROUND(CohortData!G349*CohortData!I349,2)</f>
        <v>129828</v>
      </c>
      <c r="C349" s="6" t="n">
        <f aca="false">ROUND(CohortData!L349*Assumptions!$B$4*CohortData!I349,2)</f>
        <v>17310.4</v>
      </c>
      <c r="D349" s="6" t="n">
        <f aca="false">ROUND(CohortData!E349*Assumptions!$B$5*CohortData!I349,2)</f>
        <v>6980</v>
      </c>
      <c r="E349" s="6" t="n">
        <f aca="false">ROUND(B349*Assumptions!$B$3,2)</f>
        <v>4543.98</v>
      </c>
      <c r="F349" s="6" t="n">
        <f aca="false">ROUND(B349*Assumptions!$B$6,2)</f>
        <v>1947.42</v>
      </c>
      <c r="G349" s="6" t="n">
        <f aca="false">ROUND(CohortData!G349*CohortData!I349-CohortData!G349*Assumptions!$B$7,2)</f>
        <v>0</v>
      </c>
      <c r="H349" s="7" t="n">
        <f aca="false">SUM(B349:E349,F349:G349)</f>
        <v>160609.8</v>
      </c>
      <c r="I349" s="6" t="n">
        <f aca="false">CEILING(H349,Assumptions!$B$8)</f>
        <v>160700</v>
      </c>
      <c r="J349" s="6" t="n">
        <f aca="false">FLOOR(H349,Assumptions!$B$8)</f>
        <v>160600</v>
      </c>
      <c r="K349" s="6" t="n">
        <f aca="false">ROUNDUP(H349,Assumptions!$B$9)</f>
        <v>160610</v>
      </c>
      <c r="L349" s="6" t="n">
        <f aca="false">ROUNDDOWN(H349,Assumptions!$B$10)</f>
        <v>160609</v>
      </c>
    </row>
    <row r="350" customFormat="false" ht="15" hidden="false" customHeight="false" outlineLevel="0" collapsed="false">
      <c r="A350" s="5" t="s">
        <v>393</v>
      </c>
      <c r="B350" s="6" t="n">
        <f aca="false">ROUND(CohortData!G350*CohortData!I350,2)</f>
        <v>75180</v>
      </c>
      <c r="C350" s="6" t="n">
        <f aca="false">ROUND(CohortData!L350*Assumptions!$B$4*CohortData!I350,2)</f>
        <v>10024</v>
      </c>
      <c r="D350" s="6" t="n">
        <f aca="false">ROUND(CohortData!E350*Assumptions!$B$5*CohortData!I350,2)</f>
        <v>3580</v>
      </c>
      <c r="E350" s="6" t="n">
        <f aca="false">ROUND(B350*Assumptions!$B$3,2)</f>
        <v>2631.3</v>
      </c>
      <c r="F350" s="6" t="n">
        <f aca="false">ROUND(B350*Assumptions!$B$6,2)</f>
        <v>1127.7</v>
      </c>
      <c r="G350" s="6" t="n">
        <f aca="false">ROUND(CohortData!G350*CohortData!I350-CohortData!G350*Assumptions!$B$7,2)</f>
        <v>0</v>
      </c>
      <c r="H350" s="7" t="n">
        <f aca="false">SUM(B350:E350,F350:G350)</f>
        <v>92543</v>
      </c>
      <c r="I350" s="6" t="n">
        <f aca="false">CEILING(H350,Assumptions!$B$8)</f>
        <v>92600</v>
      </c>
      <c r="J350" s="6" t="n">
        <f aca="false">FLOOR(H350,Assumptions!$B$8)</f>
        <v>92500</v>
      </c>
      <c r="K350" s="6" t="n">
        <f aca="false">ROUNDUP(H350,Assumptions!$B$9)</f>
        <v>92543</v>
      </c>
      <c r="L350" s="6" t="n">
        <f aca="false">ROUNDDOWN(H350,Assumptions!$B$10)</f>
        <v>92543</v>
      </c>
    </row>
    <row r="351" customFormat="false" ht="15" hidden="false" customHeight="false" outlineLevel="0" collapsed="false">
      <c r="A351" s="5" t="s">
        <v>394</v>
      </c>
      <c r="B351" s="6" t="n">
        <f aca="false">ROUND(CohortData!G351*CohortData!I351,2)</f>
        <v>74761.5</v>
      </c>
      <c r="C351" s="6" t="n">
        <f aca="false">ROUND(CohortData!L351*Assumptions!$B$4*CohortData!I351,2)</f>
        <v>9968.2</v>
      </c>
      <c r="D351" s="6" t="n">
        <f aca="false">ROUND(CohortData!E351*Assumptions!$B$5*CohortData!I351,2)</f>
        <v>4531</v>
      </c>
      <c r="E351" s="6" t="n">
        <f aca="false">ROUND(B351*Assumptions!$B$3,2)</f>
        <v>2616.65</v>
      </c>
      <c r="F351" s="6" t="n">
        <f aca="false">ROUND(B351*Assumptions!$B$6,2)</f>
        <v>1121.42</v>
      </c>
      <c r="G351" s="6" t="n">
        <f aca="false">ROUND(CohortData!G351*CohortData!I351-CohortData!G351*Assumptions!$B$7,2)</f>
        <v>9751.5</v>
      </c>
      <c r="H351" s="7" t="n">
        <f aca="false">SUM(B351:E351,F351:G351)</f>
        <v>102750.27</v>
      </c>
      <c r="I351" s="6" t="n">
        <f aca="false">CEILING(H351,Assumptions!$B$8)</f>
        <v>102800</v>
      </c>
      <c r="J351" s="6" t="n">
        <f aca="false">FLOOR(H351,Assumptions!$B$8)</f>
        <v>102700</v>
      </c>
      <c r="K351" s="6" t="n">
        <f aca="false">ROUNDUP(H351,Assumptions!$B$9)</f>
        <v>102751</v>
      </c>
      <c r="L351" s="6" t="n">
        <f aca="false">ROUNDDOWN(H351,Assumptions!$B$10)</f>
        <v>102750</v>
      </c>
    </row>
    <row r="352" customFormat="false" ht="15" hidden="false" customHeight="false" outlineLevel="0" collapsed="false">
      <c r="A352" s="5" t="s">
        <v>395</v>
      </c>
      <c r="B352" s="6" t="n">
        <f aca="false">ROUND(CohortData!G352*CohortData!I352,2)</f>
        <v>93372</v>
      </c>
      <c r="C352" s="6" t="n">
        <f aca="false">ROUND(CohortData!L352*Assumptions!$B$4*CohortData!I352,2)</f>
        <v>12449.6</v>
      </c>
      <c r="D352" s="6" t="n">
        <f aca="false">ROUND(CohortData!E352*Assumptions!$B$5*CohortData!I352,2)</f>
        <v>5020</v>
      </c>
      <c r="E352" s="6" t="n">
        <f aca="false">ROUND(B352*Assumptions!$B$3,2)</f>
        <v>3268.02</v>
      </c>
      <c r="F352" s="6" t="n">
        <f aca="false">ROUND(B352*Assumptions!$B$6,2)</f>
        <v>1400.58</v>
      </c>
      <c r="G352" s="6" t="n">
        <f aca="false">ROUND(CohortData!G352*CohortData!I352-CohortData!G352*Assumptions!$B$7,2)</f>
        <v>0</v>
      </c>
      <c r="H352" s="7" t="n">
        <f aca="false">SUM(B352:E352,F352:G352)</f>
        <v>115510.2</v>
      </c>
      <c r="I352" s="6" t="n">
        <f aca="false">CEILING(H352,Assumptions!$B$8)</f>
        <v>115600</v>
      </c>
      <c r="J352" s="6" t="n">
        <f aca="false">FLOOR(H352,Assumptions!$B$8)</f>
        <v>115500</v>
      </c>
      <c r="K352" s="6" t="n">
        <f aca="false">ROUNDUP(H352,Assumptions!$B$9)</f>
        <v>115511</v>
      </c>
      <c r="L352" s="6" t="n">
        <f aca="false">ROUNDDOWN(H352,Assumptions!$B$10)</f>
        <v>115510</v>
      </c>
    </row>
    <row r="353" customFormat="false" ht="15" hidden="false" customHeight="false" outlineLevel="0" collapsed="false">
      <c r="A353" s="5" t="s">
        <v>396</v>
      </c>
      <c r="B353" s="6" t="n">
        <f aca="false">ROUND(CohortData!G353*CohortData!I353,2)</f>
        <v>88620</v>
      </c>
      <c r="C353" s="6" t="n">
        <f aca="false">ROUND(CohortData!L353*Assumptions!$B$4*CohortData!I353,2)</f>
        <v>11816</v>
      </c>
      <c r="D353" s="6" t="n">
        <f aca="false">ROUND(CohortData!E353*Assumptions!$B$5*CohortData!I353,2)</f>
        <v>4220</v>
      </c>
      <c r="E353" s="6" t="n">
        <f aca="false">ROUND(B353*Assumptions!$B$3,2)</f>
        <v>3101.7</v>
      </c>
      <c r="F353" s="6" t="n">
        <f aca="false">ROUND(B353*Assumptions!$B$6,2)</f>
        <v>1329.3</v>
      </c>
      <c r="G353" s="6" t="n">
        <f aca="false">ROUND(CohortData!G353*CohortData!I353-CohortData!G353*Assumptions!$B$7,2)</f>
        <v>0</v>
      </c>
      <c r="H353" s="7" t="n">
        <f aca="false">SUM(B353:E353,F353:G353)</f>
        <v>109087</v>
      </c>
      <c r="I353" s="6" t="n">
        <f aca="false">CEILING(H353,Assumptions!$B$8)</f>
        <v>109100</v>
      </c>
      <c r="J353" s="6" t="n">
        <f aca="false">FLOOR(H353,Assumptions!$B$8)</f>
        <v>109000</v>
      </c>
      <c r="K353" s="6" t="n">
        <f aca="false">ROUNDUP(H353,Assumptions!$B$9)</f>
        <v>109087</v>
      </c>
      <c r="L353" s="6" t="n">
        <f aca="false">ROUNDDOWN(H353,Assumptions!$B$10)</f>
        <v>109087</v>
      </c>
    </row>
    <row r="354" customFormat="false" ht="15" hidden="false" customHeight="false" outlineLevel="0" collapsed="false">
      <c r="A354" s="5" t="s">
        <v>397</v>
      </c>
      <c r="B354" s="6" t="n">
        <f aca="false">ROUND(CohortData!G354*CohortData!I354,2)</f>
        <v>42570</v>
      </c>
      <c r="C354" s="6" t="n">
        <f aca="false">ROUND(CohortData!L354*Assumptions!$B$4*CohortData!I354,2)</f>
        <v>5676</v>
      </c>
      <c r="D354" s="6" t="n">
        <f aca="false">ROUND(CohortData!E354*Assumptions!$B$5*CohortData!I354,2)</f>
        <v>2580</v>
      </c>
      <c r="E354" s="6" t="n">
        <f aca="false">ROUND(B354*Assumptions!$B$3,2)</f>
        <v>1489.95</v>
      </c>
      <c r="F354" s="6" t="n">
        <f aca="false">ROUND(B354*Assumptions!$B$6,2)</f>
        <v>638.55</v>
      </c>
      <c r="G354" s="6" t="n">
        <f aca="false">ROUND(CohortData!G354*CohortData!I354-CohortData!G354*Assumptions!$B$7,2)</f>
        <v>0</v>
      </c>
      <c r="H354" s="7" t="n">
        <f aca="false">SUM(B354:E354,F354:G354)</f>
        <v>52954.5</v>
      </c>
      <c r="I354" s="6" t="n">
        <f aca="false">CEILING(H354,Assumptions!$B$8)</f>
        <v>53000</v>
      </c>
      <c r="J354" s="6" t="n">
        <f aca="false">FLOOR(H354,Assumptions!$B$8)</f>
        <v>52900</v>
      </c>
      <c r="K354" s="6" t="n">
        <f aca="false">ROUNDUP(H354,Assumptions!$B$9)</f>
        <v>52955</v>
      </c>
      <c r="L354" s="6" t="n">
        <f aca="false">ROUNDDOWN(H354,Assumptions!$B$10)</f>
        <v>52954</v>
      </c>
    </row>
    <row r="355" customFormat="false" ht="15" hidden="false" customHeight="false" outlineLevel="0" collapsed="false">
      <c r="A355" s="5" t="s">
        <v>398</v>
      </c>
      <c r="B355" s="6" t="n">
        <f aca="false">ROUND(CohortData!G355*CohortData!I355,2)</f>
        <v>169408.8</v>
      </c>
      <c r="C355" s="6" t="n">
        <f aca="false">ROUND(CohortData!L355*Assumptions!$B$4*CohortData!I355,2)</f>
        <v>22587.84</v>
      </c>
      <c r="D355" s="6" t="n">
        <f aca="false">ROUND(CohortData!E355*Assumptions!$B$5*CohortData!I355,2)</f>
        <v>9108</v>
      </c>
      <c r="E355" s="6" t="n">
        <f aca="false">ROUND(B355*Assumptions!$B$3,2)</f>
        <v>5929.31</v>
      </c>
      <c r="F355" s="6" t="n">
        <f aca="false">ROUND(B355*Assumptions!$B$6,2)</f>
        <v>2541.13</v>
      </c>
      <c r="G355" s="6" t="n">
        <f aca="false">ROUND(CohortData!G355*CohortData!I355-CohortData!G355*Assumptions!$B$7,2)</f>
        <v>22096.8</v>
      </c>
      <c r="H355" s="7" t="n">
        <f aca="false">SUM(B355:E355,F355:G355)</f>
        <v>231671.88</v>
      </c>
      <c r="I355" s="6" t="n">
        <f aca="false">CEILING(H355,Assumptions!$B$8)</f>
        <v>231700</v>
      </c>
      <c r="J355" s="6" t="n">
        <f aca="false">FLOOR(H355,Assumptions!$B$8)</f>
        <v>231600</v>
      </c>
      <c r="K355" s="6" t="n">
        <f aca="false">ROUNDUP(H355,Assumptions!$B$9)</f>
        <v>231672</v>
      </c>
      <c r="L355" s="6" t="n">
        <f aca="false">ROUNDDOWN(H355,Assumptions!$B$10)</f>
        <v>231671</v>
      </c>
    </row>
    <row r="356" customFormat="false" ht="15" hidden="false" customHeight="false" outlineLevel="0" collapsed="false">
      <c r="A356" s="5" t="s">
        <v>399</v>
      </c>
      <c r="B356" s="6" t="n">
        <f aca="false">ROUND(CohortData!G356*CohortData!I356,2)</f>
        <v>199920</v>
      </c>
      <c r="C356" s="6" t="n">
        <f aca="false">ROUND(CohortData!L356*Assumptions!$B$4*CohortData!I356,2)</f>
        <v>26656</v>
      </c>
      <c r="D356" s="6" t="n">
        <f aca="false">ROUND(CohortData!E356*Assumptions!$B$5*CohortData!I356,2)</f>
        <v>9520</v>
      </c>
      <c r="E356" s="6" t="n">
        <f aca="false">ROUND(B356*Assumptions!$B$3,2)</f>
        <v>6997.2</v>
      </c>
      <c r="F356" s="6" t="n">
        <f aca="false">ROUND(B356*Assumptions!$B$6,2)</f>
        <v>2998.8</v>
      </c>
      <c r="G356" s="6" t="n">
        <f aca="false">ROUND(CohortData!G356*CohortData!I356-CohortData!G356*Assumptions!$B$7,2)</f>
        <v>0</v>
      </c>
      <c r="H356" s="7" t="n">
        <f aca="false">SUM(B356:E356,F356:G356)</f>
        <v>246092</v>
      </c>
      <c r="I356" s="6" t="n">
        <f aca="false">CEILING(H356,Assumptions!$B$8)</f>
        <v>246100</v>
      </c>
      <c r="J356" s="6" t="n">
        <f aca="false">FLOOR(H356,Assumptions!$B$8)</f>
        <v>246000</v>
      </c>
      <c r="K356" s="6" t="n">
        <f aca="false">ROUNDUP(H356,Assumptions!$B$9)</f>
        <v>246092</v>
      </c>
      <c r="L356" s="6" t="n">
        <f aca="false">ROUNDDOWN(H356,Assumptions!$B$10)</f>
        <v>246092</v>
      </c>
    </row>
    <row r="357" customFormat="false" ht="15" hidden="false" customHeight="false" outlineLevel="0" collapsed="false">
      <c r="A357" s="5" t="s">
        <v>400</v>
      </c>
      <c r="B357" s="6" t="n">
        <f aca="false">ROUND(CohortData!G357*CohortData!I357,2)</f>
        <v>124410</v>
      </c>
      <c r="C357" s="6" t="n">
        <f aca="false">ROUND(CohortData!L357*Assumptions!$B$4*CohortData!I357,2)</f>
        <v>16588</v>
      </c>
      <c r="D357" s="6" t="n">
        <f aca="false">ROUND(CohortData!E357*Assumptions!$B$5*CohortData!I357,2)</f>
        <v>7540</v>
      </c>
      <c r="E357" s="6" t="n">
        <f aca="false">ROUND(B357*Assumptions!$B$3,2)</f>
        <v>4354.35</v>
      </c>
      <c r="F357" s="6" t="n">
        <f aca="false">ROUND(B357*Assumptions!$B$6,2)</f>
        <v>1866.15</v>
      </c>
      <c r="G357" s="6" t="n">
        <f aca="false">ROUND(CohortData!G357*CohortData!I357-CohortData!G357*Assumptions!$B$7,2)</f>
        <v>0</v>
      </c>
      <c r="H357" s="7" t="n">
        <f aca="false">SUM(B357:E357,F357:G357)</f>
        <v>154758.5</v>
      </c>
      <c r="I357" s="6" t="n">
        <f aca="false">CEILING(H357,Assumptions!$B$8)</f>
        <v>154800</v>
      </c>
      <c r="J357" s="6" t="n">
        <f aca="false">FLOOR(H357,Assumptions!$B$8)</f>
        <v>154700</v>
      </c>
      <c r="K357" s="6" t="n">
        <f aca="false">ROUNDUP(H357,Assumptions!$B$9)</f>
        <v>154759</v>
      </c>
      <c r="L357" s="6" t="n">
        <f aca="false">ROUNDDOWN(H357,Assumptions!$B$10)</f>
        <v>154758</v>
      </c>
    </row>
    <row r="358" customFormat="false" ht="15" hidden="false" customHeight="false" outlineLevel="0" collapsed="false">
      <c r="A358" s="5" t="s">
        <v>401</v>
      </c>
      <c r="B358" s="6" t="n">
        <f aca="false">ROUND(CohortData!G358*CohortData!I358,2)</f>
        <v>48732</v>
      </c>
      <c r="C358" s="6" t="n">
        <f aca="false">ROUND(CohortData!L358*Assumptions!$B$4*CohortData!I358,2)</f>
        <v>6497.6</v>
      </c>
      <c r="D358" s="6" t="n">
        <f aca="false">ROUND(CohortData!E358*Assumptions!$B$5*CohortData!I358,2)</f>
        <v>2620</v>
      </c>
      <c r="E358" s="6" t="n">
        <f aca="false">ROUND(B358*Assumptions!$B$3,2)</f>
        <v>1705.62</v>
      </c>
      <c r="F358" s="6" t="n">
        <f aca="false">ROUND(B358*Assumptions!$B$6,2)</f>
        <v>730.98</v>
      </c>
      <c r="G358" s="6" t="n">
        <f aca="false">ROUND(CohortData!G358*CohortData!I358-CohortData!G358*Assumptions!$B$7,2)</f>
        <v>0</v>
      </c>
      <c r="H358" s="7" t="n">
        <f aca="false">SUM(B358:E358,F358:G358)</f>
        <v>60286.2</v>
      </c>
      <c r="I358" s="6" t="n">
        <f aca="false">CEILING(H358,Assumptions!$B$8)</f>
        <v>60300</v>
      </c>
      <c r="J358" s="6" t="n">
        <f aca="false">FLOOR(H358,Assumptions!$B$8)</f>
        <v>60200</v>
      </c>
      <c r="K358" s="6" t="n">
        <f aca="false">ROUNDUP(H358,Assumptions!$B$9)</f>
        <v>60287</v>
      </c>
      <c r="L358" s="6" t="n">
        <f aca="false">ROUNDDOWN(H358,Assumptions!$B$10)</f>
        <v>60286</v>
      </c>
    </row>
    <row r="359" customFormat="false" ht="15" hidden="false" customHeight="false" outlineLevel="0" collapsed="false">
      <c r="A359" s="5" t="s">
        <v>402</v>
      </c>
      <c r="B359" s="6" t="n">
        <f aca="false">ROUND(CohortData!G359*CohortData!I359,2)</f>
        <v>232806</v>
      </c>
      <c r="C359" s="6" t="n">
        <f aca="false">ROUND(CohortData!L359*Assumptions!$B$4*CohortData!I359,2)</f>
        <v>31040.8</v>
      </c>
      <c r="D359" s="6" t="n">
        <f aca="false">ROUND(CohortData!E359*Assumptions!$B$5*CohortData!I359,2)</f>
        <v>11086</v>
      </c>
      <c r="E359" s="6" t="n">
        <f aca="false">ROUND(B359*Assumptions!$B$3,2)</f>
        <v>8148.21</v>
      </c>
      <c r="F359" s="6" t="n">
        <f aca="false">ROUND(B359*Assumptions!$B$6,2)</f>
        <v>3492.09</v>
      </c>
      <c r="G359" s="6" t="n">
        <f aca="false">ROUND(CohortData!G359*CohortData!I359-CohortData!G359*Assumptions!$B$7,2)</f>
        <v>30366</v>
      </c>
      <c r="H359" s="7" t="n">
        <f aca="false">SUM(B359:E359,F359:G359)</f>
        <v>316939.1</v>
      </c>
      <c r="I359" s="6" t="n">
        <f aca="false">CEILING(H359,Assumptions!$B$8)</f>
        <v>317000</v>
      </c>
      <c r="J359" s="6" t="n">
        <f aca="false">FLOOR(H359,Assumptions!$B$8)</f>
        <v>316900</v>
      </c>
      <c r="K359" s="6" t="n">
        <f aca="false">ROUNDUP(H359,Assumptions!$B$9)</f>
        <v>316940</v>
      </c>
      <c r="L359" s="6" t="n">
        <f aca="false">ROUNDDOWN(H359,Assumptions!$B$10)</f>
        <v>316939</v>
      </c>
    </row>
    <row r="360" customFormat="false" ht="15" hidden="false" customHeight="false" outlineLevel="0" collapsed="false">
      <c r="A360" s="5" t="s">
        <v>403</v>
      </c>
      <c r="B360" s="6" t="n">
        <f aca="false">ROUND(CohortData!G360*CohortData!I360,2)</f>
        <v>85800</v>
      </c>
      <c r="C360" s="6" t="n">
        <f aca="false">ROUND(CohortData!L360*Assumptions!$B$4*CohortData!I360,2)</f>
        <v>0</v>
      </c>
      <c r="D360" s="6" t="n">
        <f aca="false">ROUND(CohortData!E360*Assumptions!$B$5*CohortData!I360,2)</f>
        <v>5200</v>
      </c>
      <c r="E360" s="6" t="n">
        <f aca="false">ROUND(B360*Assumptions!$B$3,2)</f>
        <v>3003</v>
      </c>
      <c r="F360" s="6" t="n">
        <f aca="false">ROUND(B360*Assumptions!$B$6,2)</f>
        <v>1287</v>
      </c>
      <c r="G360" s="6" t="n">
        <f aca="false">ROUND(CohortData!G360*CohortData!I360-CohortData!G360*Assumptions!$B$7,2)</f>
        <v>0</v>
      </c>
      <c r="H360" s="7" t="n">
        <f aca="false">SUM(B360:E360,F360:G360)</f>
        <v>95290</v>
      </c>
      <c r="I360" s="6" t="n">
        <f aca="false">CEILING(H360,Assumptions!$B$8)</f>
        <v>95300</v>
      </c>
      <c r="J360" s="6" t="n">
        <f aca="false">FLOOR(H360,Assumptions!$B$8)</f>
        <v>95200</v>
      </c>
      <c r="K360" s="6" t="n">
        <f aca="false">ROUNDUP(H360,Assumptions!$B$9)</f>
        <v>95290</v>
      </c>
      <c r="L360" s="6" t="n">
        <f aca="false">ROUNDDOWN(H360,Assumptions!$B$10)</f>
        <v>95290</v>
      </c>
    </row>
    <row r="361" customFormat="false" ht="15" hidden="false" customHeight="false" outlineLevel="0" collapsed="false">
      <c r="A361" s="5" t="s">
        <v>404</v>
      </c>
      <c r="B361" s="6" t="n">
        <f aca="false">ROUND(CohortData!G361*CohortData!I361,2)</f>
        <v>47988</v>
      </c>
      <c r="C361" s="6" t="n">
        <f aca="false">ROUND(CohortData!L361*Assumptions!$B$4*CohortData!I361,2)</f>
        <v>6398.4</v>
      </c>
      <c r="D361" s="6" t="n">
        <f aca="false">ROUND(CohortData!E361*Assumptions!$B$5*CohortData!I361,2)</f>
        <v>2580</v>
      </c>
      <c r="E361" s="6" t="n">
        <f aca="false">ROUND(B361*Assumptions!$B$3,2)</f>
        <v>1679.58</v>
      </c>
      <c r="F361" s="6" t="n">
        <f aca="false">ROUND(B361*Assumptions!$B$6,2)</f>
        <v>719.82</v>
      </c>
      <c r="G361" s="6" t="n">
        <f aca="false">ROUND(CohortData!G361*CohortData!I361-CohortData!G361*Assumptions!$B$7,2)</f>
        <v>0</v>
      </c>
      <c r="H361" s="7" t="n">
        <f aca="false">SUM(B361:E361,F361:G361)</f>
        <v>59365.8</v>
      </c>
      <c r="I361" s="6" t="n">
        <f aca="false">CEILING(H361,Assumptions!$B$8)</f>
        <v>59400</v>
      </c>
      <c r="J361" s="6" t="n">
        <f aca="false">FLOOR(H361,Assumptions!$B$8)</f>
        <v>59300</v>
      </c>
      <c r="K361" s="6" t="n">
        <f aca="false">ROUNDUP(H361,Assumptions!$B$9)</f>
        <v>59366</v>
      </c>
      <c r="L361" s="6" t="n">
        <f aca="false">ROUNDDOWN(H361,Assumptions!$B$10)</f>
        <v>59365</v>
      </c>
    </row>
    <row r="362" customFormat="false" ht="15" hidden="false" customHeight="false" outlineLevel="0" collapsed="false">
      <c r="A362" s="5" t="s">
        <v>405</v>
      </c>
      <c r="B362" s="6" t="n">
        <f aca="false">ROUND(CohortData!G362*CohortData!I362,2)</f>
        <v>52500</v>
      </c>
      <c r="C362" s="6" t="n">
        <f aca="false">ROUND(CohortData!L362*Assumptions!$B$4*CohortData!I362,2)</f>
        <v>7000</v>
      </c>
      <c r="D362" s="6" t="n">
        <f aca="false">ROUND(CohortData!E362*Assumptions!$B$5*CohortData!I362,2)</f>
        <v>2500</v>
      </c>
      <c r="E362" s="6" t="n">
        <f aca="false">ROUND(B362*Assumptions!$B$3,2)</f>
        <v>1837.5</v>
      </c>
      <c r="F362" s="6" t="n">
        <f aca="false">ROUND(B362*Assumptions!$B$6,2)</f>
        <v>787.5</v>
      </c>
      <c r="G362" s="6" t="n">
        <f aca="false">ROUND(CohortData!G362*CohortData!I362-CohortData!G362*Assumptions!$B$7,2)</f>
        <v>0</v>
      </c>
      <c r="H362" s="7" t="n">
        <f aca="false">SUM(B362:E362,F362:G362)</f>
        <v>64625</v>
      </c>
      <c r="I362" s="6" t="n">
        <f aca="false">CEILING(H362,Assumptions!$B$8)</f>
        <v>64700</v>
      </c>
      <c r="J362" s="6" t="n">
        <f aca="false">FLOOR(H362,Assumptions!$B$8)</f>
        <v>64600</v>
      </c>
      <c r="K362" s="6" t="n">
        <f aca="false">ROUNDUP(H362,Assumptions!$B$9)</f>
        <v>64625</v>
      </c>
      <c r="L362" s="6" t="n">
        <f aca="false">ROUNDDOWN(H362,Assumptions!$B$10)</f>
        <v>64625</v>
      </c>
    </row>
    <row r="363" customFormat="false" ht="15" hidden="false" customHeight="false" outlineLevel="0" collapsed="false">
      <c r="A363" s="5" t="s">
        <v>406</v>
      </c>
      <c r="B363" s="6" t="n">
        <f aca="false">ROUND(CohortData!G363*CohortData!I363,2)</f>
        <v>151420.5</v>
      </c>
      <c r="C363" s="6" t="n">
        <f aca="false">ROUND(CohortData!L363*Assumptions!$B$4*CohortData!I363,2)</f>
        <v>20189.4</v>
      </c>
      <c r="D363" s="6" t="n">
        <f aca="false">ROUND(CohortData!E363*Assumptions!$B$5*CohortData!I363,2)</f>
        <v>9177</v>
      </c>
      <c r="E363" s="6" t="n">
        <f aca="false">ROUND(B363*Assumptions!$B$3,2)</f>
        <v>5299.72</v>
      </c>
      <c r="F363" s="6" t="n">
        <f aca="false">ROUND(B363*Assumptions!$B$6,2)</f>
        <v>2271.31</v>
      </c>
      <c r="G363" s="6" t="n">
        <f aca="false">ROUND(CohortData!G363*CohortData!I363-CohortData!G363*Assumptions!$B$7,2)</f>
        <v>19750.5</v>
      </c>
      <c r="H363" s="7" t="n">
        <f aca="false">SUM(B363:E363,F363:G363)</f>
        <v>208108.43</v>
      </c>
      <c r="I363" s="6" t="n">
        <f aca="false">CEILING(H363,Assumptions!$B$8)</f>
        <v>208200</v>
      </c>
      <c r="J363" s="6" t="n">
        <f aca="false">FLOOR(H363,Assumptions!$B$8)</f>
        <v>208100</v>
      </c>
      <c r="K363" s="6" t="n">
        <f aca="false">ROUNDUP(H363,Assumptions!$B$9)</f>
        <v>208109</v>
      </c>
      <c r="L363" s="6" t="n">
        <f aca="false">ROUNDDOWN(H363,Assumptions!$B$10)</f>
        <v>208108</v>
      </c>
    </row>
    <row r="364" customFormat="false" ht="15" hidden="false" customHeight="false" outlineLevel="0" collapsed="false">
      <c r="A364" s="5" t="s">
        <v>407</v>
      </c>
      <c r="B364" s="6" t="n">
        <f aca="false">ROUND(CohortData!G364*CohortData!I364,2)</f>
        <v>127968</v>
      </c>
      <c r="C364" s="6" t="n">
        <f aca="false">ROUND(CohortData!L364*Assumptions!$B$4*CohortData!I364,2)</f>
        <v>17062.4</v>
      </c>
      <c r="D364" s="6" t="n">
        <f aca="false">ROUND(CohortData!E364*Assumptions!$B$5*CohortData!I364,2)</f>
        <v>6880</v>
      </c>
      <c r="E364" s="6" t="n">
        <f aca="false">ROUND(B364*Assumptions!$B$3,2)</f>
        <v>4478.88</v>
      </c>
      <c r="F364" s="6" t="n">
        <f aca="false">ROUND(B364*Assumptions!$B$6,2)</f>
        <v>1919.52</v>
      </c>
      <c r="G364" s="6" t="n">
        <f aca="false">ROUND(CohortData!G364*CohortData!I364-CohortData!G364*Assumptions!$B$7,2)</f>
        <v>0</v>
      </c>
      <c r="H364" s="7" t="n">
        <f aca="false">SUM(B364:E364,F364:G364)</f>
        <v>158308.8</v>
      </c>
      <c r="I364" s="6" t="n">
        <f aca="false">CEILING(H364,Assumptions!$B$8)</f>
        <v>158400</v>
      </c>
      <c r="J364" s="6" t="n">
        <f aca="false">FLOOR(H364,Assumptions!$B$8)</f>
        <v>158300</v>
      </c>
      <c r="K364" s="6" t="n">
        <f aca="false">ROUNDUP(H364,Assumptions!$B$9)</f>
        <v>158309</v>
      </c>
      <c r="L364" s="6" t="n">
        <f aca="false">ROUNDDOWN(H364,Assumptions!$B$10)</f>
        <v>158308</v>
      </c>
    </row>
    <row r="365" customFormat="false" ht="15" hidden="false" customHeight="false" outlineLevel="0" collapsed="false">
      <c r="A365" s="5" t="s">
        <v>408</v>
      </c>
      <c r="B365" s="6" t="n">
        <f aca="false">ROUND(CohortData!G365*CohortData!I365,2)</f>
        <v>149940</v>
      </c>
      <c r="C365" s="6" t="n">
        <f aca="false">ROUND(CohortData!L365*Assumptions!$B$4*CohortData!I365,2)</f>
        <v>19992</v>
      </c>
      <c r="D365" s="6" t="n">
        <f aca="false">ROUND(CohortData!E365*Assumptions!$B$5*CohortData!I365,2)</f>
        <v>7140</v>
      </c>
      <c r="E365" s="6" t="n">
        <f aca="false">ROUND(B365*Assumptions!$B$3,2)</f>
        <v>5247.9</v>
      </c>
      <c r="F365" s="6" t="n">
        <f aca="false">ROUND(B365*Assumptions!$B$6,2)</f>
        <v>2249.1</v>
      </c>
      <c r="G365" s="6" t="n">
        <f aca="false">ROUND(CohortData!G365*CohortData!I365-CohortData!G365*Assumptions!$B$7,2)</f>
        <v>0</v>
      </c>
      <c r="H365" s="7" t="n">
        <f aca="false">SUM(B365:E365,F365:G365)</f>
        <v>184569</v>
      </c>
      <c r="I365" s="6" t="n">
        <f aca="false">CEILING(H365,Assumptions!$B$8)</f>
        <v>184600</v>
      </c>
      <c r="J365" s="6" t="n">
        <f aca="false">FLOOR(H365,Assumptions!$B$8)</f>
        <v>184500</v>
      </c>
      <c r="K365" s="6" t="n">
        <f aca="false">ROUNDUP(H365,Assumptions!$B$9)</f>
        <v>184569</v>
      </c>
      <c r="L365" s="6" t="n">
        <f aca="false">ROUNDDOWN(H365,Assumptions!$B$10)</f>
        <v>184569</v>
      </c>
    </row>
    <row r="366" customFormat="false" ht="15" hidden="false" customHeight="false" outlineLevel="0" collapsed="false">
      <c r="A366" s="5" t="s">
        <v>409</v>
      </c>
      <c r="B366" s="6" t="n">
        <f aca="false">ROUND(CohortData!G366*CohortData!I366,2)</f>
        <v>122430</v>
      </c>
      <c r="C366" s="6" t="n">
        <f aca="false">ROUND(CohortData!L366*Assumptions!$B$4*CohortData!I366,2)</f>
        <v>16324</v>
      </c>
      <c r="D366" s="6" t="n">
        <f aca="false">ROUND(CohortData!E366*Assumptions!$B$5*CohortData!I366,2)</f>
        <v>7420</v>
      </c>
      <c r="E366" s="6" t="n">
        <f aca="false">ROUND(B366*Assumptions!$B$3,2)</f>
        <v>4285.05</v>
      </c>
      <c r="F366" s="6" t="n">
        <f aca="false">ROUND(B366*Assumptions!$B$6,2)</f>
        <v>1836.45</v>
      </c>
      <c r="G366" s="6" t="n">
        <f aca="false">ROUND(CohortData!G366*CohortData!I366-CohortData!G366*Assumptions!$B$7,2)</f>
        <v>0</v>
      </c>
      <c r="H366" s="7" t="n">
        <f aca="false">SUM(B366:E366,F366:G366)</f>
        <v>152295.5</v>
      </c>
      <c r="I366" s="6" t="n">
        <f aca="false">CEILING(H366,Assumptions!$B$8)</f>
        <v>152300</v>
      </c>
      <c r="J366" s="6" t="n">
        <f aca="false">FLOOR(H366,Assumptions!$B$8)</f>
        <v>152200</v>
      </c>
      <c r="K366" s="6" t="n">
        <f aca="false">ROUNDUP(H366,Assumptions!$B$9)</f>
        <v>152296</v>
      </c>
      <c r="L366" s="6" t="n">
        <f aca="false">ROUNDDOWN(H366,Assumptions!$B$10)</f>
        <v>152295</v>
      </c>
    </row>
    <row r="367" customFormat="false" ht="15" hidden="false" customHeight="false" outlineLevel="0" collapsed="false">
      <c r="A367" s="5" t="s">
        <v>410</v>
      </c>
      <c r="B367" s="6" t="n">
        <f aca="false">ROUND(CohortData!G367*CohortData!I367,2)</f>
        <v>77004</v>
      </c>
      <c r="C367" s="6" t="n">
        <f aca="false">ROUND(CohortData!L367*Assumptions!$B$4*CohortData!I367,2)</f>
        <v>10267.2</v>
      </c>
      <c r="D367" s="6" t="n">
        <f aca="false">ROUND(CohortData!E367*Assumptions!$B$5*CohortData!I367,2)</f>
        <v>4140</v>
      </c>
      <c r="E367" s="6" t="n">
        <f aca="false">ROUND(B367*Assumptions!$B$3,2)</f>
        <v>2695.14</v>
      </c>
      <c r="F367" s="6" t="n">
        <f aca="false">ROUND(B367*Assumptions!$B$6,2)</f>
        <v>1155.06</v>
      </c>
      <c r="G367" s="6" t="n">
        <f aca="false">ROUND(CohortData!G367*CohortData!I367-CohortData!G367*Assumptions!$B$7,2)</f>
        <v>10044</v>
      </c>
      <c r="H367" s="7" t="n">
        <f aca="false">SUM(B367:E367,F367:G367)</f>
        <v>105305.4</v>
      </c>
      <c r="I367" s="6" t="n">
        <f aca="false">CEILING(H367,Assumptions!$B$8)</f>
        <v>105400</v>
      </c>
      <c r="J367" s="6" t="n">
        <f aca="false">FLOOR(H367,Assumptions!$B$8)</f>
        <v>105300</v>
      </c>
      <c r="K367" s="6" t="n">
        <f aca="false">ROUNDUP(H367,Assumptions!$B$9)</f>
        <v>105306</v>
      </c>
      <c r="L367" s="6" t="n">
        <f aca="false">ROUNDDOWN(H367,Assumptions!$B$10)</f>
        <v>105305</v>
      </c>
    </row>
    <row r="368" customFormat="false" ht="15" hidden="false" customHeight="false" outlineLevel="0" collapsed="false">
      <c r="A368" s="5" t="s">
        <v>411</v>
      </c>
      <c r="B368" s="6" t="n">
        <f aca="false">ROUND(CohortData!G368*CohortData!I368,2)</f>
        <v>54180</v>
      </c>
      <c r="C368" s="6" t="n">
        <f aca="false">ROUND(CohortData!L368*Assumptions!$B$4*CohortData!I368,2)</f>
        <v>7224</v>
      </c>
      <c r="D368" s="6" t="n">
        <f aca="false">ROUND(CohortData!E368*Assumptions!$B$5*CohortData!I368,2)</f>
        <v>2580</v>
      </c>
      <c r="E368" s="6" t="n">
        <f aca="false">ROUND(B368*Assumptions!$B$3,2)</f>
        <v>1896.3</v>
      </c>
      <c r="F368" s="6" t="n">
        <f aca="false">ROUND(B368*Assumptions!$B$6,2)</f>
        <v>812.7</v>
      </c>
      <c r="G368" s="6" t="n">
        <f aca="false">ROUND(CohortData!G368*CohortData!I368-CohortData!G368*Assumptions!$B$7,2)</f>
        <v>0</v>
      </c>
      <c r="H368" s="7" t="n">
        <f aca="false">SUM(B368:E368,F368:G368)</f>
        <v>66693</v>
      </c>
      <c r="I368" s="6" t="n">
        <f aca="false">CEILING(H368,Assumptions!$B$8)</f>
        <v>66700</v>
      </c>
      <c r="J368" s="6" t="n">
        <f aca="false">FLOOR(H368,Assumptions!$B$8)</f>
        <v>66600</v>
      </c>
      <c r="K368" s="6" t="n">
        <f aca="false">ROUNDUP(H368,Assumptions!$B$9)</f>
        <v>66693</v>
      </c>
      <c r="L368" s="6" t="n">
        <f aca="false">ROUNDDOWN(H368,Assumptions!$B$10)</f>
        <v>66693</v>
      </c>
    </row>
    <row r="369" customFormat="false" ht="15" hidden="false" customHeight="false" outlineLevel="0" collapsed="false">
      <c r="A369" s="5" t="s">
        <v>412</v>
      </c>
      <c r="B369" s="6" t="n">
        <f aca="false">ROUND(CohortData!G369*CohortData!I369,2)</f>
        <v>118800</v>
      </c>
      <c r="C369" s="6" t="n">
        <f aca="false">ROUND(CohortData!L369*Assumptions!$B$4*CohortData!I369,2)</f>
        <v>15840</v>
      </c>
      <c r="D369" s="6" t="n">
        <f aca="false">ROUND(CohortData!E369*Assumptions!$B$5*CohortData!I369,2)</f>
        <v>7200</v>
      </c>
      <c r="E369" s="6" t="n">
        <f aca="false">ROUND(B369*Assumptions!$B$3,2)</f>
        <v>4158</v>
      </c>
      <c r="F369" s="6" t="n">
        <f aca="false">ROUND(B369*Assumptions!$B$6,2)</f>
        <v>1782</v>
      </c>
      <c r="G369" s="6" t="n">
        <f aca="false">ROUND(CohortData!G369*CohortData!I369-CohortData!G369*Assumptions!$B$7,2)</f>
        <v>0</v>
      </c>
      <c r="H369" s="7" t="n">
        <f aca="false">SUM(B369:E369,F369:G369)</f>
        <v>147780</v>
      </c>
      <c r="I369" s="6" t="n">
        <f aca="false">CEILING(H369,Assumptions!$B$8)</f>
        <v>147800</v>
      </c>
      <c r="J369" s="6" t="n">
        <f aca="false">FLOOR(H369,Assumptions!$B$8)</f>
        <v>147700</v>
      </c>
      <c r="K369" s="6" t="n">
        <f aca="false">ROUNDUP(H369,Assumptions!$B$9)</f>
        <v>147780</v>
      </c>
      <c r="L369" s="6" t="n">
        <f aca="false">ROUNDDOWN(H369,Assumptions!$B$10)</f>
        <v>147780</v>
      </c>
    </row>
    <row r="370" customFormat="false" ht="15" hidden="false" customHeight="false" outlineLevel="0" collapsed="false">
      <c r="A370" s="5" t="s">
        <v>413</v>
      </c>
      <c r="B370" s="6" t="n">
        <f aca="false">ROUND(CohortData!G370*CohortData!I370,2)</f>
        <v>52452</v>
      </c>
      <c r="C370" s="6" t="n">
        <f aca="false">ROUND(CohortData!L370*Assumptions!$B$4*CohortData!I370,2)</f>
        <v>6993.6</v>
      </c>
      <c r="D370" s="6" t="n">
        <f aca="false">ROUND(CohortData!E370*Assumptions!$B$5*CohortData!I370,2)</f>
        <v>2820</v>
      </c>
      <c r="E370" s="6" t="n">
        <f aca="false">ROUND(B370*Assumptions!$B$3,2)</f>
        <v>1835.82</v>
      </c>
      <c r="F370" s="6" t="n">
        <f aca="false">ROUND(B370*Assumptions!$B$6,2)</f>
        <v>786.78</v>
      </c>
      <c r="G370" s="6" t="n">
        <f aca="false">ROUND(CohortData!G370*CohortData!I370-CohortData!G370*Assumptions!$B$7,2)</f>
        <v>0</v>
      </c>
      <c r="H370" s="7" t="n">
        <f aca="false">SUM(B370:E370,F370:G370)</f>
        <v>64888.2</v>
      </c>
      <c r="I370" s="6" t="n">
        <f aca="false">CEILING(H370,Assumptions!$B$8)</f>
        <v>64900</v>
      </c>
      <c r="J370" s="6" t="n">
        <f aca="false">FLOOR(H370,Assumptions!$B$8)</f>
        <v>64800</v>
      </c>
      <c r="K370" s="6" t="n">
        <f aca="false">ROUNDUP(H370,Assumptions!$B$9)</f>
        <v>64889</v>
      </c>
      <c r="L370" s="6" t="n">
        <f aca="false">ROUNDDOWN(H370,Assumptions!$B$10)</f>
        <v>64888</v>
      </c>
    </row>
    <row r="371" customFormat="false" ht="15" hidden="false" customHeight="false" outlineLevel="0" collapsed="false">
      <c r="A371" s="5" t="s">
        <v>414</v>
      </c>
      <c r="B371" s="6" t="n">
        <f aca="false">ROUND(CohortData!G371*CohortData!I371,2)</f>
        <v>94185</v>
      </c>
      <c r="C371" s="6" t="n">
        <f aca="false">ROUND(CohortData!L371*Assumptions!$B$4*CohortData!I371,2)</f>
        <v>12558</v>
      </c>
      <c r="D371" s="6" t="n">
        <f aca="false">ROUND(CohortData!E371*Assumptions!$B$5*CohortData!I371,2)</f>
        <v>4485</v>
      </c>
      <c r="E371" s="6" t="n">
        <f aca="false">ROUND(B371*Assumptions!$B$3,2)</f>
        <v>3296.48</v>
      </c>
      <c r="F371" s="6" t="n">
        <f aca="false">ROUND(B371*Assumptions!$B$6,2)</f>
        <v>1412.78</v>
      </c>
      <c r="G371" s="6" t="n">
        <f aca="false">ROUND(CohortData!G371*CohortData!I371-CohortData!G371*Assumptions!$B$7,2)</f>
        <v>12285</v>
      </c>
      <c r="H371" s="7" t="n">
        <f aca="false">SUM(B371:E371,F371:G371)</f>
        <v>128222.26</v>
      </c>
      <c r="I371" s="6" t="n">
        <f aca="false">CEILING(H371,Assumptions!$B$8)</f>
        <v>128300</v>
      </c>
      <c r="J371" s="6" t="n">
        <f aca="false">FLOOR(H371,Assumptions!$B$8)</f>
        <v>128200</v>
      </c>
      <c r="K371" s="6" t="n">
        <f aca="false">ROUNDUP(H371,Assumptions!$B$9)</f>
        <v>128223</v>
      </c>
      <c r="L371" s="6" t="n">
        <f aca="false">ROUNDDOWN(H371,Assumptions!$B$10)</f>
        <v>128222</v>
      </c>
    </row>
    <row r="372" customFormat="false" ht="15" hidden="false" customHeight="false" outlineLevel="0" collapsed="false">
      <c r="A372" s="5" t="s">
        <v>415</v>
      </c>
      <c r="B372" s="6" t="n">
        <f aca="false">ROUND(CohortData!G372*CohortData!I372,2)</f>
        <v>44550</v>
      </c>
      <c r="C372" s="6" t="n">
        <f aca="false">ROUND(CohortData!L372*Assumptions!$B$4*CohortData!I372,2)</f>
        <v>5940</v>
      </c>
      <c r="D372" s="6" t="n">
        <f aca="false">ROUND(CohortData!E372*Assumptions!$B$5*CohortData!I372,2)</f>
        <v>2700</v>
      </c>
      <c r="E372" s="6" t="n">
        <f aca="false">ROUND(B372*Assumptions!$B$3,2)</f>
        <v>1559.25</v>
      </c>
      <c r="F372" s="6" t="n">
        <f aca="false">ROUND(B372*Assumptions!$B$6,2)</f>
        <v>668.25</v>
      </c>
      <c r="G372" s="6" t="n">
        <f aca="false">ROUND(CohortData!G372*CohortData!I372-CohortData!G372*Assumptions!$B$7,2)</f>
        <v>0</v>
      </c>
      <c r="H372" s="7" t="n">
        <f aca="false">SUM(B372:E372,F372:G372)</f>
        <v>55417.5</v>
      </c>
      <c r="I372" s="6" t="n">
        <f aca="false">CEILING(H372,Assumptions!$B$8)</f>
        <v>55500</v>
      </c>
      <c r="J372" s="6" t="n">
        <f aca="false">FLOOR(H372,Assumptions!$B$8)</f>
        <v>55400</v>
      </c>
      <c r="K372" s="6" t="n">
        <f aca="false">ROUNDUP(H372,Assumptions!$B$9)</f>
        <v>55418</v>
      </c>
      <c r="L372" s="6" t="n">
        <f aca="false">ROUNDDOWN(H372,Assumptions!$B$10)</f>
        <v>55417</v>
      </c>
    </row>
    <row r="373" customFormat="false" ht="15" hidden="false" customHeight="false" outlineLevel="0" collapsed="false">
      <c r="A373" s="5" t="s">
        <v>416</v>
      </c>
      <c r="B373" s="6" t="n">
        <f aca="false">ROUND(CohortData!G373*CohortData!I373,2)</f>
        <v>150288</v>
      </c>
      <c r="C373" s="6" t="n">
        <f aca="false">ROUND(CohortData!L373*Assumptions!$B$4*CohortData!I373,2)</f>
        <v>20038.4</v>
      </c>
      <c r="D373" s="6" t="n">
        <f aca="false">ROUND(CohortData!E373*Assumptions!$B$5*CohortData!I373,2)</f>
        <v>8080</v>
      </c>
      <c r="E373" s="6" t="n">
        <f aca="false">ROUND(B373*Assumptions!$B$3,2)</f>
        <v>5260.08</v>
      </c>
      <c r="F373" s="6" t="n">
        <f aca="false">ROUND(B373*Assumptions!$B$6,2)</f>
        <v>2254.32</v>
      </c>
      <c r="G373" s="6" t="n">
        <f aca="false">ROUND(CohortData!G373*CohortData!I373-CohortData!G373*Assumptions!$B$7,2)</f>
        <v>0</v>
      </c>
      <c r="H373" s="7" t="n">
        <f aca="false">SUM(B373:E373,F373:G373)</f>
        <v>185920.8</v>
      </c>
      <c r="I373" s="6" t="n">
        <f aca="false">CEILING(H373,Assumptions!$B$8)</f>
        <v>186000</v>
      </c>
      <c r="J373" s="6" t="n">
        <f aca="false">FLOOR(H373,Assumptions!$B$8)</f>
        <v>185900</v>
      </c>
      <c r="K373" s="6" t="n">
        <f aca="false">ROUNDUP(H373,Assumptions!$B$9)</f>
        <v>185921</v>
      </c>
      <c r="L373" s="6" t="n">
        <f aca="false">ROUNDDOWN(H373,Assumptions!$B$10)</f>
        <v>185920</v>
      </c>
    </row>
    <row r="374" customFormat="false" ht="15" hidden="false" customHeight="false" outlineLevel="0" collapsed="false">
      <c r="A374" s="5" t="s">
        <v>417</v>
      </c>
      <c r="B374" s="6" t="n">
        <f aca="false">ROUND(CohortData!G374*CohortData!I374,2)</f>
        <v>56280</v>
      </c>
      <c r="C374" s="6" t="n">
        <f aca="false">ROUND(CohortData!L374*Assumptions!$B$4*CohortData!I374,2)</f>
        <v>7504</v>
      </c>
      <c r="D374" s="6" t="n">
        <f aca="false">ROUND(CohortData!E374*Assumptions!$B$5*CohortData!I374,2)</f>
        <v>2680</v>
      </c>
      <c r="E374" s="6" t="n">
        <f aca="false">ROUND(B374*Assumptions!$B$3,2)</f>
        <v>1969.8</v>
      </c>
      <c r="F374" s="6" t="n">
        <f aca="false">ROUND(B374*Assumptions!$B$6,2)</f>
        <v>844.2</v>
      </c>
      <c r="G374" s="6" t="n">
        <f aca="false">ROUND(CohortData!G374*CohortData!I374-CohortData!G374*Assumptions!$B$7,2)</f>
        <v>0</v>
      </c>
      <c r="H374" s="7" t="n">
        <f aca="false">SUM(B374:E374,F374:G374)</f>
        <v>69278</v>
      </c>
      <c r="I374" s="6" t="n">
        <f aca="false">CEILING(H374,Assumptions!$B$8)</f>
        <v>69300</v>
      </c>
      <c r="J374" s="6" t="n">
        <f aca="false">FLOOR(H374,Assumptions!$B$8)</f>
        <v>69200</v>
      </c>
      <c r="K374" s="6" t="n">
        <f aca="false">ROUNDUP(H374,Assumptions!$B$9)</f>
        <v>69278</v>
      </c>
      <c r="L374" s="6" t="n">
        <f aca="false">ROUNDDOWN(H374,Assumptions!$B$10)</f>
        <v>69278</v>
      </c>
    </row>
    <row r="375" customFormat="false" ht="15" hidden="false" customHeight="false" outlineLevel="0" collapsed="false">
      <c r="A375" s="5" t="s">
        <v>418</v>
      </c>
      <c r="B375" s="6" t="n">
        <f aca="false">ROUND(CohortData!G375*CohortData!I375,2)</f>
        <v>168877.5</v>
      </c>
      <c r="C375" s="6" t="n">
        <f aca="false">ROUND(CohortData!L375*Assumptions!$B$4*CohortData!I375,2)</f>
        <v>22517</v>
      </c>
      <c r="D375" s="6" t="n">
        <f aca="false">ROUND(CohortData!E375*Assumptions!$B$5*CohortData!I375,2)</f>
        <v>10235</v>
      </c>
      <c r="E375" s="6" t="n">
        <f aca="false">ROUND(B375*Assumptions!$B$3,2)</f>
        <v>5910.71</v>
      </c>
      <c r="F375" s="6" t="n">
        <f aca="false">ROUND(B375*Assumptions!$B$6,2)</f>
        <v>2533.16</v>
      </c>
      <c r="G375" s="6" t="n">
        <f aca="false">ROUND(CohortData!G375*CohortData!I375-CohortData!G375*Assumptions!$B$7,2)</f>
        <v>22027.5</v>
      </c>
      <c r="H375" s="7" t="n">
        <f aca="false">SUM(B375:E375,F375:G375)</f>
        <v>232100.87</v>
      </c>
      <c r="I375" s="6" t="n">
        <f aca="false">CEILING(H375,Assumptions!$B$8)</f>
        <v>232200</v>
      </c>
      <c r="J375" s="6" t="n">
        <f aca="false">FLOOR(H375,Assumptions!$B$8)</f>
        <v>232100</v>
      </c>
      <c r="K375" s="6" t="n">
        <f aca="false">ROUNDUP(H375,Assumptions!$B$9)</f>
        <v>232101</v>
      </c>
      <c r="L375" s="6" t="n">
        <f aca="false">ROUNDDOWN(H375,Assumptions!$B$10)</f>
        <v>232100</v>
      </c>
    </row>
    <row r="376" customFormat="false" ht="15" hidden="false" customHeight="false" outlineLevel="0" collapsed="false">
      <c r="A376" s="5" t="s">
        <v>419</v>
      </c>
      <c r="B376" s="6" t="n">
        <f aca="false">ROUND(CohortData!G376*CohortData!I376,2)</f>
        <v>81840</v>
      </c>
      <c r="C376" s="6" t="n">
        <f aca="false">ROUND(CohortData!L376*Assumptions!$B$4*CohortData!I376,2)</f>
        <v>10912</v>
      </c>
      <c r="D376" s="6" t="n">
        <f aca="false">ROUND(CohortData!E376*Assumptions!$B$5*CohortData!I376,2)</f>
        <v>4400</v>
      </c>
      <c r="E376" s="6" t="n">
        <f aca="false">ROUND(B376*Assumptions!$B$3,2)</f>
        <v>2864.4</v>
      </c>
      <c r="F376" s="6" t="n">
        <f aca="false">ROUND(B376*Assumptions!$B$6,2)</f>
        <v>1227.6</v>
      </c>
      <c r="G376" s="6" t="n">
        <f aca="false">ROUND(CohortData!G376*CohortData!I376-CohortData!G376*Assumptions!$B$7,2)</f>
        <v>0</v>
      </c>
      <c r="H376" s="7" t="n">
        <f aca="false">SUM(B376:E376,F376:G376)</f>
        <v>101244</v>
      </c>
      <c r="I376" s="6" t="n">
        <f aca="false">CEILING(H376,Assumptions!$B$8)</f>
        <v>101300</v>
      </c>
      <c r="J376" s="6" t="n">
        <f aca="false">FLOOR(H376,Assumptions!$B$8)</f>
        <v>101200</v>
      </c>
      <c r="K376" s="6" t="n">
        <f aca="false">ROUNDUP(H376,Assumptions!$B$9)</f>
        <v>101244</v>
      </c>
      <c r="L376" s="6" t="n">
        <f aca="false">ROUNDDOWN(H376,Assumptions!$B$10)</f>
        <v>101244</v>
      </c>
    </row>
    <row r="377" customFormat="false" ht="15" hidden="false" customHeight="false" outlineLevel="0" collapsed="false">
      <c r="A377" s="5" t="s">
        <v>420</v>
      </c>
      <c r="B377" s="6" t="n">
        <f aca="false">ROUND(CohortData!G377*CohortData!I377,2)</f>
        <v>128520</v>
      </c>
      <c r="C377" s="6" t="n">
        <f aca="false">ROUND(CohortData!L377*Assumptions!$B$4*CohortData!I377,2)</f>
        <v>0</v>
      </c>
      <c r="D377" s="6" t="n">
        <f aca="false">ROUND(CohortData!E377*Assumptions!$B$5*CohortData!I377,2)</f>
        <v>6120</v>
      </c>
      <c r="E377" s="6" t="n">
        <f aca="false">ROUND(B377*Assumptions!$B$3,2)</f>
        <v>4498.2</v>
      </c>
      <c r="F377" s="6" t="n">
        <f aca="false">ROUND(B377*Assumptions!$B$6,2)</f>
        <v>1927.8</v>
      </c>
      <c r="G377" s="6" t="n">
        <f aca="false">ROUND(CohortData!G377*CohortData!I377-CohortData!G377*Assumptions!$B$7,2)</f>
        <v>0</v>
      </c>
      <c r="H377" s="7" t="n">
        <f aca="false">SUM(B377:E377,F377:G377)</f>
        <v>141066</v>
      </c>
      <c r="I377" s="6" t="n">
        <f aca="false">CEILING(H377,Assumptions!$B$8)</f>
        <v>141100</v>
      </c>
      <c r="J377" s="6" t="n">
        <f aca="false">FLOOR(H377,Assumptions!$B$8)</f>
        <v>141000</v>
      </c>
      <c r="K377" s="6" t="n">
        <f aca="false">ROUNDUP(H377,Assumptions!$B$9)</f>
        <v>141066</v>
      </c>
      <c r="L377" s="6" t="n">
        <f aca="false">ROUNDDOWN(H377,Assumptions!$B$10)</f>
        <v>141066</v>
      </c>
    </row>
    <row r="378" customFormat="false" ht="15" hidden="false" customHeight="false" outlineLevel="0" collapsed="false">
      <c r="A378" s="5" t="s">
        <v>421</v>
      </c>
      <c r="B378" s="6" t="n">
        <f aca="false">ROUND(CohortData!G378*CohortData!I378,2)</f>
        <v>53130</v>
      </c>
      <c r="C378" s="6" t="n">
        <f aca="false">ROUND(CohortData!L378*Assumptions!$B$4*CohortData!I378,2)</f>
        <v>7084</v>
      </c>
      <c r="D378" s="6" t="n">
        <f aca="false">ROUND(CohortData!E378*Assumptions!$B$5*CohortData!I378,2)</f>
        <v>3220</v>
      </c>
      <c r="E378" s="6" t="n">
        <f aca="false">ROUND(B378*Assumptions!$B$3,2)</f>
        <v>1859.55</v>
      </c>
      <c r="F378" s="6" t="n">
        <f aca="false">ROUND(B378*Assumptions!$B$6,2)</f>
        <v>796.95</v>
      </c>
      <c r="G378" s="6" t="n">
        <f aca="false">ROUND(CohortData!G378*CohortData!I378-CohortData!G378*Assumptions!$B$7,2)</f>
        <v>0</v>
      </c>
      <c r="H378" s="7" t="n">
        <f aca="false">SUM(B378:E378,F378:G378)</f>
        <v>66090.5</v>
      </c>
      <c r="I378" s="6" t="n">
        <f aca="false">CEILING(H378,Assumptions!$B$8)</f>
        <v>66100</v>
      </c>
      <c r="J378" s="6" t="n">
        <f aca="false">FLOOR(H378,Assumptions!$B$8)</f>
        <v>66000</v>
      </c>
      <c r="K378" s="6" t="n">
        <f aca="false">ROUNDUP(H378,Assumptions!$B$9)</f>
        <v>66091</v>
      </c>
      <c r="L378" s="6" t="n">
        <f aca="false">ROUNDDOWN(H378,Assumptions!$B$10)</f>
        <v>66090</v>
      </c>
    </row>
    <row r="379" customFormat="false" ht="15" hidden="false" customHeight="false" outlineLevel="0" collapsed="false">
      <c r="A379" s="5" t="s">
        <v>422</v>
      </c>
      <c r="B379" s="6" t="n">
        <f aca="false">ROUND(CohortData!G379*CohortData!I379,2)</f>
        <v>167269.8</v>
      </c>
      <c r="C379" s="6" t="n">
        <f aca="false">ROUND(CohortData!L379*Assumptions!$B$4*CohortData!I379,2)</f>
        <v>22302.64</v>
      </c>
      <c r="D379" s="6" t="n">
        <f aca="false">ROUND(CohortData!E379*Assumptions!$B$5*CohortData!I379,2)</f>
        <v>8993</v>
      </c>
      <c r="E379" s="6" t="n">
        <f aca="false">ROUND(B379*Assumptions!$B$3,2)</f>
        <v>5854.44</v>
      </c>
      <c r="F379" s="6" t="n">
        <f aca="false">ROUND(B379*Assumptions!$B$6,2)</f>
        <v>2509.05</v>
      </c>
      <c r="G379" s="6" t="n">
        <f aca="false">ROUND(CohortData!G379*CohortData!I379-CohortData!G379*Assumptions!$B$7,2)</f>
        <v>21817.8</v>
      </c>
      <c r="H379" s="7" t="n">
        <f aca="false">SUM(B379:E379,F379:G379)</f>
        <v>228746.73</v>
      </c>
      <c r="I379" s="6" t="n">
        <f aca="false">CEILING(H379,Assumptions!$B$8)</f>
        <v>228800</v>
      </c>
      <c r="J379" s="6" t="n">
        <f aca="false">FLOOR(H379,Assumptions!$B$8)</f>
        <v>228700</v>
      </c>
      <c r="K379" s="6" t="n">
        <f aca="false">ROUNDUP(H379,Assumptions!$B$9)</f>
        <v>228747</v>
      </c>
      <c r="L379" s="6" t="n">
        <f aca="false">ROUNDDOWN(H379,Assumptions!$B$10)</f>
        <v>228746</v>
      </c>
    </row>
    <row r="380" customFormat="false" ht="15" hidden="false" customHeight="false" outlineLevel="0" collapsed="false">
      <c r="A380" s="5" t="s">
        <v>423</v>
      </c>
      <c r="B380" s="6" t="n">
        <f aca="false">ROUND(CohortData!G380*CohortData!I380,2)</f>
        <v>94920</v>
      </c>
      <c r="C380" s="6" t="n">
        <f aca="false">ROUND(CohortData!L380*Assumptions!$B$4*CohortData!I380,2)</f>
        <v>12656</v>
      </c>
      <c r="D380" s="6" t="n">
        <f aca="false">ROUND(CohortData!E380*Assumptions!$B$5*CohortData!I380,2)</f>
        <v>4520</v>
      </c>
      <c r="E380" s="6" t="n">
        <f aca="false">ROUND(B380*Assumptions!$B$3,2)</f>
        <v>3322.2</v>
      </c>
      <c r="F380" s="6" t="n">
        <f aca="false">ROUND(B380*Assumptions!$B$6,2)</f>
        <v>1423.8</v>
      </c>
      <c r="G380" s="6" t="n">
        <f aca="false">ROUND(CohortData!G380*CohortData!I380-CohortData!G380*Assumptions!$B$7,2)</f>
        <v>0</v>
      </c>
      <c r="H380" s="7" t="n">
        <f aca="false">SUM(B380:E380,F380:G380)</f>
        <v>116842</v>
      </c>
      <c r="I380" s="6" t="n">
        <f aca="false">CEILING(H380,Assumptions!$B$8)</f>
        <v>116900</v>
      </c>
      <c r="J380" s="6" t="n">
        <f aca="false">FLOOR(H380,Assumptions!$B$8)</f>
        <v>116800</v>
      </c>
      <c r="K380" s="6" t="n">
        <f aca="false">ROUNDUP(H380,Assumptions!$B$9)</f>
        <v>116842</v>
      </c>
      <c r="L380" s="6" t="n">
        <f aca="false">ROUNDDOWN(H380,Assumptions!$B$10)</f>
        <v>116842</v>
      </c>
    </row>
    <row r="381" customFormat="false" ht="15" hidden="false" customHeight="false" outlineLevel="0" collapsed="false">
      <c r="A381" s="5" t="s">
        <v>424</v>
      </c>
      <c r="B381" s="6" t="n">
        <f aca="false">ROUND(CohortData!G381*CohortData!I381,2)</f>
        <v>130680</v>
      </c>
      <c r="C381" s="6" t="n">
        <f aca="false">ROUND(CohortData!L381*Assumptions!$B$4*CohortData!I381,2)</f>
        <v>17424</v>
      </c>
      <c r="D381" s="6" t="n">
        <f aca="false">ROUND(CohortData!E381*Assumptions!$B$5*CohortData!I381,2)</f>
        <v>7920</v>
      </c>
      <c r="E381" s="6" t="n">
        <f aca="false">ROUND(B381*Assumptions!$B$3,2)</f>
        <v>4573.8</v>
      </c>
      <c r="F381" s="6" t="n">
        <f aca="false">ROUND(B381*Assumptions!$B$6,2)</f>
        <v>1960.2</v>
      </c>
      <c r="G381" s="6" t="n">
        <f aca="false">ROUND(CohortData!G381*CohortData!I381-CohortData!G381*Assumptions!$B$7,2)</f>
        <v>0</v>
      </c>
      <c r="H381" s="7" t="n">
        <f aca="false">SUM(B381:E381,F381:G381)</f>
        <v>162558</v>
      </c>
      <c r="I381" s="6" t="n">
        <f aca="false">CEILING(H381,Assumptions!$B$8)</f>
        <v>162600</v>
      </c>
      <c r="J381" s="6" t="n">
        <f aca="false">FLOOR(H381,Assumptions!$B$8)</f>
        <v>162500</v>
      </c>
      <c r="K381" s="6" t="n">
        <f aca="false">ROUNDUP(H381,Assumptions!$B$9)</f>
        <v>162558</v>
      </c>
      <c r="L381" s="6" t="n">
        <f aca="false">ROUNDDOWN(H381,Assumptions!$B$10)</f>
        <v>162558</v>
      </c>
    </row>
    <row r="382" customFormat="false" ht="15" hidden="false" customHeight="false" outlineLevel="0" collapsed="false">
      <c r="A382" s="5" t="s">
        <v>425</v>
      </c>
      <c r="B382" s="6" t="n">
        <f aca="false">ROUND(CohortData!G382*CohortData!I382,2)</f>
        <v>150288</v>
      </c>
      <c r="C382" s="6" t="n">
        <f aca="false">ROUND(CohortData!L382*Assumptions!$B$4*CohortData!I382,2)</f>
        <v>20038.4</v>
      </c>
      <c r="D382" s="6" t="n">
        <f aca="false">ROUND(CohortData!E382*Assumptions!$B$5*CohortData!I382,2)</f>
        <v>8080</v>
      </c>
      <c r="E382" s="6" t="n">
        <f aca="false">ROUND(B382*Assumptions!$B$3,2)</f>
        <v>5260.08</v>
      </c>
      <c r="F382" s="6" t="n">
        <f aca="false">ROUND(B382*Assumptions!$B$6,2)</f>
        <v>2254.32</v>
      </c>
      <c r="G382" s="6" t="n">
        <f aca="false">ROUND(CohortData!G382*CohortData!I382-CohortData!G382*Assumptions!$B$7,2)</f>
        <v>0</v>
      </c>
      <c r="H382" s="7" t="n">
        <f aca="false">SUM(B382:E382,F382:G382)</f>
        <v>185920.8</v>
      </c>
      <c r="I382" s="6" t="n">
        <f aca="false">CEILING(H382,Assumptions!$B$8)</f>
        <v>186000</v>
      </c>
      <c r="J382" s="6" t="n">
        <f aca="false">FLOOR(H382,Assumptions!$B$8)</f>
        <v>185900</v>
      </c>
      <c r="K382" s="6" t="n">
        <f aca="false">ROUNDUP(H382,Assumptions!$B$9)</f>
        <v>185921</v>
      </c>
      <c r="L382" s="6" t="n">
        <f aca="false">ROUNDDOWN(H382,Assumptions!$B$10)</f>
        <v>185920</v>
      </c>
    </row>
    <row r="383" customFormat="false" ht="15" hidden="false" customHeight="false" outlineLevel="0" collapsed="false">
      <c r="A383" s="5" t="s">
        <v>426</v>
      </c>
      <c r="B383" s="6" t="n">
        <f aca="false">ROUND(CohortData!G383*CohortData!I383,2)</f>
        <v>57960</v>
      </c>
      <c r="C383" s="6" t="n">
        <f aca="false">ROUND(CohortData!L383*Assumptions!$B$4*CohortData!I383,2)</f>
        <v>7728</v>
      </c>
      <c r="D383" s="6" t="n">
        <f aca="false">ROUND(CohortData!E383*Assumptions!$B$5*CohortData!I383,2)</f>
        <v>2760</v>
      </c>
      <c r="E383" s="6" t="n">
        <f aca="false">ROUND(B383*Assumptions!$B$3,2)</f>
        <v>2028.6</v>
      </c>
      <c r="F383" s="6" t="n">
        <f aca="false">ROUND(B383*Assumptions!$B$6,2)</f>
        <v>869.4</v>
      </c>
      <c r="G383" s="6" t="n">
        <f aca="false">ROUND(CohortData!G383*CohortData!I383-CohortData!G383*Assumptions!$B$7,2)</f>
        <v>7560</v>
      </c>
      <c r="H383" s="7" t="n">
        <f aca="false">SUM(B383:E383,F383:G383)</f>
        <v>78906</v>
      </c>
      <c r="I383" s="6" t="n">
        <f aca="false">CEILING(H383,Assumptions!$B$8)</f>
        <v>79000</v>
      </c>
      <c r="J383" s="6" t="n">
        <f aca="false">FLOOR(H383,Assumptions!$B$8)</f>
        <v>78900</v>
      </c>
      <c r="K383" s="6" t="n">
        <f aca="false">ROUNDUP(H383,Assumptions!$B$9)</f>
        <v>78906</v>
      </c>
      <c r="L383" s="6" t="n">
        <f aca="false">ROUNDDOWN(H383,Assumptions!$B$10)</f>
        <v>78906</v>
      </c>
    </row>
    <row r="384" customFormat="false" ht="15" hidden="false" customHeight="false" outlineLevel="0" collapsed="false">
      <c r="A384" s="5" t="s">
        <v>427</v>
      </c>
      <c r="B384" s="6" t="n">
        <f aca="false">ROUND(CohortData!G384*CohortData!I384,2)</f>
        <v>137610</v>
      </c>
      <c r="C384" s="6" t="n">
        <f aca="false">ROUND(CohortData!L384*Assumptions!$B$4*CohortData!I384,2)</f>
        <v>18348</v>
      </c>
      <c r="D384" s="6" t="n">
        <f aca="false">ROUND(CohortData!E384*Assumptions!$B$5*CohortData!I384,2)</f>
        <v>8340</v>
      </c>
      <c r="E384" s="6" t="n">
        <f aca="false">ROUND(B384*Assumptions!$B$3,2)</f>
        <v>4816.35</v>
      </c>
      <c r="F384" s="6" t="n">
        <f aca="false">ROUND(B384*Assumptions!$B$6,2)</f>
        <v>2064.15</v>
      </c>
      <c r="G384" s="6" t="n">
        <f aca="false">ROUND(CohortData!G384*CohortData!I384-CohortData!G384*Assumptions!$B$7,2)</f>
        <v>0</v>
      </c>
      <c r="H384" s="7" t="n">
        <f aca="false">SUM(B384:E384,F384:G384)</f>
        <v>171178.5</v>
      </c>
      <c r="I384" s="6" t="n">
        <f aca="false">CEILING(H384,Assumptions!$B$8)</f>
        <v>171200</v>
      </c>
      <c r="J384" s="6" t="n">
        <f aca="false">FLOOR(H384,Assumptions!$B$8)</f>
        <v>171100</v>
      </c>
      <c r="K384" s="6" t="n">
        <f aca="false">ROUNDUP(H384,Assumptions!$B$9)</f>
        <v>171179</v>
      </c>
      <c r="L384" s="6" t="n">
        <f aca="false">ROUNDDOWN(H384,Assumptions!$B$10)</f>
        <v>171178</v>
      </c>
    </row>
    <row r="385" customFormat="false" ht="15" hidden="false" customHeight="false" outlineLevel="0" collapsed="false">
      <c r="A385" s="5" t="s">
        <v>428</v>
      </c>
      <c r="B385" s="6" t="n">
        <f aca="false">ROUND(CohortData!G385*CohortData!I385,2)</f>
        <v>52452</v>
      </c>
      <c r="C385" s="6" t="n">
        <f aca="false">ROUND(CohortData!L385*Assumptions!$B$4*CohortData!I385,2)</f>
        <v>6993.6</v>
      </c>
      <c r="D385" s="6" t="n">
        <f aca="false">ROUND(CohortData!E385*Assumptions!$B$5*CohortData!I385,2)</f>
        <v>2820</v>
      </c>
      <c r="E385" s="6" t="n">
        <f aca="false">ROUND(B385*Assumptions!$B$3,2)</f>
        <v>1835.82</v>
      </c>
      <c r="F385" s="6" t="n">
        <f aca="false">ROUND(B385*Assumptions!$B$6,2)</f>
        <v>786.78</v>
      </c>
      <c r="G385" s="6" t="n">
        <f aca="false">ROUND(CohortData!G385*CohortData!I385-CohortData!G385*Assumptions!$B$7,2)</f>
        <v>0</v>
      </c>
      <c r="H385" s="7" t="n">
        <f aca="false">SUM(B385:E385,F385:G385)</f>
        <v>64888.2</v>
      </c>
      <c r="I385" s="6" t="n">
        <f aca="false">CEILING(H385,Assumptions!$B$8)</f>
        <v>64900</v>
      </c>
      <c r="J385" s="6" t="n">
        <f aca="false">FLOOR(H385,Assumptions!$B$8)</f>
        <v>64800</v>
      </c>
      <c r="K385" s="6" t="n">
        <f aca="false">ROUNDUP(H385,Assumptions!$B$9)</f>
        <v>64889</v>
      </c>
      <c r="L385" s="6" t="n">
        <f aca="false">ROUNDDOWN(H385,Assumptions!$B$10)</f>
        <v>64888</v>
      </c>
    </row>
    <row r="386" customFormat="false" ht="15" hidden="false" customHeight="false" outlineLevel="0" collapsed="false">
      <c r="A386" s="5" t="s">
        <v>429</v>
      </c>
      <c r="B386" s="6" t="n">
        <f aca="false">ROUND(CohortData!G386*CohortData!I386,2)</f>
        <v>131880</v>
      </c>
      <c r="C386" s="6" t="n">
        <f aca="false">ROUND(CohortData!L386*Assumptions!$B$4*CohortData!I386,2)</f>
        <v>17584</v>
      </c>
      <c r="D386" s="6" t="n">
        <f aca="false">ROUND(CohortData!E386*Assumptions!$B$5*CohortData!I386,2)</f>
        <v>6280</v>
      </c>
      <c r="E386" s="6" t="n">
        <f aca="false">ROUND(B386*Assumptions!$B$3,2)</f>
        <v>4615.8</v>
      </c>
      <c r="F386" s="6" t="n">
        <f aca="false">ROUND(B386*Assumptions!$B$6,2)</f>
        <v>1978.2</v>
      </c>
      <c r="G386" s="6" t="n">
        <f aca="false">ROUND(CohortData!G386*CohortData!I386-CohortData!G386*Assumptions!$B$7,2)</f>
        <v>0</v>
      </c>
      <c r="H386" s="7" t="n">
        <f aca="false">SUM(B386:E386,F386:G386)</f>
        <v>162338</v>
      </c>
      <c r="I386" s="6" t="n">
        <f aca="false">CEILING(H386,Assumptions!$B$8)</f>
        <v>162400</v>
      </c>
      <c r="J386" s="6" t="n">
        <f aca="false">FLOOR(H386,Assumptions!$B$8)</f>
        <v>162300</v>
      </c>
      <c r="K386" s="6" t="n">
        <f aca="false">ROUNDUP(H386,Assumptions!$B$9)</f>
        <v>162338</v>
      </c>
      <c r="L386" s="6" t="n">
        <f aca="false">ROUNDDOWN(H386,Assumptions!$B$10)</f>
        <v>162338</v>
      </c>
    </row>
    <row r="387" customFormat="false" ht="15" hidden="false" customHeight="false" outlineLevel="0" collapsed="false">
      <c r="A387" s="5" t="s">
        <v>430</v>
      </c>
      <c r="B387" s="6" t="n">
        <f aca="false">ROUND(CohortData!G387*CohortData!I387,2)</f>
        <v>165462</v>
      </c>
      <c r="C387" s="6" t="n">
        <f aca="false">ROUND(CohortData!L387*Assumptions!$B$4*CohortData!I387,2)</f>
        <v>22061.6</v>
      </c>
      <c r="D387" s="6" t="n">
        <f aca="false">ROUND(CohortData!E387*Assumptions!$B$5*CohortData!I387,2)</f>
        <v>10028</v>
      </c>
      <c r="E387" s="6" t="n">
        <f aca="false">ROUND(B387*Assumptions!$B$3,2)</f>
        <v>5791.17</v>
      </c>
      <c r="F387" s="6" t="n">
        <f aca="false">ROUND(B387*Assumptions!$B$6,2)</f>
        <v>2481.93</v>
      </c>
      <c r="G387" s="6" t="n">
        <f aca="false">ROUND(CohortData!G387*CohortData!I387-CohortData!G387*Assumptions!$B$7,2)</f>
        <v>21582</v>
      </c>
      <c r="H387" s="7" t="n">
        <f aca="false">SUM(B387:E387,F387:G387)</f>
        <v>227406.7</v>
      </c>
      <c r="I387" s="6" t="n">
        <f aca="false">CEILING(H387,Assumptions!$B$8)</f>
        <v>227500</v>
      </c>
      <c r="J387" s="6" t="n">
        <f aca="false">FLOOR(H387,Assumptions!$B$8)</f>
        <v>227400</v>
      </c>
      <c r="K387" s="6" t="n">
        <f aca="false">ROUNDUP(H387,Assumptions!$B$9)</f>
        <v>227407</v>
      </c>
      <c r="L387" s="6" t="n">
        <f aca="false">ROUNDDOWN(H387,Assumptions!$B$10)</f>
        <v>227406</v>
      </c>
    </row>
    <row r="388" customFormat="false" ht="15" hidden="false" customHeight="false" outlineLevel="0" collapsed="false">
      <c r="A388" s="5" t="s">
        <v>431</v>
      </c>
      <c r="B388" s="6" t="n">
        <f aca="false">ROUND(CohortData!G388*CohortData!I388,2)</f>
        <v>148056</v>
      </c>
      <c r="C388" s="6" t="n">
        <f aca="false">ROUND(CohortData!L388*Assumptions!$B$4*CohortData!I388,2)</f>
        <v>19740.8</v>
      </c>
      <c r="D388" s="6" t="n">
        <f aca="false">ROUND(CohortData!E388*Assumptions!$B$5*CohortData!I388,2)</f>
        <v>7960</v>
      </c>
      <c r="E388" s="6" t="n">
        <f aca="false">ROUND(B388*Assumptions!$B$3,2)</f>
        <v>5181.96</v>
      </c>
      <c r="F388" s="6" t="n">
        <f aca="false">ROUND(B388*Assumptions!$B$6,2)</f>
        <v>2220.84</v>
      </c>
      <c r="G388" s="6" t="n">
        <f aca="false">ROUND(CohortData!G388*CohortData!I388-CohortData!G388*Assumptions!$B$7,2)</f>
        <v>0</v>
      </c>
      <c r="H388" s="7" t="n">
        <f aca="false">SUM(B388:E388,F388:G388)</f>
        <v>183159.6</v>
      </c>
      <c r="I388" s="6" t="n">
        <f aca="false">CEILING(H388,Assumptions!$B$8)</f>
        <v>183200</v>
      </c>
      <c r="J388" s="6" t="n">
        <f aca="false">FLOOR(H388,Assumptions!$B$8)</f>
        <v>183100</v>
      </c>
      <c r="K388" s="6" t="n">
        <f aca="false">ROUNDUP(H388,Assumptions!$B$9)</f>
        <v>183160</v>
      </c>
      <c r="L388" s="6" t="n">
        <f aca="false">ROUNDDOWN(H388,Assumptions!$B$10)</f>
        <v>183159</v>
      </c>
    </row>
    <row r="389" customFormat="false" ht="15" hidden="false" customHeight="false" outlineLevel="0" collapsed="false">
      <c r="A389" s="5" t="s">
        <v>432</v>
      </c>
      <c r="B389" s="6" t="n">
        <f aca="false">ROUND(CohortData!G389*CohortData!I389,2)</f>
        <v>163380</v>
      </c>
      <c r="C389" s="6" t="n">
        <f aca="false">ROUND(CohortData!L389*Assumptions!$B$4*CohortData!I389,2)</f>
        <v>21784</v>
      </c>
      <c r="D389" s="6" t="n">
        <f aca="false">ROUND(CohortData!E389*Assumptions!$B$5*CohortData!I389,2)</f>
        <v>7780</v>
      </c>
      <c r="E389" s="6" t="n">
        <f aca="false">ROUND(B389*Assumptions!$B$3,2)</f>
        <v>5718.3</v>
      </c>
      <c r="F389" s="6" t="n">
        <f aca="false">ROUND(B389*Assumptions!$B$6,2)</f>
        <v>2450.7</v>
      </c>
      <c r="G389" s="6" t="n">
        <f aca="false">ROUND(CohortData!G389*CohortData!I389-CohortData!G389*Assumptions!$B$7,2)</f>
        <v>0</v>
      </c>
      <c r="H389" s="7" t="n">
        <f aca="false">SUM(B389:E389,F389:G389)</f>
        <v>201113</v>
      </c>
      <c r="I389" s="6" t="n">
        <f aca="false">CEILING(H389,Assumptions!$B$8)</f>
        <v>201200</v>
      </c>
      <c r="J389" s="6" t="n">
        <f aca="false">FLOOR(H389,Assumptions!$B$8)</f>
        <v>201100</v>
      </c>
      <c r="K389" s="6" t="n">
        <f aca="false">ROUNDUP(H389,Assumptions!$B$9)</f>
        <v>201113</v>
      </c>
      <c r="L389" s="6" t="n">
        <f aca="false">ROUNDDOWN(H389,Assumptions!$B$10)</f>
        <v>201113</v>
      </c>
    </row>
    <row r="390" customFormat="false" ht="15" hidden="false" customHeight="false" outlineLevel="0" collapsed="false">
      <c r="A390" s="5" t="s">
        <v>433</v>
      </c>
      <c r="B390" s="6" t="n">
        <f aca="false">ROUND(CohortData!G390*CohortData!I390,2)</f>
        <v>121110</v>
      </c>
      <c r="C390" s="6" t="n">
        <f aca="false">ROUND(CohortData!L390*Assumptions!$B$4*CohortData!I390,2)</f>
        <v>16148</v>
      </c>
      <c r="D390" s="6" t="n">
        <f aca="false">ROUND(CohortData!E390*Assumptions!$B$5*CohortData!I390,2)</f>
        <v>7340</v>
      </c>
      <c r="E390" s="6" t="n">
        <f aca="false">ROUND(B390*Assumptions!$B$3,2)</f>
        <v>4238.85</v>
      </c>
      <c r="F390" s="6" t="n">
        <f aca="false">ROUND(B390*Assumptions!$B$6,2)</f>
        <v>1816.65</v>
      </c>
      <c r="G390" s="6" t="n">
        <f aca="false">ROUND(CohortData!G390*CohortData!I390-CohortData!G390*Assumptions!$B$7,2)</f>
        <v>0</v>
      </c>
      <c r="H390" s="7" t="n">
        <f aca="false">SUM(B390:E390,F390:G390)</f>
        <v>150653.5</v>
      </c>
      <c r="I390" s="6" t="n">
        <f aca="false">CEILING(H390,Assumptions!$B$8)</f>
        <v>150700</v>
      </c>
      <c r="J390" s="6" t="n">
        <f aca="false">FLOOR(H390,Assumptions!$B$8)</f>
        <v>150600</v>
      </c>
      <c r="K390" s="6" t="n">
        <f aca="false">ROUNDUP(H390,Assumptions!$B$9)</f>
        <v>150654</v>
      </c>
      <c r="L390" s="6" t="n">
        <f aca="false">ROUNDDOWN(H390,Assumptions!$B$10)</f>
        <v>150653</v>
      </c>
    </row>
    <row r="391" customFormat="false" ht="15" hidden="false" customHeight="false" outlineLevel="0" collapsed="false">
      <c r="A391" s="5" t="s">
        <v>434</v>
      </c>
      <c r="B391" s="6" t="n">
        <f aca="false">ROUND(CohortData!G391*CohortData!I391,2)</f>
        <v>111655.8</v>
      </c>
      <c r="C391" s="6" t="n">
        <f aca="false">ROUND(CohortData!L391*Assumptions!$B$4*CohortData!I391,2)</f>
        <v>14887.44</v>
      </c>
      <c r="D391" s="6" t="n">
        <f aca="false">ROUND(CohortData!E391*Assumptions!$B$5*CohortData!I391,2)</f>
        <v>6003</v>
      </c>
      <c r="E391" s="6" t="n">
        <f aca="false">ROUND(B391*Assumptions!$B$3,2)</f>
        <v>3907.95</v>
      </c>
      <c r="F391" s="6" t="n">
        <f aca="false">ROUND(B391*Assumptions!$B$6,2)</f>
        <v>1674.84</v>
      </c>
      <c r="G391" s="6" t="n">
        <f aca="false">ROUND(CohortData!G391*CohortData!I391-CohortData!G391*Assumptions!$B$7,2)</f>
        <v>14563.8</v>
      </c>
      <c r="H391" s="7" t="n">
        <f aca="false">SUM(B391:E391,F391:G391)</f>
        <v>152692.83</v>
      </c>
      <c r="I391" s="6" t="n">
        <f aca="false">CEILING(H391,Assumptions!$B$8)</f>
        <v>152700</v>
      </c>
      <c r="J391" s="6" t="n">
        <f aca="false">FLOOR(H391,Assumptions!$B$8)</f>
        <v>152600</v>
      </c>
      <c r="K391" s="6" t="n">
        <f aca="false">ROUNDUP(H391,Assumptions!$B$9)</f>
        <v>152693</v>
      </c>
      <c r="L391" s="6" t="n">
        <f aca="false">ROUNDDOWN(H391,Assumptions!$B$10)</f>
        <v>152692</v>
      </c>
    </row>
    <row r="392" customFormat="false" ht="15" hidden="false" customHeight="false" outlineLevel="0" collapsed="false">
      <c r="A392" s="5" t="s">
        <v>435</v>
      </c>
      <c r="B392" s="6" t="n">
        <f aca="false">ROUND(CohortData!G392*CohortData!I392,2)</f>
        <v>97860</v>
      </c>
      <c r="C392" s="6" t="n">
        <f aca="false">ROUND(CohortData!L392*Assumptions!$B$4*CohortData!I392,2)</f>
        <v>13048</v>
      </c>
      <c r="D392" s="6" t="n">
        <f aca="false">ROUND(CohortData!E392*Assumptions!$B$5*CohortData!I392,2)</f>
        <v>4660</v>
      </c>
      <c r="E392" s="6" t="n">
        <f aca="false">ROUND(B392*Assumptions!$B$3,2)</f>
        <v>3425.1</v>
      </c>
      <c r="F392" s="6" t="n">
        <f aca="false">ROUND(B392*Assumptions!$B$6,2)</f>
        <v>1467.9</v>
      </c>
      <c r="G392" s="6" t="n">
        <f aca="false">ROUND(CohortData!G392*CohortData!I392-CohortData!G392*Assumptions!$B$7,2)</f>
        <v>0</v>
      </c>
      <c r="H392" s="7" t="n">
        <f aca="false">SUM(B392:E392,F392:G392)</f>
        <v>120461</v>
      </c>
      <c r="I392" s="6" t="n">
        <f aca="false">CEILING(H392,Assumptions!$B$8)</f>
        <v>120500</v>
      </c>
      <c r="J392" s="6" t="n">
        <f aca="false">FLOOR(H392,Assumptions!$B$8)</f>
        <v>120400</v>
      </c>
      <c r="K392" s="6" t="n">
        <f aca="false">ROUNDUP(H392,Assumptions!$B$9)</f>
        <v>120461</v>
      </c>
      <c r="L392" s="6" t="n">
        <f aca="false">ROUNDDOWN(H392,Assumptions!$B$10)</f>
        <v>120461</v>
      </c>
    </row>
    <row r="393" customFormat="false" ht="15" hidden="false" customHeight="false" outlineLevel="0" collapsed="false">
      <c r="A393" s="5" t="s">
        <v>436</v>
      </c>
      <c r="B393" s="6" t="n">
        <f aca="false">ROUND(CohortData!G393*CohortData!I393,2)</f>
        <v>67320</v>
      </c>
      <c r="C393" s="6" t="n">
        <f aca="false">ROUND(CohortData!L393*Assumptions!$B$4*CohortData!I393,2)</f>
        <v>8976</v>
      </c>
      <c r="D393" s="6" t="n">
        <f aca="false">ROUND(CohortData!E393*Assumptions!$B$5*CohortData!I393,2)</f>
        <v>4080</v>
      </c>
      <c r="E393" s="6" t="n">
        <f aca="false">ROUND(B393*Assumptions!$B$3,2)</f>
        <v>2356.2</v>
      </c>
      <c r="F393" s="6" t="n">
        <f aca="false">ROUND(B393*Assumptions!$B$6,2)</f>
        <v>1009.8</v>
      </c>
      <c r="G393" s="6" t="n">
        <f aca="false">ROUND(CohortData!G393*CohortData!I393-CohortData!G393*Assumptions!$B$7,2)</f>
        <v>0</v>
      </c>
      <c r="H393" s="7" t="n">
        <f aca="false">SUM(B393:E393,F393:G393)</f>
        <v>83742</v>
      </c>
      <c r="I393" s="6" t="n">
        <f aca="false">CEILING(H393,Assumptions!$B$8)</f>
        <v>83800</v>
      </c>
      <c r="J393" s="6" t="n">
        <f aca="false">FLOOR(H393,Assumptions!$B$8)</f>
        <v>83700</v>
      </c>
      <c r="K393" s="6" t="n">
        <f aca="false">ROUNDUP(H393,Assumptions!$B$9)</f>
        <v>83742</v>
      </c>
      <c r="L393" s="6" t="n">
        <f aca="false">ROUNDDOWN(H393,Assumptions!$B$10)</f>
        <v>83742</v>
      </c>
    </row>
    <row r="394" customFormat="false" ht="15" hidden="false" customHeight="false" outlineLevel="0" collapsed="false">
      <c r="A394" s="5" t="s">
        <v>437</v>
      </c>
      <c r="B394" s="6" t="n">
        <f aca="false">ROUND(CohortData!G394*CohortData!I394,2)</f>
        <v>164424</v>
      </c>
      <c r="C394" s="6" t="n">
        <f aca="false">ROUND(CohortData!L394*Assumptions!$B$4*CohortData!I394,2)</f>
        <v>0</v>
      </c>
      <c r="D394" s="6" t="n">
        <f aca="false">ROUND(CohortData!E394*Assumptions!$B$5*CohortData!I394,2)</f>
        <v>8840</v>
      </c>
      <c r="E394" s="6" t="n">
        <f aca="false">ROUND(B394*Assumptions!$B$3,2)</f>
        <v>5754.84</v>
      </c>
      <c r="F394" s="6" t="n">
        <f aca="false">ROUND(B394*Assumptions!$B$6,2)</f>
        <v>2466.36</v>
      </c>
      <c r="G394" s="6" t="n">
        <f aca="false">ROUND(CohortData!G394*CohortData!I394-CohortData!G394*Assumptions!$B$7,2)</f>
        <v>0</v>
      </c>
      <c r="H394" s="7" t="n">
        <f aca="false">SUM(B394:E394,F394:G394)</f>
        <v>181485.2</v>
      </c>
      <c r="I394" s="6" t="n">
        <f aca="false">CEILING(H394,Assumptions!$B$8)</f>
        <v>181500</v>
      </c>
      <c r="J394" s="6" t="n">
        <f aca="false">FLOOR(H394,Assumptions!$B$8)</f>
        <v>181400</v>
      </c>
      <c r="K394" s="6" t="n">
        <f aca="false">ROUNDUP(H394,Assumptions!$B$9)</f>
        <v>181486</v>
      </c>
      <c r="L394" s="6" t="n">
        <f aca="false">ROUNDDOWN(H394,Assumptions!$B$10)</f>
        <v>181485</v>
      </c>
    </row>
    <row r="395" customFormat="false" ht="15" hidden="false" customHeight="false" outlineLevel="0" collapsed="false">
      <c r="A395" s="5" t="s">
        <v>438</v>
      </c>
      <c r="B395" s="6" t="n">
        <f aca="false">ROUND(CohortData!G395*CohortData!I395,2)</f>
        <v>225078</v>
      </c>
      <c r="C395" s="6" t="n">
        <f aca="false">ROUND(CohortData!L395*Assumptions!$B$4*CohortData!I395,2)</f>
        <v>30010.4</v>
      </c>
      <c r="D395" s="6" t="n">
        <f aca="false">ROUND(CohortData!E395*Assumptions!$B$5*CohortData!I395,2)</f>
        <v>10718</v>
      </c>
      <c r="E395" s="6" t="n">
        <f aca="false">ROUND(B395*Assumptions!$B$3,2)</f>
        <v>7877.73</v>
      </c>
      <c r="F395" s="6" t="n">
        <f aca="false">ROUND(B395*Assumptions!$B$6,2)</f>
        <v>3376.17</v>
      </c>
      <c r="G395" s="6" t="n">
        <f aca="false">ROUND(CohortData!G395*CohortData!I395-CohortData!G395*Assumptions!$B$7,2)</f>
        <v>29358</v>
      </c>
      <c r="H395" s="7" t="n">
        <f aca="false">SUM(B395:E395,F395:G395)</f>
        <v>306418.3</v>
      </c>
      <c r="I395" s="6" t="n">
        <f aca="false">CEILING(H395,Assumptions!$B$8)</f>
        <v>306500</v>
      </c>
      <c r="J395" s="6" t="n">
        <f aca="false">FLOOR(H395,Assumptions!$B$8)</f>
        <v>306400</v>
      </c>
      <c r="K395" s="6" t="n">
        <f aca="false">ROUNDUP(H395,Assumptions!$B$9)</f>
        <v>306419</v>
      </c>
      <c r="L395" s="6" t="n">
        <f aca="false">ROUNDDOWN(H395,Assumptions!$B$10)</f>
        <v>306418</v>
      </c>
    </row>
    <row r="396" customFormat="false" ht="15" hidden="false" customHeight="false" outlineLevel="0" collapsed="false">
      <c r="A396" s="5" t="s">
        <v>439</v>
      </c>
      <c r="B396" s="6" t="n">
        <f aca="false">ROUND(CohortData!G396*CohortData!I396,2)</f>
        <v>85800</v>
      </c>
      <c r="C396" s="6" t="n">
        <f aca="false">ROUND(CohortData!L396*Assumptions!$B$4*CohortData!I396,2)</f>
        <v>11440</v>
      </c>
      <c r="D396" s="6" t="n">
        <f aca="false">ROUND(CohortData!E396*Assumptions!$B$5*CohortData!I396,2)</f>
        <v>5200</v>
      </c>
      <c r="E396" s="6" t="n">
        <f aca="false">ROUND(B396*Assumptions!$B$3,2)</f>
        <v>3003</v>
      </c>
      <c r="F396" s="6" t="n">
        <f aca="false">ROUND(B396*Assumptions!$B$6,2)</f>
        <v>1287</v>
      </c>
      <c r="G396" s="6" t="n">
        <f aca="false">ROUND(CohortData!G396*CohortData!I396-CohortData!G396*Assumptions!$B$7,2)</f>
        <v>0</v>
      </c>
      <c r="H396" s="7" t="n">
        <f aca="false">SUM(B396:E396,F396:G396)</f>
        <v>106730</v>
      </c>
      <c r="I396" s="6" t="n">
        <f aca="false">CEILING(H396,Assumptions!$B$8)</f>
        <v>106800</v>
      </c>
      <c r="J396" s="6" t="n">
        <f aca="false">FLOOR(H396,Assumptions!$B$8)</f>
        <v>106700</v>
      </c>
      <c r="K396" s="6" t="n">
        <f aca="false">ROUNDUP(H396,Assumptions!$B$9)</f>
        <v>106730</v>
      </c>
      <c r="L396" s="6" t="n">
        <f aca="false">ROUNDDOWN(H396,Assumptions!$B$10)</f>
        <v>106730</v>
      </c>
    </row>
    <row r="397" customFormat="false" ht="15" hidden="false" customHeight="false" outlineLevel="0" collapsed="false">
      <c r="A397" s="5" t="s">
        <v>440</v>
      </c>
      <c r="B397" s="6" t="n">
        <f aca="false">ROUND(CohortData!G397*CohortData!I397,2)</f>
        <v>82584</v>
      </c>
      <c r="C397" s="6" t="n">
        <f aca="false">ROUND(CohortData!L397*Assumptions!$B$4*CohortData!I397,2)</f>
        <v>11011.2</v>
      </c>
      <c r="D397" s="6" t="n">
        <f aca="false">ROUND(CohortData!E397*Assumptions!$B$5*CohortData!I397,2)</f>
        <v>4440</v>
      </c>
      <c r="E397" s="6" t="n">
        <f aca="false">ROUND(B397*Assumptions!$B$3,2)</f>
        <v>2890.44</v>
      </c>
      <c r="F397" s="6" t="n">
        <f aca="false">ROUND(B397*Assumptions!$B$6,2)</f>
        <v>1238.76</v>
      </c>
      <c r="G397" s="6" t="n">
        <f aca="false">ROUND(CohortData!G397*CohortData!I397-CohortData!G397*Assumptions!$B$7,2)</f>
        <v>0</v>
      </c>
      <c r="H397" s="7" t="n">
        <f aca="false">SUM(B397:E397,F397:G397)</f>
        <v>102164.4</v>
      </c>
      <c r="I397" s="6" t="n">
        <f aca="false">CEILING(H397,Assumptions!$B$8)</f>
        <v>102200</v>
      </c>
      <c r="J397" s="6" t="n">
        <f aca="false">FLOOR(H397,Assumptions!$B$8)</f>
        <v>102100</v>
      </c>
      <c r="K397" s="6" t="n">
        <f aca="false">ROUNDUP(H397,Assumptions!$B$9)</f>
        <v>102165</v>
      </c>
      <c r="L397" s="6" t="n">
        <f aca="false">ROUNDDOWN(H397,Assumptions!$B$10)</f>
        <v>102164</v>
      </c>
    </row>
    <row r="398" customFormat="false" ht="15" hidden="false" customHeight="false" outlineLevel="0" collapsed="false">
      <c r="A398" s="5" t="s">
        <v>441</v>
      </c>
      <c r="B398" s="6" t="n">
        <f aca="false">ROUND(CohortData!G398*CohortData!I398,2)</f>
        <v>98700</v>
      </c>
      <c r="C398" s="6" t="n">
        <f aca="false">ROUND(CohortData!L398*Assumptions!$B$4*CohortData!I398,2)</f>
        <v>13160</v>
      </c>
      <c r="D398" s="6" t="n">
        <f aca="false">ROUND(CohortData!E398*Assumptions!$B$5*CohortData!I398,2)</f>
        <v>4700</v>
      </c>
      <c r="E398" s="6" t="n">
        <f aca="false">ROUND(B398*Assumptions!$B$3,2)</f>
        <v>3454.5</v>
      </c>
      <c r="F398" s="6" t="n">
        <f aca="false">ROUND(B398*Assumptions!$B$6,2)</f>
        <v>1480.5</v>
      </c>
      <c r="G398" s="6" t="n">
        <f aca="false">ROUND(CohortData!G398*CohortData!I398-CohortData!G398*Assumptions!$B$7,2)</f>
        <v>0</v>
      </c>
      <c r="H398" s="7" t="n">
        <f aca="false">SUM(B398:E398,F398:G398)</f>
        <v>121495</v>
      </c>
      <c r="I398" s="6" t="n">
        <f aca="false">CEILING(H398,Assumptions!$B$8)</f>
        <v>121500</v>
      </c>
      <c r="J398" s="6" t="n">
        <f aca="false">FLOOR(H398,Assumptions!$B$8)</f>
        <v>121400</v>
      </c>
      <c r="K398" s="6" t="n">
        <f aca="false">ROUNDUP(H398,Assumptions!$B$9)</f>
        <v>121495</v>
      </c>
      <c r="L398" s="6" t="n">
        <f aca="false">ROUNDDOWN(H398,Assumptions!$B$10)</f>
        <v>121495</v>
      </c>
    </row>
    <row r="399" customFormat="false" ht="15" hidden="false" customHeight="false" outlineLevel="0" collapsed="false">
      <c r="A399" s="5" t="s">
        <v>442</v>
      </c>
      <c r="B399" s="6" t="n">
        <f aca="false">ROUND(CohortData!G399*CohortData!I399,2)</f>
        <v>114609</v>
      </c>
      <c r="C399" s="6" t="n">
        <f aca="false">ROUND(CohortData!L399*Assumptions!$B$4*CohortData!I399,2)</f>
        <v>15281.2</v>
      </c>
      <c r="D399" s="6" t="n">
        <f aca="false">ROUND(CohortData!E399*Assumptions!$B$5*CohortData!I399,2)</f>
        <v>6946</v>
      </c>
      <c r="E399" s="6" t="n">
        <f aca="false">ROUND(B399*Assumptions!$B$3,2)</f>
        <v>4011.32</v>
      </c>
      <c r="F399" s="6" t="n">
        <f aca="false">ROUND(B399*Assumptions!$B$6,2)</f>
        <v>1719.14</v>
      </c>
      <c r="G399" s="6" t="n">
        <f aca="false">ROUND(CohortData!G399*CohortData!I399-CohortData!G399*Assumptions!$B$7,2)</f>
        <v>14949</v>
      </c>
      <c r="H399" s="7" t="n">
        <f aca="false">SUM(B399:E399,F399:G399)</f>
        <v>157515.66</v>
      </c>
      <c r="I399" s="6" t="n">
        <f aca="false">CEILING(H399,Assumptions!$B$8)</f>
        <v>157600</v>
      </c>
      <c r="J399" s="6" t="n">
        <f aca="false">FLOOR(H399,Assumptions!$B$8)</f>
        <v>157500</v>
      </c>
      <c r="K399" s="6" t="n">
        <f aca="false">ROUNDUP(H399,Assumptions!$B$9)</f>
        <v>157516</v>
      </c>
      <c r="L399" s="6" t="n">
        <f aca="false">ROUNDDOWN(H399,Assumptions!$B$10)</f>
        <v>157515</v>
      </c>
    </row>
    <row r="400" customFormat="false" ht="15" hidden="false" customHeight="false" outlineLevel="0" collapsed="false">
      <c r="A400" s="5" t="s">
        <v>443</v>
      </c>
      <c r="B400" s="6" t="n">
        <f aca="false">ROUND(CohortData!G400*CohortData!I400,2)</f>
        <v>62124</v>
      </c>
      <c r="C400" s="6" t="n">
        <f aca="false">ROUND(CohortData!L400*Assumptions!$B$4*CohortData!I400,2)</f>
        <v>8283.2</v>
      </c>
      <c r="D400" s="6" t="n">
        <f aca="false">ROUND(CohortData!E400*Assumptions!$B$5*CohortData!I400,2)</f>
        <v>3340</v>
      </c>
      <c r="E400" s="6" t="n">
        <f aca="false">ROUND(B400*Assumptions!$B$3,2)</f>
        <v>2174.34</v>
      </c>
      <c r="F400" s="6" t="n">
        <f aca="false">ROUND(B400*Assumptions!$B$6,2)</f>
        <v>931.86</v>
      </c>
      <c r="G400" s="6" t="n">
        <f aca="false">ROUND(CohortData!G400*CohortData!I400-CohortData!G400*Assumptions!$B$7,2)</f>
        <v>0</v>
      </c>
      <c r="H400" s="7" t="n">
        <f aca="false">SUM(B400:E400,F400:G400)</f>
        <v>76853.4</v>
      </c>
      <c r="I400" s="6" t="n">
        <f aca="false">CEILING(H400,Assumptions!$B$8)</f>
        <v>76900</v>
      </c>
      <c r="J400" s="6" t="n">
        <f aca="false">FLOOR(H400,Assumptions!$B$8)</f>
        <v>76800</v>
      </c>
      <c r="K400" s="6" t="n">
        <f aca="false">ROUNDUP(H400,Assumptions!$B$9)</f>
        <v>76854</v>
      </c>
      <c r="L400" s="6" t="n">
        <f aca="false">ROUNDDOWN(H400,Assumptions!$B$10)</f>
        <v>76853</v>
      </c>
    </row>
    <row r="401" customFormat="false" ht="15" hidden="false" customHeight="false" outlineLevel="0" collapsed="false">
      <c r="A401" s="5" t="s">
        <v>444</v>
      </c>
      <c r="B401" s="6" t="n">
        <f aca="false">ROUND(CohortData!G401*CohortData!I401,2)</f>
        <v>186060</v>
      </c>
      <c r="C401" s="6" t="n">
        <f aca="false">ROUND(CohortData!L401*Assumptions!$B$4*CohortData!I401,2)</f>
        <v>24808</v>
      </c>
      <c r="D401" s="6" t="n">
        <f aca="false">ROUND(CohortData!E401*Assumptions!$B$5*CohortData!I401,2)</f>
        <v>8860</v>
      </c>
      <c r="E401" s="6" t="n">
        <f aca="false">ROUND(B401*Assumptions!$B$3,2)</f>
        <v>6512.1</v>
      </c>
      <c r="F401" s="6" t="n">
        <f aca="false">ROUND(B401*Assumptions!$B$6,2)</f>
        <v>2790.9</v>
      </c>
      <c r="G401" s="6" t="n">
        <f aca="false">ROUND(CohortData!G401*CohortData!I401-CohortData!G401*Assumptions!$B$7,2)</f>
        <v>0</v>
      </c>
      <c r="H401" s="7" t="n">
        <f aca="false">SUM(B401:E401,F401:G401)</f>
        <v>229031</v>
      </c>
      <c r="I401" s="6" t="n">
        <f aca="false">CEILING(H401,Assumptions!$B$8)</f>
        <v>229100</v>
      </c>
      <c r="J401" s="6" t="n">
        <f aca="false">FLOOR(H401,Assumptions!$B$8)</f>
        <v>229000</v>
      </c>
      <c r="K401" s="6" t="n">
        <f aca="false">ROUNDUP(H401,Assumptions!$B$9)</f>
        <v>229031</v>
      </c>
      <c r="L401" s="6" t="n">
        <f aca="false">ROUNDDOWN(H401,Assumptions!$B$10)</f>
        <v>229031</v>
      </c>
    </row>
    <row r="402" customFormat="false" ht="15" hidden="false" customHeight="false" outlineLevel="0" collapsed="false">
      <c r="A402" s="5" t="s">
        <v>445</v>
      </c>
      <c r="B402" s="6" t="n">
        <f aca="false">ROUND(CohortData!G402*CohortData!I402,2)</f>
        <v>141900</v>
      </c>
      <c r="C402" s="6" t="n">
        <f aca="false">ROUND(CohortData!L402*Assumptions!$B$4*CohortData!I402,2)</f>
        <v>18920</v>
      </c>
      <c r="D402" s="6" t="n">
        <f aca="false">ROUND(CohortData!E402*Assumptions!$B$5*CohortData!I402,2)</f>
        <v>8600</v>
      </c>
      <c r="E402" s="6" t="n">
        <f aca="false">ROUND(B402*Assumptions!$B$3,2)</f>
        <v>4966.5</v>
      </c>
      <c r="F402" s="6" t="n">
        <f aca="false">ROUND(B402*Assumptions!$B$6,2)</f>
        <v>2128.5</v>
      </c>
      <c r="G402" s="6" t="n">
        <f aca="false">ROUND(CohortData!G402*CohortData!I402-CohortData!G402*Assumptions!$B$7,2)</f>
        <v>0</v>
      </c>
      <c r="H402" s="7" t="n">
        <f aca="false">SUM(B402:E402,F402:G402)</f>
        <v>176515</v>
      </c>
      <c r="I402" s="6" t="n">
        <f aca="false">CEILING(H402,Assumptions!$B$8)</f>
        <v>176600</v>
      </c>
      <c r="J402" s="6" t="n">
        <f aca="false">FLOOR(H402,Assumptions!$B$8)</f>
        <v>176500</v>
      </c>
      <c r="K402" s="6" t="n">
        <f aca="false">ROUNDUP(H402,Assumptions!$B$9)</f>
        <v>176515</v>
      </c>
      <c r="L402" s="6" t="n">
        <f aca="false">ROUNDDOWN(H402,Assumptions!$B$10)</f>
        <v>176515</v>
      </c>
    </row>
    <row r="403" customFormat="false" ht="15" hidden="false" customHeight="false" outlineLevel="0" collapsed="false">
      <c r="A403" s="5" t="s">
        <v>446</v>
      </c>
      <c r="B403" s="6" t="n">
        <f aca="false">ROUND(CohortData!G403*CohortData!I403,2)</f>
        <v>108233.4</v>
      </c>
      <c r="C403" s="6" t="n">
        <f aca="false">ROUND(CohortData!L403*Assumptions!$B$4*CohortData!I403,2)</f>
        <v>14431.12</v>
      </c>
      <c r="D403" s="6" t="n">
        <f aca="false">ROUND(CohortData!E403*Assumptions!$B$5*CohortData!I403,2)</f>
        <v>5819</v>
      </c>
      <c r="E403" s="6" t="n">
        <f aca="false">ROUND(B403*Assumptions!$B$3,2)</f>
        <v>3788.17</v>
      </c>
      <c r="F403" s="6" t="n">
        <f aca="false">ROUND(B403*Assumptions!$B$6,2)</f>
        <v>1623.5</v>
      </c>
      <c r="G403" s="6" t="n">
        <f aca="false">ROUND(CohortData!G403*CohortData!I403-CohortData!G403*Assumptions!$B$7,2)</f>
        <v>14117.4</v>
      </c>
      <c r="H403" s="7" t="n">
        <f aca="false">SUM(B403:E403,F403:G403)</f>
        <v>148012.59</v>
      </c>
      <c r="I403" s="6" t="n">
        <f aca="false">CEILING(H403,Assumptions!$B$8)</f>
        <v>148100</v>
      </c>
      <c r="J403" s="6" t="n">
        <f aca="false">FLOOR(H403,Assumptions!$B$8)</f>
        <v>148000</v>
      </c>
      <c r="K403" s="6" t="n">
        <f aca="false">ROUNDUP(H403,Assumptions!$B$9)</f>
        <v>148013</v>
      </c>
      <c r="L403" s="6" t="n">
        <f aca="false">ROUNDDOWN(H403,Assumptions!$B$10)</f>
        <v>148012</v>
      </c>
    </row>
    <row r="404" customFormat="false" ht="15" hidden="false" customHeight="false" outlineLevel="0" collapsed="false">
      <c r="A404" s="5" t="s">
        <v>447</v>
      </c>
      <c r="B404" s="6" t="n">
        <f aca="false">ROUND(CohortData!G404*CohortData!I404,2)</f>
        <v>140280</v>
      </c>
      <c r="C404" s="6" t="n">
        <f aca="false">ROUND(CohortData!L404*Assumptions!$B$4*CohortData!I404,2)</f>
        <v>18704</v>
      </c>
      <c r="D404" s="6" t="n">
        <f aca="false">ROUND(CohortData!E404*Assumptions!$B$5*CohortData!I404,2)</f>
        <v>6680</v>
      </c>
      <c r="E404" s="6" t="n">
        <f aca="false">ROUND(B404*Assumptions!$B$3,2)</f>
        <v>4909.8</v>
      </c>
      <c r="F404" s="6" t="n">
        <f aca="false">ROUND(B404*Assumptions!$B$6,2)</f>
        <v>2104.2</v>
      </c>
      <c r="G404" s="6" t="n">
        <f aca="false">ROUND(CohortData!G404*CohortData!I404-CohortData!G404*Assumptions!$B$7,2)</f>
        <v>0</v>
      </c>
      <c r="H404" s="7" t="n">
        <f aca="false">SUM(B404:E404,F404:G404)</f>
        <v>172678</v>
      </c>
      <c r="I404" s="6" t="n">
        <f aca="false">CEILING(H404,Assumptions!$B$8)</f>
        <v>172700</v>
      </c>
      <c r="J404" s="6" t="n">
        <f aca="false">FLOOR(H404,Assumptions!$B$8)</f>
        <v>172600</v>
      </c>
      <c r="K404" s="6" t="n">
        <f aca="false">ROUNDUP(H404,Assumptions!$B$9)</f>
        <v>172678</v>
      </c>
      <c r="L404" s="6" t="n">
        <f aca="false">ROUNDDOWN(H404,Assumptions!$B$10)</f>
        <v>172678</v>
      </c>
    </row>
    <row r="405" customFormat="false" ht="15" hidden="false" customHeight="false" outlineLevel="0" collapsed="false">
      <c r="A405" s="5" t="s">
        <v>448</v>
      </c>
      <c r="B405" s="6" t="n">
        <f aca="false">ROUND(CohortData!G405*CohortData!I405,2)</f>
        <v>86130</v>
      </c>
      <c r="C405" s="6" t="n">
        <f aca="false">ROUND(CohortData!L405*Assumptions!$B$4*CohortData!I405,2)</f>
        <v>11484</v>
      </c>
      <c r="D405" s="6" t="n">
        <f aca="false">ROUND(CohortData!E405*Assumptions!$B$5*CohortData!I405,2)</f>
        <v>5220</v>
      </c>
      <c r="E405" s="6" t="n">
        <f aca="false">ROUND(B405*Assumptions!$B$3,2)</f>
        <v>3014.55</v>
      </c>
      <c r="F405" s="6" t="n">
        <f aca="false">ROUND(B405*Assumptions!$B$6,2)</f>
        <v>1291.95</v>
      </c>
      <c r="G405" s="6" t="n">
        <f aca="false">ROUND(CohortData!G405*CohortData!I405-CohortData!G405*Assumptions!$B$7,2)</f>
        <v>0</v>
      </c>
      <c r="H405" s="7" t="n">
        <f aca="false">SUM(B405:E405,F405:G405)</f>
        <v>107140.5</v>
      </c>
      <c r="I405" s="6" t="n">
        <f aca="false">CEILING(H405,Assumptions!$B$8)</f>
        <v>107200</v>
      </c>
      <c r="J405" s="6" t="n">
        <f aca="false">FLOOR(H405,Assumptions!$B$8)</f>
        <v>107100</v>
      </c>
      <c r="K405" s="6" t="n">
        <f aca="false">ROUNDUP(H405,Assumptions!$B$9)</f>
        <v>107141</v>
      </c>
      <c r="L405" s="6" t="n">
        <f aca="false">ROUNDDOWN(H405,Assumptions!$B$10)</f>
        <v>107140</v>
      </c>
    </row>
    <row r="406" customFormat="false" ht="15" hidden="false" customHeight="false" outlineLevel="0" collapsed="false">
      <c r="A406" s="5" t="s">
        <v>449</v>
      </c>
      <c r="B406" s="6" t="n">
        <f aca="false">ROUND(CohortData!G406*CohortData!I406,2)</f>
        <v>180048</v>
      </c>
      <c r="C406" s="6" t="n">
        <f aca="false">ROUND(CohortData!L406*Assumptions!$B$4*CohortData!I406,2)</f>
        <v>24006.4</v>
      </c>
      <c r="D406" s="6" t="n">
        <f aca="false">ROUND(CohortData!E406*Assumptions!$B$5*CohortData!I406,2)</f>
        <v>9680</v>
      </c>
      <c r="E406" s="6" t="n">
        <f aca="false">ROUND(B406*Assumptions!$B$3,2)</f>
        <v>6301.68</v>
      </c>
      <c r="F406" s="6" t="n">
        <f aca="false">ROUND(B406*Assumptions!$B$6,2)</f>
        <v>2700.72</v>
      </c>
      <c r="G406" s="6" t="n">
        <f aca="false">ROUND(CohortData!G406*CohortData!I406-CohortData!G406*Assumptions!$B$7,2)</f>
        <v>0</v>
      </c>
      <c r="H406" s="7" t="n">
        <f aca="false">SUM(B406:E406,F406:G406)</f>
        <v>222736.8</v>
      </c>
      <c r="I406" s="6" t="n">
        <f aca="false">CEILING(H406,Assumptions!$B$8)</f>
        <v>222800</v>
      </c>
      <c r="J406" s="6" t="n">
        <f aca="false">FLOOR(H406,Assumptions!$B$8)</f>
        <v>222700</v>
      </c>
      <c r="K406" s="6" t="n">
        <f aca="false">ROUNDUP(H406,Assumptions!$B$9)</f>
        <v>222737</v>
      </c>
      <c r="L406" s="6" t="n">
        <f aca="false">ROUNDDOWN(H406,Assumptions!$B$10)</f>
        <v>222736</v>
      </c>
    </row>
    <row r="407" customFormat="false" ht="15" hidden="false" customHeight="false" outlineLevel="0" collapsed="false">
      <c r="A407" s="5" t="s">
        <v>450</v>
      </c>
      <c r="B407" s="6" t="n">
        <f aca="false">ROUND(CohortData!G407*CohortData!I407,2)</f>
        <v>66171</v>
      </c>
      <c r="C407" s="6" t="n">
        <f aca="false">ROUND(CohortData!L407*Assumptions!$B$4*CohortData!I407,2)</f>
        <v>8822.8</v>
      </c>
      <c r="D407" s="6" t="n">
        <f aca="false">ROUND(CohortData!E407*Assumptions!$B$5*CohortData!I407,2)</f>
        <v>3151</v>
      </c>
      <c r="E407" s="6" t="n">
        <f aca="false">ROUND(B407*Assumptions!$B$3,2)</f>
        <v>2315.99</v>
      </c>
      <c r="F407" s="6" t="n">
        <f aca="false">ROUND(B407*Assumptions!$B$6,2)</f>
        <v>992.57</v>
      </c>
      <c r="G407" s="6" t="n">
        <f aca="false">ROUND(CohortData!G407*CohortData!I407-CohortData!G407*Assumptions!$B$7,2)</f>
        <v>8631</v>
      </c>
      <c r="H407" s="7" t="n">
        <f aca="false">SUM(B407:E407,F407:G407)</f>
        <v>90084.36</v>
      </c>
      <c r="I407" s="6" t="n">
        <f aca="false">CEILING(H407,Assumptions!$B$8)</f>
        <v>90100</v>
      </c>
      <c r="J407" s="6" t="n">
        <f aca="false">FLOOR(H407,Assumptions!$B$8)</f>
        <v>90000</v>
      </c>
      <c r="K407" s="6" t="n">
        <f aca="false">ROUNDUP(H407,Assumptions!$B$9)</f>
        <v>90085</v>
      </c>
      <c r="L407" s="6" t="n">
        <f aca="false">ROUNDDOWN(H407,Assumptions!$B$10)</f>
        <v>90084</v>
      </c>
    </row>
    <row r="408" customFormat="false" ht="15" hidden="false" customHeight="false" outlineLevel="0" collapsed="false">
      <c r="A408" s="5" t="s">
        <v>451</v>
      </c>
      <c r="B408" s="6" t="n">
        <f aca="false">ROUND(CohortData!G408*CohortData!I408,2)</f>
        <v>34320</v>
      </c>
      <c r="C408" s="6" t="n">
        <f aca="false">ROUND(CohortData!L408*Assumptions!$B$4*CohortData!I408,2)</f>
        <v>4576</v>
      </c>
      <c r="D408" s="6" t="n">
        <f aca="false">ROUND(CohortData!E408*Assumptions!$B$5*CohortData!I408,2)</f>
        <v>2080</v>
      </c>
      <c r="E408" s="6" t="n">
        <f aca="false">ROUND(B408*Assumptions!$B$3,2)</f>
        <v>1201.2</v>
      </c>
      <c r="F408" s="6" t="n">
        <f aca="false">ROUND(B408*Assumptions!$B$6,2)</f>
        <v>514.8</v>
      </c>
      <c r="G408" s="6" t="n">
        <f aca="false">ROUND(CohortData!G408*CohortData!I408-CohortData!G408*Assumptions!$B$7,2)</f>
        <v>0</v>
      </c>
      <c r="H408" s="7" t="n">
        <f aca="false">SUM(B408:E408,F408:G408)</f>
        <v>42692</v>
      </c>
      <c r="I408" s="6" t="n">
        <f aca="false">CEILING(H408,Assumptions!$B$8)</f>
        <v>42700</v>
      </c>
      <c r="J408" s="6" t="n">
        <f aca="false">FLOOR(H408,Assumptions!$B$8)</f>
        <v>42600</v>
      </c>
      <c r="K408" s="6" t="n">
        <f aca="false">ROUNDUP(H408,Assumptions!$B$9)</f>
        <v>42692</v>
      </c>
      <c r="L408" s="6" t="n">
        <f aca="false">ROUNDDOWN(H408,Assumptions!$B$10)</f>
        <v>42692</v>
      </c>
    </row>
    <row r="409" customFormat="false" ht="15" hidden="false" customHeight="false" outlineLevel="0" collapsed="false">
      <c r="A409" s="5" t="s">
        <v>452</v>
      </c>
      <c r="B409" s="6" t="n">
        <f aca="false">ROUND(CohortData!G409*CohortData!I409,2)</f>
        <v>124248</v>
      </c>
      <c r="C409" s="6" t="n">
        <f aca="false">ROUND(CohortData!L409*Assumptions!$B$4*CohortData!I409,2)</f>
        <v>16566.4</v>
      </c>
      <c r="D409" s="6" t="n">
        <f aca="false">ROUND(CohortData!E409*Assumptions!$B$5*CohortData!I409,2)</f>
        <v>6680</v>
      </c>
      <c r="E409" s="6" t="n">
        <f aca="false">ROUND(B409*Assumptions!$B$3,2)</f>
        <v>4348.68</v>
      </c>
      <c r="F409" s="6" t="n">
        <f aca="false">ROUND(B409*Assumptions!$B$6,2)</f>
        <v>1863.72</v>
      </c>
      <c r="G409" s="6" t="n">
        <f aca="false">ROUND(CohortData!G409*CohortData!I409-CohortData!G409*Assumptions!$B$7,2)</f>
        <v>0</v>
      </c>
      <c r="H409" s="7" t="n">
        <f aca="false">SUM(B409:E409,F409:G409)</f>
        <v>153706.8</v>
      </c>
      <c r="I409" s="6" t="n">
        <f aca="false">CEILING(H409,Assumptions!$B$8)</f>
        <v>153800</v>
      </c>
      <c r="J409" s="6" t="n">
        <f aca="false">FLOOR(H409,Assumptions!$B$8)</f>
        <v>153700</v>
      </c>
      <c r="K409" s="6" t="n">
        <f aca="false">ROUNDUP(H409,Assumptions!$B$9)</f>
        <v>153707</v>
      </c>
      <c r="L409" s="6" t="n">
        <f aca="false">ROUNDDOWN(H409,Assumptions!$B$10)</f>
        <v>153706</v>
      </c>
    </row>
    <row r="410" customFormat="false" ht="15" hidden="false" customHeight="false" outlineLevel="0" collapsed="false">
      <c r="A410" s="5" t="s">
        <v>453</v>
      </c>
      <c r="B410" s="6" t="n">
        <f aca="false">ROUND(CohortData!G410*CohortData!I410,2)</f>
        <v>175560</v>
      </c>
      <c r="C410" s="6" t="n">
        <f aca="false">ROUND(CohortData!L410*Assumptions!$B$4*CohortData!I410,2)</f>
        <v>23408</v>
      </c>
      <c r="D410" s="6" t="n">
        <f aca="false">ROUND(CohortData!E410*Assumptions!$B$5*CohortData!I410,2)</f>
        <v>8360</v>
      </c>
      <c r="E410" s="6" t="n">
        <f aca="false">ROUND(B410*Assumptions!$B$3,2)</f>
        <v>6144.6</v>
      </c>
      <c r="F410" s="6" t="n">
        <f aca="false">ROUND(B410*Assumptions!$B$6,2)</f>
        <v>2633.4</v>
      </c>
      <c r="G410" s="6" t="n">
        <f aca="false">ROUND(CohortData!G410*CohortData!I410-CohortData!G410*Assumptions!$B$7,2)</f>
        <v>0</v>
      </c>
      <c r="H410" s="7" t="n">
        <f aca="false">SUM(B410:E410,F410:G410)</f>
        <v>216106</v>
      </c>
      <c r="I410" s="6" t="n">
        <f aca="false">CEILING(H410,Assumptions!$B$8)</f>
        <v>216200</v>
      </c>
      <c r="J410" s="6" t="n">
        <f aca="false">FLOOR(H410,Assumptions!$B$8)</f>
        <v>216100</v>
      </c>
      <c r="K410" s="6" t="n">
        <f aca="false">ROUNDUP(H410,Assumptions!$B$9)</f>
        <v>216106</v>
      </c>
      <c r="L410" s="6" t="n">
        <f aca="false">ROUNDDOWN(H410,Assumptions!$B$10)</f>
        <v>216106</v>
      </c>
    </row>
    <row r="411" customFormat="false" ht="15" hidden="false" customHeight="false" outlineLevel="0" collapsed="false">
      <c r="A411" s="5" t="s">
        <v>454</v>
      </c>
      <c r="B411" s="6" t="n">
        <f aca="false">ROUND(CohortData!G411*CohortData!I411,2)</f>
        <v>147246</v>
      </c>
      <c r="C411" s="6" t="n">
        <f aca="false">ROUND(CohortData!L411*Assumptions!$B$4*CohortData!I411,2)</f>
        <v>0</v>
      </c>
      <c r="D411" s="6" t="n">
        <f aca="false">ROUND(CohortData!E411*Assumptions!$B$5*CohortData!I411,2)</f>
        <v>8924</v>
      </c>
      <c r="E411" s="6" t="n">
        <f aca="false">ROUND(B411*Assumptions!$B$3,2)</f>
        <v>5153.61</v>
      </c>
      <c r="F411" s="6" t="n">
        <f aca="false">ROUND(B411*Assumptions!$B$6,2)</f>
        <v>2208.69</v>
      </c>
      <c r="G411" s="6" t="n">
        <f aca="false">ROUND(CohortData!G411*CohortData!I411-CohortData!G411*Assumptions!$B$7,2)</f>
        <v>19206</v>
      </c>
      <c r="H411" s="7" t="n">
        <f aca="false">SUM(B411:E411,F411:G411)</f>
        <v>182738.3</v>
      </c>
      <c r="I411" s="6" t="n">
        <f aca="false">CEILING(H411,Assumptions!$B$8)</f>
        <v>182800</v>
      </c>
      <c r="J411" s="6" t="n">
        <f aca="false">FLOOR(H411,Assumptions!$B$8)</f>
        <v>182700</v>
      </c>
      <c r="K411" s="6" t="n">
        <f aca="false">ROUNDUP(H411,Assumptions!$B$9)</f>
        <v>182739</v>
      </c>
      <c r="L411" s="6" t="n">
        <f aca="false">ROUNDDOWN(H411,Assumptions!$B$10)</f>
        <v>182738</v>
      </c>
    </row>
    <row r="412" customFormat="false" ht="15" hidden="false" customHeight="false" outlineLevel="0" collapsed="false">
      <c r="A412" s="5" t="s">
        <v>455</v>
      </c>
      <c r="B412" s="6" t="n">
        <f aca="false">ROUND(CohortData!G412*CohortData!I412,2)</f>
        <v>56172</v>
      </c>
      <c r="C412" s="6" t="n">
        <f aca="false">ROUND(CohortData!L412*Assumptions!$B$4*CohortData!I412,2)</f>
        <v>7489.6</v>
      </c>
      <c r="D412" s="6" t="n">
        <f aca="false">ROUND(CohortData!E412*Assumptions!$B$5*CohortData!I412,2)</f>
        <v>3020</v>
      </c>
      <c r="E412" s="6" t="n">
        <f aca="false">ROUND(B412*Assumptions!$B$3,2)</f>
        <v>1966.02</v>
      </c>
      <c r="F412" s="6" t="n">
        <f aca="false">ROUND(B412*Assumptions!$B$6,2)</f>
        <v>842.58</v>
      </c>
      <c r="G412" s="6" t="n">
        <f aca="false">ROUND(CohortData!G412*CohortData!I412-CohortData!G412*Assumptions!$B$7,2)</f>
        <v>0</v>
      </c>
      <c r="H412" s="7" t="n">
        <f aca="false">SUM(B412:E412,F412:G412)</f>
        <v>69490.2</v>
      </c>
      <c r="I412" s="6" t="n">
        <f aca="false">CEILING(H412,Assumptions!$B$8)</f>
        <v>69500</v>
      </c>
      <c r="J412" s="6" t="n">
        <f aca="false">FLOOR(H412,Assumptions!$B$8)</f>
        <v>69400</v>
      </c>
      <c r="K412" s="6" t="n">
        <f aca="false">ROUNDUP(H412,Assumptions!$B$9)</f>
        <v>69491</v>
      </c>
      <c r="L412" s="6" t="n">
        <f aca="false">ROUNDDOWN(H412,Assumptions!$B$10)</f>
        <v>69490</v>
      </c>
    </row>
    <row r="413" customFormat="false" ht="15" hidden="false" customHeight="false" outlineLevel="0" collapsed="false">
      <c r="A413" s="5" t="s">
        <v>456</v>
      </c>
      <c r="B413" s="6" t="n">
        <f aca="false">ROUND(CohortData!G413*CohortData!I413,2)</f>
        <v>57540</v>
      </c>
      <c r="C413" s="6" t="n">
        <f aca="false">ROUND(CohortData!L413*Assumptions!$B$4*CohortData!I413,2)</f>
        <v>7672</v>
      </c>
      <c r="D413" s="6" t="n">
        <f aca="false">ROUND(CohortData!E413*Assumptions!$B$5*CohortData!I413,2)</f>
        <v>2740</v>
      </c>
      <c r="E413" s="6" t="n">
        <f aca="false">ROUND(B413*Assumptions!$B$3,2)</f>
        <v>2013.9</v>
      </c>
      <c r="F413" s="6" t="n">
        <f aca="false">ROUND(B413*Assumptions!$B$6,2)</f>
        <v>863.1</v>
      </c>
      <c r="G413" s="6" t="n">
        <f aca="false">ROUND(CohortData!G413*CohortData!I413-CohortData!G413*Assumptions!$B$7,2)</f>
        <v>0</v>
      </c>
      <c r="H413" s="7" t="n">
        <f aca="false">SUM(B413:E413,F413:G413)</f>
        <v>70829</v>
      </c>
      <c r="I413" s="6" t="n">
        <f aca="false">CEILING(H413,Assumptions!$B$8)</f>
        <v>70900</v>
      </c>
      <c r="J413" s="6" t="n">
        <f aca="false">FLOOR(H413,Assumptions!$B$8)</f>
        <v>70800</v>
      </c>
      <c r="K413" s="6" t="n">
        <f aca="false">ROUNDUP(H413,Assumptions!$B$9)</f>
        <v>70829</v>
      </c>
      <c r="L413" s="6" t="n">
        <f aca="false">ROUNDDOWN(H413,Assumptions!$B$10)</f>
        <v>70829</v>
      </c>
    </row>
    <row r="414" customFormat="false" ht="15" hidden="false" customHeight="false" outlineLevel="0" collapsed="false">
      <c r="A414" s="5" t="s">
        <v>457</v>
      </c>
      <c r="B414" s="6" t="n">
        <f aca="false">ROUND(CohortData!G414*CohortData!I414,2)</f>
        <v>123750</v>
      </c>
      <c r="C414" s="6" t="n">
        <f aca="false">ROUND(CohortData!L414*Assumptions!$B$4*CohortData!I414,2)</f>
        <v>16500</v>
      </c>
      <c r="D414" s="6" t="n">
        <f aca="false">ROUND(CohortData!E414*Assumptions!$B$5*CohortData!I414,2)</f>
        <v>7500</v>
      </c>
      <c r="E414" s="6" t="n">
        <f aca="false">ROUND(B414*Assumptions!$B$3,2)</f>
        <v>4331.25</v>
      </c>
      <c r="F414" s="6" t="n">
        <f aca="false">ROUND(B414*Assumptions!$B$6,2)</f>
        <v>1856.25</v>
      </c>
      <c r="G414" s="6" t="n">
        <f aca="false">ROUND(CohortData!G414*CohortData!I414-CohortData!G414*Assumptions!$B$7,2)</f>
        <v>0</v>
      </c>
      <c r="H414" s="7" t="n">
        <f aca="false">SUM(B414:E414,F414:G414)</f>
        <v>153937.5</v>
      </c>
      <c r="I414" s="6" t="n">
        <f aca="false">CEILING(H414,Assumptions!$B$8)</f>
        <v>154000</v>
      </c>
      <c r="J414" s="6" t="n">
        <f aca="false">FLOOR(H414,Assumptions!$B$8)</f>
        <v>153900</v>
      </c>
      <c r="K414" s="6" t="n">
        <f aca="false">ROUNDUP(H414,Assumptions!$B$9)</f>
        <v>153938</v>
      </c>
      <c r="L414" s="6" t="n">
        <f aca="false">ROUNDDOWN(H414,Assumptions!$B$10)</f>
        <v>153937</v>
      </c>
    </row>
    <row r="415" customFormat="false" ht="15" hidden="false" customHeight="false" outlineLevel="0" collapsed="false">
      <c r="A415" s="5" t="s">
        <v>458</v>
      </c>
      <c r="B415" s="6" t="n">
        <f aca="false">ROUND(CohortData!G415*CohortData!I415,2)</f>
        <v>89410.2</v>
      </c>
      <c r="C415" s="6" t="n">
        <f aca="false">ROUND(CohortData!L415*Assumptions!$B$4*CohortData!I415,2)</f>
        <v>11921.36</v>
      </c>
      <c r="D415" s="6" t="n">
        <f aca="false">ROUND(CohortData!E415*Assumptions!$B$5*CohortData!I415,2)</f>
        <v>4807</v>
      </c>
      <c r="E415" s="6" t="n">
        <f aca="false">ROUND(B415*Assumptions!$B$3,2)</f>
        <v>3129.36</v>
      </c>
      <c r="F415" s="6" t="n">
        <f aca="false">ROUND(B415*Assumptions!$B$6,2)</f>
        <v>1341.15</v>
      </c>
      <c r="G415" s="6" t="n">
        <f aca="false">ROUND(CohortData!G415*CohortData!I415-CohortData!G415*Assumptions!$B$7,2)</f>
        <v>11662.2</v>
      </c>
      <c r="H415" s="7" t="n">
        <f aca="false">SUM(B415:E415,F415:G415)</f>
        <v>122271.27</v>
      </c>
      <c r="I415" s="6" t="n">
        <f aca="false">CEILING(H415,Assumptions!$B$8)</f>
        <v>122300</v>
      </c>
      <c r="J415" s="6" t="n">
        <f aca="false">FLOOR(H415,Assumptions!$B$8)</f>
        <v>122200</v>
      </c>
      <c r="K415" s="6" t="n">
        <f aca="false">ROUNDUP(H415,Assumptions!$B$9)</f>
        <v>122272</v>
      </c>
      <c r="L415" s="6" t="n">
        <f aca="false">ROUNDDOWN(H415,Assumptions!$B$10)</f>
        <v>122271</v>
      </c>
    </row>
    <row r="416" customFormat="false" ht="15" hidden="false" customHeight="false" outlineLevel="0" collapsed="false">
      <c r="A416" s="5" t="s">
        <v>459</v>
      </c>
      <c r="B416" s="6" t="n">
        <f aca="false">ROUND(CohortData!G416*CohortData!I416,2)</f>
        <v>150780</v>
      </c>
      <c r="C416" s="6" t="n">
        <f aca="false">ROUND(CohortData!L416*Assumptions!$B$4*CohortData!I416,2)</f>
        <v>20104</v>
      </c>
      <c r="D416" s="6" t="n">
        <f aca="false">ROUND(CohortData!E416*Assumptions!$B$5*CohortData!I416,2)</f>
        <v>7180</v>
      </c>
      <c r="E416" s="6" t="n">
        <f aca="false">ROUND(B416*Assumptions!$B$3,2)</f>
        <v>5277.3</v>
      </c>
      <c r="F416" s="6" t="n">
        <f aca="false">ROUND(B416*Assumptions!$B$6,2)</f>
        <v>2261.7</v>
      </c>
      <c r="G416" s="6" t="n">
        <f aca="false">ROUND(CohortData!G416*CohortData!I416-CohortData!G416*Assumptions!$B$7,2)</f>
        <v>0</v>
      </c>
      <c r="H416" s="7" t="n">
        <f aca="false">SUM(B416:E416,F416:G416)</f>
        <v>185603</v>
      </c>
      <c r="I416" s="6" t="n">
        <f aca="false">CEILING(H416,Assumptions!$B$8)</f>
        <v>185700</v>
      </c>
      <c r="J416" s="6" t="n">
        <f aca="false">FLOOR(H416,Assumptions!$B$8)</f>
        <v>185600</v>
      </c>
      <c r="K416" s="6" t="n">
        <f aca="false">ROUNDUP(H416,Assumptions!$B$9)</f>
        <v>185603</v>
      </c>
      <c r="L416" s="6" t="n">
        <f aca="false">ROUNDDOWN(H416,Assumptions!$B$10)</f>
        <v>185603</v>
      </c>
    </row>
    <row r="417" customFormat="false" ht="15" hidden="false" customHeight="false" outlineLevel="0" collapsed="false">
      <c r="A417" s="5" t="s">
        <v>460</v>
      </c>
      <c r="B417" s="6" t="n">
        <f aca="false">ROUND(CohortData!G417*CohortData!I417,2)</f>
        <v>77550</v>
      </c>
      <c r="C417" s="6" t="n">
        <f aca="false">ROUND(CohortData!L417*Assumptions!$B$4*CohortData!I417,2)</f>
        <v>10340</v>
      </c>
      <c r="D417" s="6" t="n">
        <f aca="false">ROUND(CohortData!E417*Assumptions!$B$5*CohortData!I417,2)</f>
        <v>4700</v>
      </c>
      <c r="E417" s="6" t="n">
        <f aca="false">ROUND(B417*Assumptions!$B$3,2)</f>
        <v>2714.25</v>
      </c>
      <c r="F417" s="6" t="n">
        <f aca="false">ROUND(B417*Assumptions!$B$6,2)</f>
        <v>1163.25</v>
      </c>
      <c r="G417" s="6" t="n">
        <f aca="false">ROUND(CohortData!G417*CohortData!I417-CohortData!G417*Assumptions!$B$7,2)</f>
        <v>0</v>
      </c>
      <c r="H417" s="7" t="n">
        <f aca="false">SUM(B417:E417,F417:G417)</f>
        <v>96467.5</v>
      </c>
      <c r="I417" s="6" t="n">
        <f aca="false">CEILING(H417,Assumptions!$B$8)</f>
        <v>96500</v>
      </c>
      <c r="J417" s="6" t="n">
        <f aca="false">FLOOR(H417,Assumptions!$B$8)</f>
        <v>96400</v>
      </c>
      <c r="K417" s="6" t="n">
        <f aca="false">ROUNDUP(H417,Assumptions!$B$9)</f>
        <v>96468</v>
      </c>
      <c r="L417" s="6" t="n">
        <f aca="false">ROUNDDOWN(H417,Assumptions!$B$10)</f>
        <v>96467</v>
      </c>
    </row>
    <row r="418" customFormat="false" ht="15" hidden="false" customHeight="false" outlineLevel="0" collapsed="false">
      <c r="A418" s="5" t="s">
        <v>461</v>
      </c>
      <c r="B418" s="6" t="n">
        <f aca="false">ROUND(CohortData!G418*CohortData!I418,2)</f>
        <v>62124</v>
      </c>
      <c r="C418" s="6" t="n">
        <f aca="false">ROUND(CohortData!L418*Assumptions!$B$4*CohortData!I418,2)</f>
        <v>8283.2</v>
      </c>
      <c r="D418" s="6" t="n">
        <f aca="false">ROUND(CohortData!E418*Assumptions!$B$5*CohortData!I418,2)</f>
        <v>3340</v>
      </c>
      <c r="E418" s="6" t="n">
        <f aca="false">ROUND(B418*Assumptions!$B$3,2)</f>
        <v>2174.34</v>
      </c>
      <c r="F418" s="6" t="n">
        <f aca="false">ROUND(B418*Assumptions!$B$6,2)</f>
        <v>931.86</v>
      </c>
      <c r="G418" s="6" t="n">
        <f aca="false">ROUND(CohortData!G418*CohortData!I418-CohortData!G418*Assumptions!$B$7,2)</f>
        <v>0</v>
      </c>
      <c r="H418" s="7" t="n">
        <f aca="false">SUM(B418:E418,F418:G418)</f>
        <v>76853.4</v>
      </c>
      <c r="I418" s="6" t="n">
        <f aca="false">CEILING(H418,Assumptions!$B$8)</f>
        <v>76900</v>
      </c>
      <c r="J418" s="6" t="n">
        <f aca="false">FLOOR(H418,Assumptions!$B$8)</f>
        <v>76800</v>
      </c>
      <c r="K418" s="6" t="n">
        <f aca="false">ROUNDUP(H418,Assumptions!$B$9)</f>
        <v>76854</v>
      </c>
      <c r="L418" s="6" t="n">
        <f aca="false">ROUNDDOWN(H418,Assumptions!$B$10)</f>
        <v>76853</v>
      </c>
    </row>
    <row r="419" customFormat="false" ht="15" hidden="false" customHeight="false" outlineLevel="0" collapsed="false">
      <c r="A419" s="5" t="s">
        <v>462</v>
      </c>
      <c r="B419" s="6" t="n">
        <f aca="false">ROUND(CohortData!G419*CohortData!I419,2)</f>
        <v>134274</v>
      </c>
      <c r="C419" s="6" t="n">
        <f aca="false">ROUND(CohortData!L419*Assumptions!$B$4*CohortData!I419,2)</f>
        <v>17903.2</v>
      </c>
      <c r="D419" s="6" t="n">
        <f aca="false">ROUND(CohortData!E419*Assumptions!$B$5*CohortData!I419,2)</f>
        <v>6394</v>
      </c>
      <c r="E419" s="6" t="n">
        <f aca="false">ROUND(B419*Assumptions!$B$3,2)</f>
        <v>4699.59</v>
      </c>
      <c r="F419" s="6" t="n">
        <f aca="false">ROUND(B419*Assumptions!$B$6,2)</f>
        <v>2014.11</v>
      </c>
      <c r="G419" s="6" t="n">
        <f aca="false">ROUND(CohortData!G419*CohortData!I419-CohortData!G419*Assumptions!$B$7,2)</f>
        <v>17514</v>
      </c>
      <c r="H419" s="7" t="n">
        <f aca="false">SUM(B419:E419,F419:G419)</f>
        <v>182798.9</v>
      </c>
      <c r="I419" s="6" t="n">
        <f aca="false">CEILING(H419,Assumptions!$B$8)</f>
        <v>182800</v>
      </c>
      <c r="J419" s="6" t="n">
        <f aca="false">FLOOR(H419,Assumptions!$B$8)</f>
        <v>182700</v>
      </c>
      <c r="K419" s="6" t="n">
        <f aca="false">ROUNDUP(H419,Assumptions!$B$9)</f>
        <v>182799</v>
      </c>
      <c r="L419" s="6" t="n">
        <f aca="false">ROUNDDOWN(H419,Assumptions!$B$10)</f>
        <v>182798</v>
      </c>
    </row>
    <row r="420" customFormat="false" ht="15" hidden="false" customHeight="false" outlineLevel="0" collapsed="false">
      <c r="A420" s="5" t="s">
        <v>463</v>
      </c>
      <c r="B420" s="6" t="n">
        <f aca="false">ROUND(CohortData!G420*CohortData!I420,2)</f>
        <v>44550</v>
      </c>
      <c r="C420" s="6" t="n">
        <f aca="false">ROUND(CohortData!L420*Assumptions!$B$4*CohortData!I420,2)</f>
        <v>5940</v>
      </c>
      <c r="D420" s="6" t="n">
        <f aca="false">ROUND(CohortData!E420*Assumptions!$B$5*CohortData!I420,2)</f>
        <v>2700</v>
      </c>
      <c r="E420" s="6" t="n">
        <f aca="false">ROUND(B420*Assumptions!$B$3,2)</f>
        <v>1559.25</v>
      </c>
      <c r="F420" s="6" t="n">
        <f aca="false">ROUND(B420*Assumptions!$B$6,2)</f>
        <v>668.25</v>
      </c>
      <c r="G420" s="6" t="n">
        <f aca="false">ROUND(CohortData!G420*CohortData!I420-CohortData!G420*Assumptions!$B$7,2)</f>
        <v>0</v>
      </c>
      <c r="H420" s="7" t="n">
        <f aca="false">SUM(B420:E420,F420:G420)</f>
        <v>55417.5</v>
      </c>
      <c r="I420" s="6" t="n">
        <f aca="false">CEILING(H420,Assumptions!$B$8)</f>
        <v>55500</v>
      </c>
      <c r="J420" s="6" t="n">
        <f aca="false">FLOOR(H420,Assumptions!$B$8)</f>
        <v>55400</v>
      </c>
      <c r="K420" s="6" t="n">
        <f aca="false">ROUNDUP(H420,Assumptions!$B$9)</f>
        <v>55418</v>
      </c>
      <c r="L420" s="6" t="n">
        <f aca="false">ROUNDDOWN(H420,Assumptions!$B$10)</f>
        <v>55417</v>
      </c>
    </row>
    <row r="421" customFormat="false" ht="15" hidden="false" customHeight="false" outlineLevel="0" collapsed="false">
      <c r="A421" s="5" t="s">
        <v>464</v>
      </c>
      <c r="B421" s="6" t="n">
        <f aca="false">ROUND(CohortData!G421*CohortData!I421,2)</f>
        <v>83700</v>
      </c>
      <c r="C421" s="6" t="n">
        <f aca="false">ROUND(CohortData!L421*Assumptions!$B$4*CohortData!I421,2)</f>
        <v>11160</v>
      </c>
      <c r="D421" s="6" t="n">
        <f aca="false">ROUND(CohortData!E421*Assumptions!$B$5*CohortData!I421,2)</f>
        <v>4500</v>
      </c>
      <c r="E421" s="6" t="n">
        <f aca="false">ROUND(B421*Assumptions!$B$3,2)</f>
        <v>2929.5</v>
      </c>
      <c r="F421" s="6" t="n">
        <f aca="false">ROUND(B421*Assumptions!$B$6,2)</f>
        <v>1255.5</v>
      </c>
      <c r="G421" s="6" t="n">
        <f aca="false">ROUND(CohortData!G421*CohortData!I421-CohortData!G421*Assumptions!$B$7,2)</f>
        <v>0</v>
      </c>
      <c r="H421" s="7" t="n">
        <f aca="false">SUM(B421:E421,F421:G421)</f>
        <v>103545</v>
      </c>
      <c r="I421" s="6" t="n">
        <f aca="false">CEILING(H421,Assumptions!$B$8)</f>
        <v>103600</v>
      </c>
      <c r="J421" s="6" t="n">
        <f aca="false">FLOOR(H421,Assumptions!$B$8)</f>
        <v>103500</v>
      </c>
      <c r="K421" s="6" t="n">
        <f aca="false">ROUNDUP(H421,Assumptions!$B$9)</f>
        <v>103545</v>
      </c>
      <c r="L421" s="6" t="n">
        <f aca="false">ROUNDDOWN(H421,Assumptions!$B$10)</f>
        <v>103545</v>
      </c>
    </row>
    <row r="422" customFormat="false" ht="15" hidden="false" customHeight="false" outlineLevel="0" collapsed="false">
      <c r="A422" s="5" t="s">
        <v>465</v>
      </c>
      <c r="B422" s="6" t="n">
        <f aca="false">ROUND(CohortData!G422*CohortData!I422,2)</f>
        <v>121380</v>
      </c>
      <c r="C422" s="6" t="n">
        <f aca="false">ROUND(CohortData!L422*Assumptions!$B$4*CohortData!I422,2)</f>
        <v>16184</v>
      </c>
      <c r="D422" s="6" t="n">
        <f aca="false">ROUND(CohortData!E422*Assumptions!$B$5*CohortData!I422,2)</f>
        <v>5780</v>
      </c>
      <c r="E422" s="6" t="n">
        <f aca="false">ROUND(B422*Assumptions!$B$3,2)</f>
        <v>4248.3</v>
      </c>
      <c r="F422" s="6" t="n">
        <f aca="false">ROUND(B422*Assumptions!$B$6,2)</f>
        <v>1820.7</v>
      </c>
      <c r="G422" s="6" t="n">
        <f aca="false">ROUND(CohortData!G422*CohortData!I422-CohortData!G422*Assumptions!$B$7,2)</f>
        <v>0</v>
      </c>
      <c r="H422" s="7" t="n">
        <f aca="false">SUM(B422:E422,F422:G422)</f>
        <v>149413</v>
      </c>
      <c r="I422" s="6" t="n">
        <f aca="false">CEILING(H422,Assumptions!$B$8)</f>
        <v>149500</v>
      </c>
      <c r="J422" s="6" t="n">
        <f aca="false">FLOOR(H422,Assumptions!$B$8)</f>
        <v>149400</v>
      </c>
      <c r="K422" s="6" t="n">
        <f aca="false">ROUNDUP(H422,Assumptions!$B$9)</f>
        <v>149413</v>
      </c>
      <c r="L422" s="6" t="n">
        <f aca="false">ROUNDDOWN(H422,Assumptions!$B$10)</f>
        <v>149413</v>
      </c>
    </row>
    <row r="423" customFormat="false" ht="15" hidden="false" customHeight="false" outlineLevel="0" collapsed="false">
      <c r="A423" s="5" t="s">
        <v>466</v>
      </c>
      <c r="B423" s="6" t="n">
        <f aca="false">ROUND(CohortData!G423*CohortData!I423,2)</f>
        <v>92977.5</v>
      </c>
      <c r="C423" s="6" t="n">
        <f aca="false">ROUND(CohortData!L423*Assumptions!$B$4*CohortData!I423,2)</f>
        <v>12397</v>
      </c>
      <c r="D423" s="6" t="n">
        <f aca="false">ROUND(CohortData!E423*Assumptions!$B$5*CohortData!I423,2)</f>
        <v>5635</v>
      </c>
      <c r="E423" s="6" t="n">
        <f aca="false">ROUND(B423*Assumptions!$B$3,2)</f>
        <v>3254.21</v>
      </c>
      <c r="F423" s="6" t="n">
        <f aca="false">ROUND(B423*Assumptions!$B$6,2)</f>
        <v>1394.66</v>
      </c>
      <c r="G423" s="6" t="n">
        <f aca="false">ROUND(CohortData!G423*CohortData!I423-CohortData!G423*Assumptions!$B$7,2)</f>
        <v>12127.5</v>
      </c>
      <c r="H423" s="7" t="n">
        <f aca="false">SUM(B423:E423,F423:G423)</f>
        <v>127785.87</v>
      </c>
      <c r="I423" s="6" t="n">
        <f aca="false">CEILING(H423,Assumptions!$B$8)</f>
        <v>127800</v>
      </c>
      <c r="J423" s="6" t="n">
        <f aca="false">FLOOR(H423,Assumptions!$B$8)</f>
        <v>127700</v>
      </c>
      <c r="K423" s="6" t="n">
        <f aca="false">ROUNDUP(H423,Assumptions!$B$9)</f>
        <v>127786</v>
      </c>
      <c r="L423" s="6" t="n">
        <f aca="false">ROUNDDOWN(H423,Assumptions!$B$10)</f>
        <v>127785</v>
      </c>
    </row>
    <row r="424" customFormat="false" ht="15" hidden="false" customHeight="false" outlineLevel="0" collapsed="false">
      <c r="A424" s="5" t="s">
        <v>467</v>
      </c>
      <c r="B424" s="6" t="n">
        <f aca="false">ROUND(CohortData!G424*CohortData!I424,2)</f>
        <v>66960</v>
      </c>
      <c r="C424" s="6" t="n">
        <f aca="false">ROUND(CohortData!L424*Assumptions!$B$4*CohortData!I424,2)</f>
        <v>8928</v>
      </c>
      <c r="D424" s="6" t="n">
        <f aca="false">ROUND(CohortData!E424*Assumptions!$B$5*CohortData!I424,2)</f>
        <v>3600</v>
      </c>
      <c r="E424" s="6" t="n">
        <f aca="false">ROUND(B424*Assumptions!$B$3,2)</f>
        <v>2343.6</v>
      </c>
      <c r="F424" s="6" t="n">
        <f aca="false">ROUND(B424*Assumptions!$B$6,2)</f>
        <v>1004.4</v>
      </c>
      <c r="G424" s="6" t="n">
        <f aca="false">ROUND(CohortData!G424*CohortData!I424-CohortData!G424*Assumptions!$B$7,2)</f>
        <v>0</v>
      </c>
      <c r="H424" s="7" t="n">
        <f aca="false">SUM(B424:E424,F424:G424)</f>
        <v>82836</v>
      </c>
      <c r="I424" s="6" t="n">
        <f aca="false">CEILING(H424,Assumptions!$B$8)</f>
        <v>82900</v>
      </c>
      <c r="J424" s="6" t="n">
        <f aca="false">FLOOR(H424,Assumptions!$B$8)</f>
        <v>82800</v>
      </c>
      <c r="K424" s="6" t="n">
        <f aca="false">ROUNDUP(H424,Assumptions!$B$9)</f>
        <v>82836</v>
      </c>
      <c r="L424" s="6" t="n">
        <f aca="false">ROUNDDOWN(H424,Assumptions!$B$10)</f>
        <v>82836</v>
      </c>
    </row>
    <row r="425" customFormat="false" ht="15" hidden="false" customHeight="false" outlineLevel="0" collapsed="false">
      <c r="A425" s="5" t="s">
        <v>468</v>
      </c>
      <c r="B425" s="6" t="n">
        <f aca="false">ROUND(CohortData!G425*CohortData!I425,2)</f>
        <v>136080</v>
      </c>
      <c r="C425" s="6" t="n">
        <f aca="false">ROUND(CohortData!L425*Assumptions!$B$4*CohortData!I425,2)</f>
        <v>18144</v>
      </c>
      <c r="D425" s="6" t="n">
        <f aca="false">ROUND(CohortData!E425*Assumptions!$B$5*CohortData!I425,2)</f>
        <v>6480</v>
      </c>
      <c r="E425" s="6" t="n">
        <f aca="false">ROUND(B425*Assumptions!$B$3,2)</f>
        <v>4762.8</v>
      </c>
      <c r="F425" s="6" t="n">
        <f aca="false">ROUND(B425*Assumptions!$B$6,2)</f>
        <v>2041.2</v>
      </c>
      <c r="G425" s="6" t="n">
        <f aca="false">ROUND(CohortData!G425*CohortData!I425-CohortData!G425*Assumptions!$B$7,2)</f>
        <v>0</v>
      </c>
      <c r="H425" s="7" t="n">
        <f aca="false">SUM(B425:E425,F425:G425)</f>
        <v>167508</v>
      </c>
      <c r="I425" s="6" t="n">
        <f aca="false">CEILING(H425,Assumptions!$B$8)</f>
        <v>167600</v>
      </c>
      <c r="J425" s="6" t="n">
        <f aca="false">FLOOR(H425,Assumptions!$B$8)</f>
        <v>167500</v>
      </c>
      <c r="K425" s="6" t="n">
        <f aca="false">ROUNDUP(H425,Assumptions!$B$9)</f>
        <v>167508</v>
      </c>
      <c r="L425" s="6" t="n">
        <f aca="false">ROUNDDOWN(H425,Assumptions!$B$10)</f>
        <v>167508</v>
      </c>
    </row>
    <row r="426" customFormat="false" ht="15" hidden="false" customHeight="false" outlineLevel="0" collapsed="false">
      <c r="A426" s="5" t="s">
        <v>469</v>
      </c>
      <c r="B426" s="6" t="n">
        <f aca="false">ROUND(CohortData!G426*CohortData!I426,2)</f>
        <v>124740</v>
      </c>
      <c r="C426" s="6" t="n">
        <f aca="false">ROUND(CohortData!L426*Assumptions!$B$4*CohortData!I426,2)</f>
        <v>16632</v>
      </c>
      <c r="D426" s="6" t="n">
        <f aca="false">ROUND(CohortData!E426*Assumptions!$B$5*CohortData!I426,2)</f>
        <v>7560</v>
      </c>
      <c r="E426" s="6" t="n">
        <f aca="false">ROUND(B426*Assumptions!$B$3,2)</f>
        <v>4365.9</v>
      </c>
      <c r="F426" s="6" t="n">
        <f aca="false">ROUND(B426*Assumptions!$B$6,2)</f>
        <v>1871.1</v>
      </c>
      <c r="G426" s="6" t="n">
        <f aca="false">ROUND(CohortData!G426*CohortData!I426-CohortData!G426*Assumptions!$B$7,2)</f>
        <v>0</v>
      </c>
      <c r="H426" s="7" t="n">
        <f aca="false">SUM(B426:E426,F426:G426)</f>
        <v>155169</v>
      </c>
      <c r="I426" s="6" t="n">
        <f aca="false">CEILING(H426,Assumptions!$B$8)</f>
        <v>155200</v>
      </c>
      <c r="J426" s="6" t="n">
        <f aca="false">FLOOR(H426,Assumptions!$B$8)</f>
        <v>155100</v>
      </c>
      <c r="K426" s="6" t="n">
        <f aca="false">ROUNDUP(H426,Assumptions!$B$9)</f>
        <v>155169</v>
      </c>
      <c r="L426" s="6" t="n">
        <f aca="false">ROUNDDOWN(H426,Assumptions!$B$10)</f>
        <v>155169</v>
      </c>
    </row>
    <row r="427" customFormat="false" ht="15" hidden="false" customHeight="false" outlineLevel="0" collapsed="false">
      <c r="A427" s="5" t="s">
        <v>470</v>
      </c>
      <c r="B427" s="6" t="n">
        <f aca="false">ROUND(CohortData!G427*CohortData!I427,2)</f>
        <v>196788</v>
      </c>
      <c r="C427" s="6" t="n">
        <f aca="false">ROUND(CohortData!L427*Assumptions!$B$4*CohortData!I427,2)</f>
        <v>26238.4</v>
      </c>
      <c r="D427" s="6" t="n">
        <f aca="false">ROUND(CohortData!E427*Assumptions!$B$5*CohortData!I427,2)</f>
        <v>10580</v>
      </c>
      <c r="E427" s="6" t="n">
        <f aca="false">ROUND(B427*Assumptions!$B$3,2)</f>
        <v>6887.58</v>
      </c>
      <c r="F427" s="6" t="n">
        <f aca="false">ROUND(B427*Assumptions!$B$6,2)</f>
        <v>2951.82</v>
      </c>
      <c r="G427" s="6" t="n">
        <f aca="false">ROUND(CohortData!G427*CohortData!I427-CohortData!G427*Assumptions!$B$7,2)</f>
        <v>25668</v>
      </c>
      <c r="H427" s="7" t="n">
        <f aca="false">SUM(B427:E427,F427:G427)</f>
        <v>269113.8</v>
      </c>
      <c r="I427" s="6" t="n">
        <f aca="false">CEILING(H427,Assumptions!$B$8)</f>
        <v>269200</v>
      </c>
      <c r="J427" s="6" t="n">
        <f aca="false">FLOOR(H427,Assumptions!$B$8)</f>
        <v>269100</v>
      </c>
      <c r="K427" s="6" t="n">
        <f aca="false">ROUNDUP(H427,Assumptions!$B$9)</f>
        <v>269114</v>
      </c>
      <c r="L427" s="6" t="n">
        <f aca="false">ROUNDDOWN(H427,Assumptions!$B$10)</f>
        <v>269113</v>
      </c>
    </row>
    <row r="428" customFormat="false" ht="15" hidden="false" customHeight="false" outlineLevel="0" collapsed="false">
      <c r="A428" s="5" t="s">
        <v>471</v>
      </c>
      <c r="B428" s="6" t="n">
        <f aca="false">ROUND(CohortData!G428*CohortData!I428,2)</f>
        <v>106680</v>
      </c>
      <c r="C428" s="6" t="n">
        <f aca="false">ROUND(CohortData!L428*Assumptions!$B$4*CohortData!I428,2)</f>
        <v>0</v>
      </c>
      <c r="D428" s="6" t="n">
        <f aca="false">ROUND(CohortData!E428*Assumptions!$B$5*CohortData!I428,2)</f>
        <v>5080</v>
      </c>
      <c r="E428" s="6" t="n">
        <f aca="false">ROUND(B428*Assumptions!$B$3,2)</f>
        <v>3733.8</v>
      </c>
      <c r="F428" s="6" t="n">
        <f aca="false">ROUND(B428*Assumptions!$B$6,2)</f>
        <v>1600.2</v>
      </c>
      <c r="G428" s="6" t="n">
        <f aca="false">ROUND(CohortData!G428*CohortData!I428-CohortData!G428*Assumptions!$B$7,2)</f>
        <v>0</v>
      </c>
      <c r="H428" s="7" t="n">
        <f aca="false">SUM(B428:E428,F428:G428)</f>
        <v>117094</v>
      </c>
      <c r="I428" s="6" t="n">
        <f aca="false">CEILING(H428,Assumptions!$B$8)</f>
        <v>117100</v>
      </c>
      <c r="J428" s="6" t="n">
        <f aca="false">FLOOR(H428,Assumptions!$B$8)</f>
        <v>117000</v>
      </c>
      <c r="K428" s="6" t="n">
        <f aca="false">ROUNDUP(H428,Assumptions!$B$9)</f>
        <v>117094</v>
      </c>
      <c r="L428" s="6" t="n">
        <f aca="false">ROUNDDOWN(H428,Assumptions!$B$10)</f>
        <v>117094</v>
      </c>
    </row>
    <row r="429" customFormat="false" ht="15" hidden="false" customHeight="false" outlineLevel="0" collapsed="false">
      <c r="A429" s="5" t="s">
        <v>472</v>
      </c>
      <c r="B429" s="6" t="n">
        <f aca="false">ROUND(CohortData!G429*CohortData!I429,2)</f>
        <v>136290</v>
      </c>
      <c r="C429" s="6" t="n">
        <f aca="false">ROUND(CohortData!L429*Assumptions!$B$4*CohortData!I429,2)</f>
        <v>18172</v>
      </c>
      <c r="D429" s="6" t="n">
        <f aca="false">ROUND(CohortData!E429*Assumptions!$B$5*CohortData!I429,2)</f>
        <v>8260</v>
      </c>
      <c r="E429" s="6" t="n">
        <f aca="false">ROUND(B429*Assumptions!$B$3,2)</f>
        <v>4770.15</v>
      </c>
      <c r="F429" s="6" t="n">
        <f aca="false">ROUND(B429*Assumptions!$B$6,2)</f>
        <v>2044.35</v>
      </c>
      <c r="G429" s="6" t="n">
        <f aca="false">ROUND(CohortData!G429*CohortData!I429-CohortData!G429*Assumptions!$B$7,2)</f>
        <v>0</v>
      </c>
      <c r="H429" s="7" t="n">
        <f aca="false">SUM(B429:E429,F429:G429)</f>
        <v>169536.5</v>
      </c>
      <c r="I429" s="6" t="n">
        <f aca="false">CEILING(H429,Assumptions!$B$8)</f>
        <v>169600</v>
      </c>
      <c r="J429" s="6" t="n">
        <f aca="false">FLOOR(H429,Assumptions!$B$8)</f>
        <v>169500</v>
      </c>
      <c r="K429" s="6" t="n">
        <f aca="false">ROUNDUP(H429,Assumptions!$B$9)</f>
        <v>169537</v>
      </c>
      <c r="L429" s="6" t="n">
        <f aca="false">ROUNDDOWN(H429,Assumptions!$B$10)</f>
        <v>169536</v>
      </c>
    </row>
    <row r="430" customFormat="false" ht="15" hidden="false" customHeight="false" outlineLevel="0" collapsed="false">
      <c r="A430" s="5" t="s">
        <v>473</v>
      </c>
      <c r="B430" s="6" t="n">
        <f aca="false">ROUND(CohortData!G430*CohortData!I430,2)</f>
        <v>161448</v>
      </c>
      <c r="C430" s="6" t="n">
        <f aca="false">ROUND(CohortData!L430*Assumptions!$B$4*CohortData!I430,2)</f>
        <v>21526.4</v>
      </c>
      <c r="D430" s="6" t="n">
        <f aca="false">ROUND(CohortData!E430*Assumptions!$B$5*CohortData!I430,2)</f>
        <v>8680</v>
      </c>
      <c r="E430" s="6" t="n">
        <f aca="false">ROUND(B430*Assumptions!$B$3,2)</f>
        <v>5650.68</v>
      </c>
      <c r="F430" s="6" t="n">
        <f aca="false">ROUND(B430*Assumptions!$B$6,2)</f>
        <v>2421.72</v>
      </c>
      <c r="G430" s="6" t="n">
        <f aca="false">ROUND(CohortData!G430*CohortData!I430-CohortData!G430*Assumptions!$B$7,2)</f>
        <v>0</v>
      </c>
      <c r="H430" s="7" t="n">
        <f aca="false">SUM(B430:E430,F430:G430)</f>
        <v>199726.8</v>
      </c>
      <c r="I430" s="6" t="n">
        <f aca="false">CEILING(H430,Assumptions!$B$8)</f>
        <v>199800</v>
      </c>
      <c r="J430" s="6" t="n">
        <f aca="false">FLOOR(H430,Assumptions!$B$8)</f>
        <v>199700</v>
      </c>
      <c r="K430" s="6" t="n">
        <f aca="false">ROUNDUP(H430,Assumptions!$B$9)</f>
        <v>199727</v>
      </c>
      <c r="L430" s="6" t="n">
        <f aca="false">ROUNDDOWN(H430,Assumptions!$B$10)</f>
        <v>199726</v>
      </c>
    </row>
    <row r="431" customFormat="false" ht="15" hidden="false" customHeight="false" outlineLevel="0" collapsed="false">
      <c r="A431" s="5" t="s">
        <v>474</v>
      </c>
      <c r="B431" s="6" t="n">
        <f aca="false">ROUND(CohortData!G431*CohortData!I431,2)</f>
        <v>178710</v>
      </c>
      <c r="C431" s="6" t="n">
        <f aca="false">ROUND(CohortData!L431*Assumptions!$B$4*CohortData!I431,2)</f>
        <v>23828</v>
      </c>
      <c r="D431" s="6" t="n">
        <f aca="false">ROUND(CohortData!E431*Assumptions!$B$5*CohortData!I431,2)</f>
        <v>8510</v>
      </c>
      <c r="E431" s="6" t="n">
        <f aca="false">ROUND(B431*Assumptions!$B$3,2)</f>
        <v>6254.85</v>
      </c>
      <c r="F431" s="6" t="n">
        <f aca="false">ROUND(B431*Assumptions!$B$6,2)</f>
        <v>2680.65</v>
      </c>
      <c r="G431" s="6" t="n">
        <f aca="false">ROUND(CohortData!G431*CohortData!I431-CohortData!G431*Assumptions!$B$7,2)</f>
        <v>23310</v>
      </c>
      <c r="H431" s="7" t="n">
        <f aca="false">SUM(B431:E431,F431:G431)</f>
        <v>243293.5</v>
      </c>
      <c r="I431" s="6" t="n">
        <f aca="false">CEILING(H431,Assumptions!$B$8)</f>
        <v>243300</v>
      </c>
      <c r="J431" s="6" t="n">
        <f aca="false">FLOOR(H431,Assumptions!$B$8)</f>
        <v>243200</v>
      </c>
      <c r="K431" s="6" t="n">
        <f aca="false">ROUNDUP(H431,Assumptions!$B$9)</f>
        <v>243294</v>
      </c>
      <c r="L431" s="6" t="n">
        <f aca="false">ROUNDDOWN(H431,Assumptions!$B$10)</f>
        <v>243293</v>
      </c>
    </row>
    <row r="432" customFormat="false" ht="15" hidden="false" customHeight="false" outlineLevel="0" collapsed="false">
      <c r="A432" s="5" t="s">
        <v>475</v>
      </c>
      <c r="B432" s="6" t="n">
        <f aca="false">ROUND(CohortData!G432*CohortData!I432,2)</f>
        <v>34320</v>
      </c>
      <c r="C432" s="6" t="n">
        <f aca="false">ROUND(CohortData!L432*Assumptions!$B$4*CohortData!I432,2)</f>
        <v>4576</v>
      </c>
      <c r="D432" s="6" t="n">
        <f aca="false">ROUND(CohortData!E432*Assumptions!$B$5*CohortData!I432,2)</f>
        <v>2080</v>
      </c>
      <c r="E432" s="6" t="n">
        <f aca="false">ROUND(B432*Assumptions!$B$3,2)</f>
        <v>1201.2</v>
      </c>
      <c r="F432" s="6" t="n">
        <f aca="false">ROUND(B432*Assumptions!$B$6,2)</f>
        <v>514.8</v>
      </c>
      <c r="G432" s="6" t="n">
        <f aca="false">ROUND(CohortData!G432*CohortData!I432-CohortData!G432*Assumptions!$B$7,2)</f>
        <v>0</v>
      </c>
      <c r="H432" s="7" t="n">
        <f aca="false">SUM(B432:E432,F432:G432)</f>
        <v>42692</v>
      </c>
      <c r="I432" s="6" t="n">
        <f aca="false">CEILING(H432,Assumptions!$B$8)</f>
        <v>42700</v>
      </c>
      <c r="J432" s="6" t="n">
        <f aca="false">FLOOR(H432,Assumptions!$B$8)</f>
        <v>42600</v>
      </c>
      <c r="K432" s="6" t="n">
        <f aca="false">ROUNDUP(H432,Assumptions!$B$9)</f>
        <v>42692</v>
      </c>
      <c r="L432" s="6" t="n">
        <f aca="false">ROUNDDOWN(H432,Assumptions!$B$10)</f>
        <v>42692</v>
      </c>
    </row>
    <row r="433" customFormat="false" ht="15" hidden="false" customHeight="false" outlineLevel="0" collapsed="false">
      <c r="A433" s="5" t="s">
        <v>476</v>
      </c>
      <c r="B433" s="6" t="n">
        <f aca="false">ROUND(CohortData!G433*CohortData!I433,2)</f>
        <v>164052</v>
      </c>
      <c r="C433" s="6" t="n">
        <f aca="false">ROUND(CohortData!L433*Assumptions!$B$4*CohortData!I433,2)</f>
        <v>21873.6</v>
      </c>
      <c r="D433" s="6" t="n">
        <f aca="false">ROUND(CohortData!E433*Assumptions!$B$5*CohortData!I433,2)</f>
        <v>8820</v>
      </c>
      <c r="E433" s="6" t="n">
        <f aca="false">ROUND(B433*Assumptions!$B$3,2)</f>
        <v>5741.82</v>
      </c>
      <c r="F433" s="6" t="n">
        <f aca="false">ROUND(B433*Assumptions!$B$6,2)</f>
        <v>2460.78</v>
      </c>
      <c r="G433" s="6" t="n">
        <f aca="false">ROUND(CohortData!G433*CohortData!I433-CohortData!G433*Assumptions!$B$7,2)</f>
        <v>0</v>
      </c>
      <c r="H433" s="7" t="n">
        <f aca="false">SUM(B433:E433,F433:G433)</f>
        <v>202948.2</v>
      </c>
      <c r="I433" s="6" t="n">
        <f aca="false">CEILING(H433,Assumptions!$B$8)</f>
        <v>203000</v>
      </c>
      <c r="J433" s="6" t="n">
        <f aca="false">FLOOR(H433,Assumptions!$B$8)</f>
        <v>202900</v>
      </c>
      <c r="K433" s="6" t="n">
        <f aca="false">ROUNDUP(H433,Assumptions!$B$9)</f>
        <v>202949</v>
      </c>
      <c r="L433" s="6" t="n">
        <f aca="false">ROUNDDOWN(H433,Assumptions!$B$10)</f>
        <v>202948</v>
      </c>
    </row>
    <row r="434" customFormat="false" ht="15" hidden="false" customHeight="false" outlineLevel="0" collapsed="false">
      <c r="A434" s="5" t="s">
        <v>477</v>
      </c>
      <c r="B434" s="6" t="n">
        <f aca="false">ROUND(CohortData!G434*CohortData!I434,2)</f>
        <v>160860</v>
      </c>
      <c r="C434" s="6" t="n">
        <f aca="false">ROUND(CohortData!L434*Assumptions!$B$4*CohortData!I434,2)</f>
        <v>21448</v>
      </c>
      <c r="D434" s="6" t="n">
        <f aca="false">ROUND(CohortData!E434*Assumptions!$B$5*CohortData!I434,2)</f>
        <v>7660</v>
      </c>
      <c r="E434" s="6" t="n">
        <f aca="false">ROUND(B434*Assumptions!$B$3,2)</f>
        <v>5630.1</v>
      </c>
      <c r="F434" s="6" t="n">
        <f aca="false">ROUND(B434*Assumptions!$B$6,2)</f>
        <v>2412.9</v>
      </c>
      <c r="G434" s="6" t="n">
        <f aca="false">ROUND(CohortData!G434*CohortData!I434-CohortData!G434*Assumptions!$B$7,2)</f>
        <v>0</v>
      </c>
      <c r="H434" s="7" t="n">
        <f aca="false">SUM(B434:E434,F434:G434)</f>
        <v>198011</v>
      </c>
      <c r="I434" s="6" t="n">
        <f aca="false">CEILING(H434,Assumptions!$B$8)</f>
        <v>198100</v>
      </c>
      <c r="J434" s="6" t="n">
        <f aca="false">FLOOR(H434,Assumptions!$B$8)</f>
        <v>198000</v>
      </c>
      <c r="K434" s="6" t="n">
        <f aca="false">ROUNDUP(H434,Assumptions!$B$9)</f>
        <v>198011</v>
      </c>
      <c r="L434" s="6" t="n">
        <f aca="false">ROUNDDOWN(H434,Assumptions!$B$10)</f>
        <v>198011</v>
      </c>
    </row>
    <row r="435" customFormat="false" ht="15" hidden="false" customHeight="false" outlineLevel="0" collapsed="false">
      <c r="A435" s="5" t="s">
        <v>478</v>
      </c>
      <c r="B435" s="6" t="n">
        <f aca="false">ROUND(CohortData!G435*CohortData!I435,2)</f>
        <v>96013.5</v>
      </c>
      <c r="C435" s="6" t="n">
        <f aca="false">ROUND(CohortData!L435*Assumptions!$B$4*CohortData!I435,2)</f>
        <v>12801.8</v>
      </c>
      <c r="D435" s="6" t="n">
        <f aca="false">ROUND(CohortData!E435*Assumptions!$B$5*CohortData!I435,2)</f>
        <v>5819</v>
      </c>
      <c r="E435" s="6" t="n">
        <f aca="false">ROUND(B435*Assumptions!$B$3,2)</f>
        <v>3360.47</v>
      </c>
      <c r="F435" s="6" t="n">
        <f aca="false">ROUND(B435*Assumptions!$B$6,2)</f>
        <v>1440.2</v>
      </c>
      <c r="G435" s="6" t="n">
        <f aca="false">ROUND(CohortData!G435*CohortData!I435-CohortData!G435*Assumptions!$B$7,2)</f>
        <v>12523.5</v>
      </c>
      <c r="H435" s="7" t="n">
        <f aca="false">SUM(B435:E435,F435:G435)</f>
        <v>131958.47</v>
      </c>
      <c r="I435" s="6" t="n">
        <f aca="false">CEILING(H435,Assumptions!$B$8)</f>
        <v>132000</v>
      </c>
      <c r="J435" s="6" t="n">
        <f aca="false">FLOOR(H435,Assumptions!$B$8)</f>
        <v>131900</v>
      </c>
      <c r="K435" s="6" t="n">
        <f aca="false">ROUNDUP(H435,Assumptions!$B$9)</f>
        <v>131959</v>
      </c>
      <c r="L435" s="6" t="n">
        <f aca="false">ROUNDDOWN(H435,Assumptions!$B$10)</f>
        <v>131958</v>
      </c>
    </row>
    <row r="436" customFormat="false" ht="15" hidden="false" customHeight="false" outlineLevel="0" collapsed="false">
      <c r="A436" s="5" t="s">
        <v>479</v>
      </c>
      <c r="B436" s="6" t="n">
        <f aca="false">ROUND(CohortData!G436*CohortData!I436,2)</f>
        <v>163308</v>
      </c>
      <c r="C436" s="6" t="n">
        <f aca="false">ROUND(CohortData!L436*Assumptions!$B$4*CohortData!I436,2)</f>
        <v>21774.4</v>
      </c>
      <c r="D436" s="6" t="n">
        <f aca="false">ROUND(CohortData!E436*Assumptions!$B$5*CohortData!I436,2)</f>
        <v>8780</v>
      </c>
      <c r="E436" s="6" t="n">
        <f aca="false">ROUND(B436*Assumptions!$B$3,2)</f>
        <v>5715.78</v>
      </c>
      <c r="F436" s="6" t="n">
        <f aca="false">ROUND(B436*Assumptions!$B$6,2)</f>
        <v>2449.62</v>
      </c>
      <c r="G436" s="6" t="n">
        <f aca="false">ROUND(CohortData!G436*CohortData!I436-CohortData!G436*Assumptions!$B$7,2)</f>
        <v>0</v>
      </c>
      <c r="H436" s="7" t="n">
        <f aca="false">SUM(B436:E436,F436:G436)</f>
        <v>202027.8</v>
      </c>
      <c r="I436" s="6" t="n">
        <f aca="false">CEILING(H436,Assumptions!$B$8)</f>
        <v>202100</v>
      </c>
      <c r="J436" s="6" t="n">
        <f aca="false">FLOOR(H436,Assumptions!$B$8)</f>
        <v>202000</v>
      </c>
      <c r="K436" s="6" t="n">
        <f aca="false">ROUNDUP(H436,Assumptions!$B$9)</f>
        <v>202028</v>
      </c>
      <c r="L436" s="6" t="n">
        <f aca="false">ROUNDDOWN(H436,Assumptions!$B$10)</f>
        <v>202027</v>
      </c>
    </row>
    <row r="437" customFormat="false" ht="15" hidden="false" customHeight="false" outlineLevel="0" collapsed="false">
      <c r="A437" s="5" t="s">
        <v>480</v>
      </c>
      <c r="B437" s="6" t="n">
        <f aca="false">ROUND(CohortData!G437*CohortData!I437,2)</f>
        <v>64260</v>
      </c>
      <c r="C437" s="6" t="n">
        <f aca="false">ROUND(CohortData!L437*Assumptions!$B$4*CohortData!I437,2)</f>
        <v>8568</v>
      </c>
      <c r="D437" s="6" t="n">
        <f aca="false">ROUND(CohortData!E437*Assumptions!$B$5*CohortData!I437,2)</f>
        <v>3060</v>
      </c>
      <c r="E437" s="6" t="n">
        <f aca="false">ROUND(B437*Assumptions!$B$3,2)</f>
        <v>2249.1</v>
      </c>
      <c r="F437" s="6" t="n">
        <f aca="false">ROUND(B437*Assumptions!$B$6,2)</f>
        <v>963.9</v>
      </c>
      <c r="G437" s="6" t="n">
        <f aca="false">ROUND(CohortData!G437*CohortData!I437-CohortData!G437*Assumptions!$B$7,2)</f>
        <v>0</v>
      </c>
      <c r="H437" s="7" t="n">
        <f aca="false">SUM(B437:E437,F437:G437)</f>
        <v>79101</v>
      </c>
      <c r="I437" s="6" t="n">
        <f aca="false">CEILING(H437,Assumptions!$B$8)</f>
        <v>79200</v>
      </c>
      <c r="J437" s="6" t="n">
        <f aca="false">FLOOR(H437,Assumptions!$B$8)</f>
        <v>79100</v>
      </c>
      <c r="K437" s="6" t="n">
        <f aca="false">ROUNDUP(H437,Assumptions!$B$9)</f>
        <v>79101</v>
      </c>
      <c r="L437" s="6" t="n">
        <f aca="false">ROUNDDOWN(H437,Assumptions!$B$10)</f>
        <v>79101</v>
      </c>
    </row>
    <row r="438" customFormat="false" ht="15" hidden="false" customHeight="false" outlineLevel="0" collapsed="false">
      <c r="A438" s="5" t="s">
        <v>481</v>
      </c>
      <c r="B438" s="6" t="n">
        <f aca="false">ROUND(CohortData!G438*CohortData!I438,2)</f>
        <v>55440</v>
      </c>
      <c r="C438" s="6" t="n">
        <f aca="false">ROUND(CohortData!L438*Assumptions!$B$4*CohortData!I438,2)</f>
        <v>7392</v>
      </c>
      <c r="D438" s="6" t="n">
        <f aca="false">ROUND(CohortData!E438*Assumptions!$B$5*CohortData!I438,2)</f>
        <v>3360</v>
      </c>
      <c r="E438" s="6" t="n">
        <f aca="false">ROUND(B438*Assumptions!$B$3,2)</f>
        <v>1940.4</v>
      </c>
      <c r="F438" s="6" t="n">
        <f aca="false">ROUND(B438*Assumptions!$B$6,2)</f>
        <v>831.6</v>
      </c>
      <c r="G438" s="6" t="n">
        <f aca="false">ROUND(CohortData!G438*CohortData!I438-CohortData!G438*Assumptions!$B$7,2)</f>
        <v>0</v>
      </c>
      <c r="H438" s="7" t="n">
        <f aca="false">SUM(B438:E438,F438:G438)</f>
        <v>68964</v>
      </c>
      <c r="I438" s="6" t="n">
        <f aca="false">CEILING(H438,Assumptions!$B$8)</f>
        <v>69000</v>
      </c>
      <c r="J438" s="6" t="n">
        <f aca="false">FLOOR(H438,Assumptions!$B$8)</f>
        <v>68900</v>
      </c>
      <c r="K438" s="6" t="n">
        <f aca="false">ROUNDUP(H438,Assumptions!$B$9)</f>
        <v>68964</v>
      </c>
      <c r="L438" s="6" t="n">
        <f aca="false">ROUNDDOWN(H438,Assumptions!$B$10)</f>
        <v>68964</v>
      </c>
    </row>
    <row r="439" customFormat="false" ht="15" hidden="false" customHeight="false" outlineLevel="0" collapsed="false">
      <c r="A439" s="5" t="s">
        <v>482</v>
      </c>
      <c r="B439" s="6" t="n">
        <f aca="false">ROUND(CohortData!G439*CohortData!I439,2)</f>
        <v>100533</v>
      </c>
      <c r="C439" s="6" t="n">
        <f aca="false">ROUND(CohortData!L439*Assumptions!$B$4*CohortData!I439,2)</f>
        <v>13404.4</v>
      </c>
      <c r="D439" s="6" t="n">
        <f aca="false">ROUND(CohortData!E439*Assumptions!$B$5*CohortData!I439,2)</f>
        <v>5405</v>
      </c>
      <c r="E439" s="6" t="n">
        <f aca="false">ROUND(B439*Assumptions!$B$3,2)</f>
        <v>3518.66</v>
      </c>
      <c r="F439" s="6" t="n">
        <f aca="false">ROUND(B439*Assumptions!$B$6,2)</f>
        <v>1508</v>
      </c>
      <c r="G439" s="6" t="n">
        <f aca="false">ROUND(CohortData!G439*CohortData!I439-CohortData!G439*Assumptions!$B$7,2)</f>
        <v>13113</v>
      </c>
      <c r="H439" s="7" t="n">
        <f aca="false">SUM(B439:E439,F439:G439)</f>
        <v>137482.06</v>
      </c>
      <c r="I439" s="6" t="n">
        <f aca="false">CEILING(H439,Assumptions!$B$8)</f>
        <v>137500</v>
      </c>
      <c r="J439" s="6" t="n">
        <f aca="false">FLOOR(H439,Assumptions!$B$8)</f>
        <v>137400</v>
      </c>
      <c r="K439" s="6" t="n">
        <f aca="false">ROUNDUP(H439,Assumptions!$B$9)</f>
        <v>137483</v>
      </c>
      <c r="L439" s="6" t="n">
        <f aca="false">ROUNDDOWN(H439,Assumptions!$B$10)</f>
        <v>137482</v>
      </c>
    </row>
    <row r="440" customFormat="false" ht="15" hidden="false" customHeight="false" outlineLevel="0" collapsed="false">
      <c r="A440" s="5" t="s">
        <v>483</v>
      </c>
      <c r="B440" s="6" t="n">
        <f aca="false">ROUND(CohortData!G440*CohortData!I440,2)</f>
        <v>66780</v>
      </c>
      <c r="C440" s="6" t="n">
        <f aca="false">ROUND(CohortData!L440*Assumptions!$B$4*CohortData!I440,2)</f>
        <v>8904</v>
      </c>
      <c r="D440" s="6" t="n">
        <f aca="false">ROUND(CohortData!E440*Assumptions!$B$5*CohortData!I440,2)</f>
        <v>3180</v>
      </c>
      <c r="E440" s="6" t="n">
        <f aca="false">ROUND(B440*Assumptions!$B$3,2)</f>
        <v>2337.3</v>
      </c>
      <c r="F440" s="6" t="n">
        <f aca="false">ROUND(B440*Assumptions!$B$6,2)</f>
        <v>1001.7</v>
      </c>
      <c r="G440" s="6" t="n">
        <f aca="false">ROUND(CohortData!G440*CohortData!I440-CohortData!G440*Assumptions!$B$7,2)</f>
        <v>0</v>
      </c>
      <c r="H440" s="7" t="n">
        <f aca="false">SUM(B440:E440,F440:G440)</f>
        <v>82203</v>
      </c>
      <c r="I440" s="6" t="n">
        <f aca="false">CEILING(H440,Assumptions!$B$8)</f>
        <v>82300</v>
      </c>
      <c r="J440" s="6" t="n">
        <f aca="false">FLOOR(H440,Assumptions!$B$8)</f>
        <v>82200</v>
      </c>
      <c r="K440" s="6" t="n">
        <f aca="false">ROUNDUP(H440,Assumptions!$B$9)</f>
        <v>82203</v>
      </c>
      <c r="L440" s="6" t="n">
        <f aca="false">ROUNDDOWN(H440,Assumptions!$B$10)</f>
        <v>82203</v>
      </c>
    </row>
    <row r="441" customFormat="false" ht="15" hidden="false" customHeight="false" outlineLevel="0" collapsed="false">
      <c r="A441" s="5" t="s">
        <v>484</v>
      </c>
      <c r="B441" s="6" t="n">
        <f aca="false">ROUND(CohortData!G441*CohortData!I441,2)</f>
        <v>50820</v>
      </c>
      <c r="C441" s="6" t="n">
        <f aca="false">ROUND(CohortData!L441*Assumptions!$B$4*CohortData!I441,2)</f>
        <v>6776</v>
      </c>
      <c r="D441" s="6" t="n">
        <f aca="false">ROUND(CohortData!E441*Assumptions!$B$5*CohortData!I441,2)</f>
        <v>3080</v>
      </c>
      <c r="E441" s="6" t="n">
        <f aca="false">ROUND(B441*Assumptions!$B$3,2)</f>
        <v>1778.7</v>
      </c>
      <c r="F441" s="6" t="n">
        <f aca="false">ROUND(B441*Assumptions!$B$6,2)</f>
        <v>762.3</v>
      </c>
      <c r="G441" s="6" t="n">
        <f aca="false">ROUND(CohortData!G441*CohortData!I441-CohortData!G441*Assumptions!$B$7,2)</f>
        <v>0</v>
      </c>
      <c r="H441" s="7" t="n">
        <f aca="false">SUM(B441:E441,F441:G441)</f>
        <v>63217</v>
      </c>
      <c r="I441" s="6" t="n">
        <f aca="false">CEILING(H441,Assumptions!$B$8)</f>
        <v>63300</v>
      </c>
      <c r="J441" s="6" t="n">
        <f aca="false">FLOOR(H441,Assumptions!$B$8)</f>
        <v>63200</v>
      </c>
      <c r="K441" s="6" t="n">
        <f aca="false">ROUNDUP(H441,Assumptions!$B$9)</f>
        <v>63217</v>
      </c>
      <c r="L441" s="6" t="n">
        <f aca="false">ROUNDDOWN(H441,Assumptions!$B$10)</f>
        <v>63217</v>
      </c>
    </row>
    <row r="442" customFormat="false" ht="15" hidden="false" customHeight="false" outlineLevel="0" collapsed="false">
      <c r="A442" s="5" t="s">
        <v>485</v>
      </c>
      <c r="B442" s="6" t="n">
        <f aca="false">ROUND(CohortData!G442*CohortData!I442,2)</f>
        <v>178560</v>
      </c>
      <c r="C442" s="6" t="n">
        <f aca="false">ROUND(CohortData!L442*Assumptions!$B$4*CohortData!I442,2)</f>
        <v>23808</v>
      </c>
      <c r="D442" s="6" t="n">
        <f aca="false">ROUND(CohortData!E442*Assumptions!$B$5*CohortData!I442,2)</f>
        <v>9600</v>
      </c>
      <c r="E442" s="6" t="n">
        <f aca="false">ROUND(B442*Assumptions!$B$3,2)</f>
        <v>6249.6</v>
      </c>
      <c r="F442" s="6" t="n">
        <f aca="false">ROUND(B442*Assumptions!$B$6,2)</f>
        <v>2678.4</v>
      </c>
      <c r="G442" s="6" t="n">
        <f aca="false">ROUND(CohortData!G442*CohortData!I442-CohortData!G442*Assumptions!$B$7,2)</f>
        <v>0</v>
      </c>
      <c r="H442" s="7" t="n">
        <f aca="false">SUM(B442:E442,F442:G442)</f>
        <v>220896</v>
      </c>
      <c r="I442" s="6" t="n">
        <f aca="false">CEILING(H442,Assumptions!$B$8)</f>
        <v>220900</v>
      </c>
      <c r="J442" s="6" t="n">
        <f aca="false">FLOOR(H442,Assumptions!$B$8)</f>
        <v>220800</v>
      </c>
      <c r="K442" s="6" t="n">
        <f aca="false">ROUNDUP(H442,Assumptions!$B$9)</f>
        <v>220896</v>
      </c>
      <c r="L442" s="6" t="n">
        <f aca="false">ROUNDDOWN(H442,Assumptions!$B$10)</f>
        <v>220896</v>
      </c>
    </row>
    <row r="443" customFormat="false" ht="15" hidden="false" customHeight="false" outlineLevel="0" collapsed="false">
      <c r="A443" s="5" t="s">
        <v>486</v>
      </c>
      <c r="B443" s="6" t="n">
        <f aca="false">ROUND(CohortData!G443*CohortData!I443,2)</f>
        <v>184989</v>
      </c>
      <c r="C443" s="6" t="n">
        <f aca="false">ROUND(CohortData!L443*Assumptions!$B$4*CohortData!I443,2)</f>
        <v>24665.2</v>
      </c>
      <c r="D443" s="6" t="n">
        <f aca="false">ROUND(CohortData!E443*Assumptions!$B$5*CohortData!I443,2)</f>
        <v>8809</v>
      </c>
      <c r="E443" s="6" t="n">
        <f aca="false">ROUND(B443*Assumptions!$B$3,2)</f>
        <v>6474.62</v>
      </c>
      <c r="F443" s="6" t="n">
        <f aca="false">ROUND(B443*Assumptions!$B$6,2)</f>
        <v>2774.84</v>
      </c>
      <c r="G443" s="6" t="n">
        <f aca="false">ROUND(CohortData!G443*CohortData!I443-CohortData!G443*Assumptions!$B$7,2)</f>
        <v>24129</v>
      </c>
      <c r="H443" s="7" t="n">
        <f aca="false">SUM(B443:E443,F443:G443)</f>
        <v>251841.66</v>
      </c>
      <c r="I443" s="6" t="n">
        <f aca="false">CEILING(H443,Assumptions!$B$8)</f>
        <v>251900</v>
      </c>
      <c r="J443" s="6" t="n">
        <f aca="false">FLOOR(H443,Assumptions!$B$8)</f>
        <v>251800</v>
      </c>
      <c r="K443" s="6" t="n">
        <f aca="false">ROUNDUP(H443,Assumptions!$B$9)</f>
        <v>251842</v>
      </c>
      <c r="L443" s="6" t="n">
        <f aca="false">ROUNDDOWN(H443,Assumptions!$B$10)</f>
        <v>251841</v>
      </c>
    </row>
    <row r="444" customFormat="false" ht="15" hidden="false" customHeight="false" outlineLevel="0" collapsed="false">
      <c r="A444" s="5" t="s">
        <v>487</v>
      </c>
      <c r="B444" s="6" t="n">
        <f aca="false">ROUND(CohortData!G444*CohortData!I444,2)</f>
        <v>59070</v>
      </c>
      <c r="C444" s="6" t="n">
        <f aca="false">ROUND(CohortData!L444*Assumptions!$B$4*CohortData!I444,2)</f>
        <v>7876</v>
      </c>
      <c r="D444" s="6" t="n">
        <f aca="false">ROUND(CohortData!E444*Assumptions!$B$5*CohortData!I444,2)</f>
        <v>3580</v>
      </c>
      <c r="E444" s="6" t="n">
        <f aca="false">ROUND(B444*Assumptions!$B$3,2)</f>
        <v>2067.45</v>
      </c>
      <c r="F444" s="6" t="n">
        <f aca="false">ROUND(B444*Assumptions!$B$6,2)</f>
        <v>886.05</v>
      </c>
      <c r="G444" s="6" t="n">
        <f aca="false">ROUND(CohortData!G444*CohortData!I444-CohortData!G444*Assumptions!$B$7,2)</f>
        <v>0</v>
      </c>
      <c r="H444" s="7" t="n">
        <f aca="false">SUM(B444:E444,F444:G444)</f>
        <v>73479.5</v>
      </c>
      <c r="I444" s="6" t="n">
        <f aca="false">CEILING(H444,Assumptions!$B$8)</f>
        <v>73500</v>
      </c>
      <c r="J444" s="6" t="n">
        <f aca="false">FLOOR(H444,Assumptions!$B$8)</f>
        <v>73400</v>
      </c>
      <c r="K444" s="6" t="n">
        <f aca="false">ROUNDUP(H444,Assumptions!$B$9)</f>
        <v>73480</v>
      </c>
      <c r="L444" s="6" t="n">
        <f aca="false">ROUNDDOWN(H444,Assumptions!$B$10)</f>
        <v>73479</v>
      </c>
    </row>
    <row r="445" customFormat="false" ht="15" hidden="false" customHeight="false" outlineLevel="0" collapsed="false">
      <c r="A445" s="5" t="s">
        <v>488</v>
      </c>
      <c r="B445" s="6" t="n">
        <f aca="false">ROUND(CohortData!G445*CohortData!I445,2)</f>
        <v>88908</v>
      </c>
      <c r="C445" s="6" t="n">
        <f aca="false">ROUND(CohortData!L445*Assumptions!$B$4*CohortData!I445,2)</f>
        <v>0</v>
      </c>
      <c r="D445" s="6" t="n">
        <f aca="false">ROUND(CohortData!E445*Assumptions!$B$5*CohortData!I445,2)</f>
        <v>4780</v>
      </c>
      <c r="E445" s="6" t="n">
        <f aca="false">ROUND(B445*Assumptions!$B$3,2)</f>
        <v>3111.78</v>
      </c>
      <c r="F445" s="6" t="n">
        <f aca="false">ROUND(B445*Assumptions!$B$6,2)</f>
        <v>1333.62</v>
      </c>
      <c r="G445" s="6" t="n">
        <f aca="false">ROUND(CohortData!G445*CohortData!I445-CohortData!G445*Assumptions!$B$7,2)</f>
        <v>0</v>
      </c>
      <c r="H445" s="7" t="n">
        <f aca="false">SUM(B445:E445,F445:G445)</f>
        <v>98133.4</v>
      </c>
      <c r="I445" s="6" t="n">
        <f aca="false">CEILING(H445,Assumptions!$B$8)</f>
        <v>98200</v>
      </c>
      <c r="J445" s="6" t="n">
        <f aca="false">FLOOR(H445,Assumptions!$B$8)</f>
        <v>98100</v>
      </c>
      <c r="K445" s="6" t="n">
        <f aca="false">ROUNDUP(H445,Assumptions!$B$9)</f>
        <v>98134</v>
      </c>
      <c r="L445" s="6" t="n">
        <f aca="false">ROUNDDOWN(H445,Assumptions!$B$10)</f>
        <v>98133</v>
      </c>
    </row>
    <row r="446" customFormat="false" ht="15" hidden="false" customHeight="false" outlineLevel="0" collapsed="false">
      <c r="A446" s="5" t="s">
        <v>489</v>
      </c>
      <c r="B446" s="6" t="n">
        <f aca="false">ROUND(CohortData!G446*CohortData!I446,2)</f>
        <v>102480</v>
      </c>
      <c r="C446" s="6" t="n">
        <f aca="false">ROUND(CohortData!L446*Assumptions!$B$4*CohortData!I446,2)</f>
        <v>13664</v>
      </c>
      <c r="D446" s="6" t="n">
        <f aca="false">ROUND(CohortData!E446*Assumptions!$B$5*CohortData!I446,2)</f>
        <v>4880</v>
      </c>
      <c r="E446" s="6" t="n">
        <f aca="false">ROUND(B446*Assumptions!$B$3,2)</f>
        <v>3586.8</v>
      </c>
      <c r="F446" s="6" t="n">
        <f aca="false">ROUND(B446*Assumptions!$B$6,2)</f>
        <v>1537.2</v>
      </c>
      <c r="G446" s="6" t="n">
        <f aca="false">ROUND(CohortData!G446*CohortData!I446-CohortData!G446*Assumptions!$B$7,2)</f>
        <v>0</v>
      </c>
      <c r="H446" s="7" t="n">
        <f aca="false">SUM(B446:E446,F446:G446)</f>
        <v>126148</v>
      </c>
      <c r="I446" s="6" t="n">
        <f aca="false">CEILING(H446,Assumptions!$B$8)</f>
        <v>126200</v>
      </c>
      <c r="J446" s="6" t="n">
        <f aca="false">FLOOR(H446,Assumptions!$B$8)</f>
        <v>126100</v>
      </c>
      <c r="K446" s="6" t="n">
        <f aca="false">ROUNDUP(H446,Assumptions!$B$9)</f>
        <v>126148</v>
      </c>
      <c r="L446" s="6" t="n">
        <f aca="false">ROUNDDOWN(H446,Assumptions!$B$10)</f>
        <v>126148</v>
      </c>
    </row>
    <row r="447" customFormat="false" ht="15" hidden="false" customHeight="false" outlineLevel="0" collapsed="false">
      <c r="A447" s="5" t="s">
        <v>490</v>
      </c>
      <c r="B447" s="6" t="n">
        <f aca="false">ROUND(CohortData!G447*CohortData!I447,2)</f>
        <v>155215.5</v>
      </c>
      <c r="C447" s="6" t="n">
        <f aca="false">ROUND(CohortData!L447*Assumptions!$B$4*CohortData!I447,2)</f>
        <v>20695.4</v>
      </c>
      <c r="D447" s="6" t="n">
        <f aca="false">ROUND(CohortData!E447*Assumptions!$B$5*CohortData!I447,2)</f>
        <v>9407</v>
      </c>
      <c r="E447" s="6" t="n">
        <f aca="false">ROUND(B447*Assumptions!$B$3,2)</f>
        <v>5432.54</v>
      </c>
      <c r="F447" s="6" t="n">
        <f aca="false">ROUND(B447*Assumptions!$B$6,2)</f>
        <v>2328.23</v>
      </c>
      <c r="G447" s="6" t="n">
        <f aca="false">ROUND(CohortData!G447*CohortData!I447-CohortData!G447*Assumptions!$B$7,2)</f>
        <v>20245.5</v>
      </c>
      <c r="H447" s="7" t="n">
        <f aca="false">SUM(B447:E447,F447:G447)</f>
        <v>213324.17</v>
      </c>
      <c r="I447" s="6" t="n">
        <f aca="false">CEILING(H447,Assumptions!$B$8)</f>
        <v>213400</v>
      </c>
      <c r="J447" s="6" t="n">
        <f aca="false">FLOOR(H447,Assumptions!$B$8)</f>
        <v>213300</v>
      </c>
      <c r="K447" s="6" t="n">
        <f aca="false">ROUNDUP(H447,Assumptions!$B$9)</f>
        <v>213325</v>
      </c>
      <c r="L447" s="6" t="n">
        <f aca="false">ROUNDDOWN(H447,Assumptions!$B$10)</f>
        <v>213324</v>
      </c>
    </row>
    <row r="448" customFormat="false" ht="15" hidden="false" customHeight="false" outlineLevel="0" collapsed="false">
      <c r="A448" s="5" t="s">
        <v>491</v>
      </c>
      <c r="B448" s="6" t="n">
        <f aca="false">ROUND(CohortData!G448*CohortData!I448,2)</f>
        <v>77004</v>
      </c>
      <c r="C448" s="6" t="n">
        <f aca="false">ROUND(CohortData!L448*Assumptions!$B$4*CohortData!I448,2)</f>
        <v>10267.2</v>
      </c>
      <c r="D448" s="6" t="n">
        <f aca="false">ROUND(CohortData!E448*Assumptions!$B$5*CohortData!I448,2)</f>
        <v>4140</v>
      </c>
      <c r="E448" s="6" t="n">
        <f aca="false">ROUND(B448*Assumptions!$B$3,2)</f>
        <v>2695.14</v>
      </c>
      <c r="F448" s="6" t="n">
        <f aca="false">ROUND(B448*Assumptions!$B$6,2)</f>
        <v>1155.06</v>
      </c>
      <c r="G448" s="6" t="n">
        <f aca="false">ROUND(CohortData!G448*CohortData!I448-CohortData!G448*Assumptions!$B$7,2)</f>
        <v>0</v>
      </c>
      <c r="H448" s="7" t="n">
        <f aca="false">SUM(B448:E448,F448:G448)</f>
        <v>95261.4</v>
      </c>
      <c r="I448" s="6" t="n">
        <f aca="false">CEILING(H448,Assumptions!$B$8)</f>
        <v>95300</v>
      </c>
      <c r="J448" s="6" t="n">
        <f aca="false">FLOOR(H448,Assumptions!$B$8)</f>
        <v>95200</v>
      </c>
      <c r="K448" s="6" t="n">
        <f aca="false">ROUNDUP(H448,Assumptions!$B$9)</f>
        <v>95262</v>
      </c>
      <c r="L448" s="6" t="n">
        <f aca="false">ROUNDDOWN(H448,Assumptions!$B$10)</f>
        <v>95261</v>
      </c>
    </row>
    <row r="449" customFormat="false" ht="15" hidden="false" customHeight="false" outlineLevel="0" collapsed="false">
      <c r="A449" s="5" t="s">
        <v>492</v>
      </c>
      <c r="B449" s="6" t="n">
        <f aca="false">ROUND(CohortData!G449*CohortData!I449,2)</f>
        <v>196140</v>
      </c>
      <c r="C449" s="6" t="n">
        <f aca="false">ROUND(CohortData!L449*Assumptions!$B$4*CohortData!I449,2)</f>
        <v>26152</v>
      </c>
      <c r="D449" s="6" t="n">
        <f aca="false">ROUND(CohortData!E449*Assumptions!$B$5*CohortData!I449,2)</f>
        <v>9340</v>
      </c>
      <c r="E449" s="6" t="n">
        <f aca="false">ROUND(B449*Assumptions!$B$3,2)</f>
        <v>6864.9</v>
      </c>
      <c r="F449" s="6" t="n">
        <f aca="false">ROUND(B449*Assumptions!$B$6,2)</f>
        <v>2942.1</v>
      </c>
      <c r="G449" s="6" t="n">
        <f aca="false">ROUND(CohortData!G449*CohortData!I449-CohortData!G449*Assumptions!$B$7,2)</f>
        <v>0</v>
      </c>
      <c r="H449" s="7" t="n">
        <f aca="false">SUM(B449:E449,F449:G449)</f>
        <v>241439</v>
      </c>
      <c r="I449" s="6" t="n">
        <f aca="false">CEILING(H449,Assumptions!$B$8)</f>
        <v>241500</v>
      </c>
      <c r="J449" s="6" t="n">
        <f aca="false">FLOOR(H449,Assumptions!$B$8)</f>
        <v>241400</v>
      </c>
      <c r="K449" s="6" t="n">
        <f aca="false">ROUNDUP(H449,Assumptions!$B$9)</f>
        <v>241439</v>
      </c>
      <c r="L449" s="6" t="n">
        <f aca="false">ROUNDDOWN(H449,Assumptions!$B$10)</f>
        <v>241439</v>
      </c>
    </row>
    <row r="450" customFormat="false" ht="15" hidden="false" customHeight="false" outlineLevel="0" collapsed="false">
      <c r="A450" s="5" t="s">
        <v>493</v>
      </c>
      <c r="B450" s="6" t="n">
        <f aca="false">ROUND(CohortData!G450*CohortData!I450,2)</f>
        <v>90750</v>
      </c>
      <c r="C450" s="6" t="n">
        <f aca="false">ROUND(CohortData!L450*Assumptions!$B$4*CohortData!I450,2)</f>
        <v>12100</v>
      </c>
      <c r="D450" s="6" t="n">
        <f aca="false">ROUND(CohortData!E450*Assumptions!$B$5*CohortData!I450,2)</f>
        <v>5500</v>
      </c>
      <c r="E450" s="6" t="n">
        <f aca="false">ROUND(B450*Assumptions!$B$3,2)</f>
        <v>3176.25</v>
      </c>
      <c r="F450" s="6" t="n">
        <f aca="false">ROUND(B450*Assumptions!$B$6,2)</f>
        <v>1361.25</v>
      </c>
      <c r="G450" s="6" t="n">
        <f aca="false">ROUND(CohortData!G450*CohortData!I450-CohortData!G450*Assumptions!$B$7,2)</f>
        <v>0</v>
      </c>
      <c r="H450" s="7" t="n">
        <f aca="false">SUM(B450:E450,F450:G450)</f>
        <v>112887.5</v>
      </c>
      <c r="I450" s="6" t="n">
        <f aca="false">CEILING(H450,Assumptions!$B$8)</f>
        <v>112900</v>
      </c>
      <c r="J450" s="6" t="n">
        <f aca="false">FLOOR(H450,Assumptions!$B$8)</f>
        <v>112800</v>
      </c>
      <c r="K450" s="6" t="n">
        <f aca="false">ROUNDUP(H450,Assumptions!$B$9)</f>
        <v>112888</v>
      </c>
      <c r="L450" s="6" t="n">
        <f aca="false">ROUNDDOWN(H450,Assumptions!$B$10)</f>
        <v>112887</v>
      </c>
    </row>
    <row r="451" customFormat="false" ht="15" hidden="false" customHeight="false" outlineLevel="0" collapsed="false">
      <c r="A451" s="5" t="s">
        <v>494</v>
      </c>
      <c r="B451" s="6" t="n">
        <f aca="false">ROUND(CohortData!G451*CohortData!I451,2)</f>
        <v>87271.2</v>
      </c>
      <c r="C451" s="6" t="n">
        <f aca="false">ROUND(CohortData!L451*Assumptions!$B$4*CohortData!I451,2)</f>
        <v>11636.16</v>
      </c>
      <c r="D451" s="6" t="n">
        <f aca="false">ROUND(CohortData!E451*Assumptions!$B$5*CohortData!I451,2)</f>
        <v>4692</v>
      </c>
      <c r="E451" s="6" t="n">
        <f aca="false">ROUND(B451*Assumptions!$B$3,2)</f>
        <v>3054.49</v>
      </c>
      <c r="F451" s="6" t="n">
        <f aca="false">ROUND(B451*Assumptions!$B$6,2)</f>
        <v>1309.07</v>
      </c>
      <c r="G451" s="6" t="n">
        <f aca="false">ROUND(CohortData!G451*CohortData!I451-CohortData!G451*Assumptions!$B$7,2)</f>
        <v>11383.2</v>
      </c>
      <c r="H451" s="7" t="n">
        <f aca="false">SUM(B451:E451,F451:G451)</f>
        <v>119346.12</v>
      </c>
      <c r="I451" s="6" t="n">
        <f aca="false">CEILING(H451,Assumptions!$B$8)</f>
        <v>119400</v>
      </c>
      <c r="J451" s="6" t="n">
        <f aca="false">FLOOR(H451,Assumptions!$B$8)</f>
        <v>119300</v>
      </c>
      <c r="K451" s="6" t="n">
        <f aca="false">ROUNDUP(H451,Assumptions!$B$9)</f>
        <v>119347</v>
      </c>
      <c r="L451" s="6" t="n">
        <f aca="false">ROUNDDOWN(H451,Assumptions!$B$10)</f>
        <v>119346</v>
      </c>
    </row>
    <row r="452" customFormat="false" ht="15" hidden="false" customHeight="false" outlineLevel="0" collapsed="false">
      <c r="A452" s="5" t="s">
        <v>495</v>
      </c>
      <c r="B452" s="6" t="n">
        <f aca="false">ROUND(CohortData!G452*CohortData!I452,2)</f>
        <v>189420</v>
      </c>
      <c r="C452" s="6" t="n">
        <f aca="false">ROUND(CohortData!L452*Assumptions!$B$4*CohortData!I452,2)</f>
        <v>25256</v>
      </c>
      <c r="D452" s="6" t="n">
        <f aca="false">ROUND(CohortData!E452*Assumptions!$B$5*CohortData!I452,2)</f>
        <v>9020</v>
      </c>
      <c r="E452" s="6" t="n">
        <f aca="false">ROUND(B452*Assumptions!$B$3,2)</f>
        <v>6629.7</v>
      </c>
      <c r="F452" s="6" t="n">
        <f aca="false">ROUND(B452*Assumptions!$B$6,2)</f>
        <v>2841.3</v>
      </c>
      <c r="G452" s="6" t="n">
        <f aca="false">ROUND(CohortData!G452*CohortData!I452-CohortData!G452*Assumptions!$B$7,2)</f>
        <v>0</v>
      </c>
      <c r="H452" s="7" t="n">
        <f aca="false">SUM(B452:E452,F452:G452)</f>
        <v>233167</v>
      </c>
      <c r="I452" s="6" t="n">
        <f aca="false">CEILING(H452,Assumptions!$B$8)</f>
        <v>233200</v>
      </c>
      <c r="J452" s="6" t="n">
        <f aca="false">FLOOR(H452,Assumptions!$B$8)</f>
        <v>233100</v>
      </c>
      <c r="K452" s="6" t="n">
        <f aca="false">ROUNDUP(H452,Assumptions!$B$9)</f>
        <v>233167</v>
      </c>
      <c r="L452" s="6" t="n">
        <f aca="false">ROUNDDOWN(H452,Assumptions!$B$10)</f>
        <v>233167</v>
      </c>
    </row>
    <row r="453" customFormat="false" ht="15" hidden="false" customHeight="false" outlineLevel="0" collapsed="false">
      <c r="A453" s="5" t="s">
        <v>496</v>
      </c>
      <c r="B453" s="6" t="n">
        <f aca="false">ROUND(CohortData!G453*CohortData!I453,2)</f>
        <v>139920</v>
      </c>
      <c r="C453" s="6" t="n">
        <f aca="false">ROUND(CohortData!L453*Assumptions!$B$4*CohortData!I453,2)</f>
        <v>18656</v>
      </c>
      <c r="D453" s="6" t="n">
        <f aca="false">ROUND(CohortData!E453*Assumptions!$B$5*CohortData!I453,2)</f>
        <v>8480</v>
      </c>
      <c r="E453" s="6" t="n">
        <f aca="false">ROUND(B453*Assumptions!$B$3,2)</f>
        <v>4897.2</v>
      </c>
      <c r="F453" s="6" t="n">
        <f aca="false">ROUND(B453*Assumptions!$B$6,2)</f>
        <v>2098.8</v>
      </c>
      <c r="G453" s="6" t="n">
        <f aca="false">ROUND(CohortData!G453*CohortData!I453-CohortData!G453*Assumptions!$B$7,2)</f>
        <v>0</v>
      </c>
      <c r="H453" s="7" t="n">
        <f aca="false">SUM(B453:E453,F453:G453)</f>
        <v>174052</v>
      </c>
      <c r="I453" s="6" t="n">
        <f aca="false">CEILING(H453,Assumptions!$B$8)</f>
        <v>174100</v>
      </c>
      <c r="J453" s="6" t="n">
        <f aca="false">FLOOR(H453,Assumptions!$B$8)</f>
        <v>174000</v>
      </c>
      <c r="K453" s="6" t="n">
        <f aca="false">ROUNDUP(H453,Assumptions!$B$9)</f>
        <v>174052</v>
      </c>
      <c r="L453" s="6" t="n">
        <f aca="false">ROUNDDOWN(H453,Assumptions!$B$10)</f>
        <v>174052</v>
      </c>
    </row>
    <row r="454" customFormat="false" ht="15" hidden="false" customHeight="false" outlineLevel="0" collapsed="false">
      <c r="A454" s="5" t="s">
        <v>497</v>
      </c>
      <c r="B454" s="6" t="n">
        <f aca="false">ROUND(CohortData!G454*CohortData!I454,2)</f>
        <v>87420</v>
      </c>
      <c r="C454" s="6" t="n">
        <f aca="false">ROUND(CohortData!L454*Assumptions!$B$4*CohortData!I454,2)</f>
        <v>11656</v>
      </c>
      <c r="D454" s="6" t="n">
        <f aca="false">ROUND(CohortData!E454*Assumptions!$B$5*CohortData!I454,2)</f>
        <v>4700</v>
      </c>
      <c r="E454" s="6" t="n">
        <f aca="false">ROUND(B454*Assumptions!$B$3,2)</f>
        <v>3059.7</v>
      </c>
      <c r="F454" s="6" t="n">
        <f aca="false">ROUND(B454*Assumptions!$B$6,2)</f>
        <v>1311.3</v>
      </c>
      <c r="G454" s="6" t="n">
        <f aca="false">ROUND(CohortData!G454*CohortData!I454-CohortData!G454*Assumptions!$B$7,2)</f>
        <v>0</v>
      </c>
      <c r="H454" s="7" t="n">
        <f aca="false">SUM(B454:E454,F454:G454)</f>
        <v>108147</v>
      </c>
      <c r="I454" s="6" t="n">
        <f aca="false">CEILING(H454,Assumptions!$B$8)</f>
        <v>108200</v>
      </c>
      <c r="J454" s="6" t="n">
        <f aca="false">FLOOR(H454,Assumptions!$B$8)</f>
        <v>108100</v>
      </c>
      <c r="K454" s="6" t="n">
        <f aca="false">ROUNDUP(H454,Assumptions!$B$9)</f>
        <v>108147</v>
      </c>
      <c r="L454" s="6" t="n">
        <f aca="false">ROUNDDOWN(H454,Assumptions!$B$10)</f>
        <v>108147</v>
      </c>
    </row>
    <row r="455" customFormat="false" ht="15" hidden="false" customHeight="false" outlineLevel="0" collapsed="false">
      <c r="A455" s="5" t="s">
        <v>498</v>
      </c>
      <c r="B455" s="6" t="n">
        <f aca="false">ROUND(CohortData!G455*CohortData!I455,2)</f>
        <v>172914</v>
      </c>
      <c r="C455" s="6" t="n">
        <f aca="false">ROUND(CohortData!L455*Assumptions!$B$4*CohortData!I455,2)</f>
        <v>23055.2</v>
      </c>
      <c r="D455" s="6" t="n">
        <f aca="false">ROUND(CohortData!E455*Assumptions!$B$5*CohortData!I455,2)</f>
        <v>8234</v>
      </c>
      <c r="E455" s="6" t="n">
        <f aca="false">ROUND(B455*Assumptions!$B$3,2)</f>
        <v>6051.99</v>
      </c>
      <c r="F455" s="6" t="n">
        <f aca="false">ROUND(B455*Assumptions!$B$6,2)</f>
        <v>2593.71</v>
      </c>
      <c r="G455" s="6" t="n">
        <f aca="false">ROUND(CohortData!G455*CohortData!I455-CohortData!G455*Assumptions!$B$7,2)</f>
        <v>22554</v>
      </c>
      <c r="H455" s="7" t="n">
        <f aca="false">SUM(B455:E455,F455:G455)</f>
        <v>235402.9</v>
      </c>
      <c r="I455" s="6" t="n">
        <f aca="false">CEILING(H455,Assumptions!$B$8)</f>
        <v>235500</v>
      </c>
      <c r="J455" s="6" t="n">
        <f aca="false">FLOOR(H455,Assumptions!$B$8)</f>
        <v>235400</v>
      </c>
      <c r="K455" s="6" t="n">
        <f aca="false">ROUNDUP(H455,Assumptions!$B$9)</f>
        <v>235403</v>
      </c>
      <c r="L455" s="6" t="n">
        <f aca="false">ROUNDDOWN(H455,Assumptions!$B$10)</f>
        <v>235402</v>
      </c>
    </row>
    <row r="456" customFormat="false" ht="15" hidden="false" customHeight="false" outlineLevel="0" collapsed="false">
      <c r="A456" s="5" t="s">
        <v>499</v>
      </c>
      <c r="B456" s="6" t="n">
        <f aca="false">ROUND(CohortData!G456*CohortData!I456,2)</f>
        <v>115500</v>
      </c>
      <c r="C456" s="6" t="n">
        <f aca="false">ROUND(CohortData!L456*Assumptions!$B$4*CohortData!I456,2)</f>
        <v>15400</v>
      </c>
      <c r="D456" s="6" t="n">
        <f aca="false">ROUND(CohortData!E456*Assumptions!$B$5*CohortData!I456,2)</f>
        <v>7000</v>
      </c>
      <c r="E456" s="6" t="n">
        <f aca="false">ROUND(B456*Assumptions!$B$3,2)</f>
        <v>4042.5</v>
      </c>
      <c r="F456" s="6" t="n">
        <f aca="false">ROUND(B456*Assumptions!$B$6,2)</f>
        <v>1732.5</v>
      </c>
      <c r="G456" s="6" t="n">
        <f aca="false">ROUND(CohortData!G456*CohortData!I456-CohortData!G456*Assumptions!$B$7,2)</f>
        <v>0</v>
      </c>
      <c r="H456" s="7" t="n">
        <f aca="false">SUM(B456:E456,F456:G456)</f>
        <v>143675</v>
      </c>
      <c r="I456" s="6" t="n">
        <f aca="false">CEILING(H456,Assumptions!$B$8)</f>
        <v>143700</v>
      </c>
      <c r="J456" s="6" t="n">
        <f aca="false">FLOOR(H456,Assumptions!$B$8)</f>
        <v>143600</v>
      </c>
      <c r="K456" s="6" t="n">
        <f aca="false">ROUNDUP(H456,Assumptions!$B$9)</f>
        <v>143675</v>
      </c>
      <c r="L456" s="6" t="n">
        <f aca="false">ROUNDDOWN(H456,Assumptions!$B$10)</f>
        <v>143675</v>
      </c>
    </row>
    <row r="457" customFormat="false" ht="15" hidden="false" customHeight="false" outlineLevel="0" collapsed="false">
      <c r="A457" s="5" t="s">
        <v>500</v>
      </c>
      <c r="B457" s="6" t="n">
        <f aca="false">ROUND(CohortData!G457*CohortData!I457,2)</f>
        <v>84816</v>
      </c>
      <c r="C457" s="6" t="n">
        <f aca="false">ROUND(CohortData!L457*Assumptions!$B$4*CohortData!I457,2)</f>
        <v>11308.8</v>
      </c>
      <c r="D457" s="6" t="n">
        <f aca="false">ROUND(CohortData!E457*Assumptions!$B$5*CohortData!I457,2)</f>
        <v>4560</v>
      </c>
      <c r="E457" s="6" t="n">
        <f aca="false">ROUND(B457*Assumptions!$B$3,2)</f>
        <v>2968.56</v>
      </c>
      <c r="F457" s="6" t="n">
        <f aca="false">ROUND(B457*Assumptions!$B$6,2)</f>
        <v>1272.24</v>
      </c>
      <c r="G457" s="6" t="n">
        <f aca="false">ROUND(CohortData!G457*CohortData!I457-CohortData!G457*Assumptions!$B$7,2)</f>
        <v>0</v>
      </c>
      <c r="H457" s="7" t="n">
        <f aca="false">SUM(B457:E457,F457:G457)</f>
        <v>104925.6</v>
      </c>
      <c r="I457" s="6" t="n">
        <f aca="false">CEILING(H457,Assumptions!$B$8)</f>
        <v>105000</v>
      </c>
      <c r="J457" s="6" t="n">
        <f aca="false">FLOOR(H457,Assumptions!$B$8)</f>
        <v>104900</v>
      </c>
      <c r="K457" s="6" t="n">
        <f aca="false">ROUNDUP(H457,Assumptions!$B$9)</f>
        <v>104926</v>
      </c>
      <c r="L457" s="6" t="n">
        <f aca="false">ROUNDDOWN(H457,Assumptions!$B$10)</f>
        <v>104925</v>
      </c>
    </row>
    <row r="458" customFormat="false" ht="15" hidden="false" customHeight="false" outlineLevel="0" collapsed="false">
      <c r="A458" s="5" t="s">
        <v>501</v>
      </c>
      <c r="B458" s="6" t="n">
        <f aca="false">ROUND(CohortData!G458*CohortData!I458,2)</f>
        <v>52920</v>
      </c>
      <c r="C458" s="6" t="n">
        <f aca="false">ROUND(CohortData!L458*Assumptions!$B$4*CohortData!I458,2)</f>
        <v>7056</v>
      </c>
      <c r="D458" s="6" t="n">
        <f aca="false">ROUND(CohortData!E458*Assumptions!$B$5*CohortData!I458,2)</f>
        <v>2520</v>
      </c>
      <c r="E458" s="6" t="n">
        <f aca="false">ROUND(B458*Assumptions!$B$3,2)</f>
        <v>1852.2</v>
      </c>
      <c r="F458" s="6" t="n">
        <f aca="false">ROUND(B458*Assumptions!$B$6,2)</f>
        <v>793.8</v>
      </c>
      <c r="G458" s="6" t="n">
        <f aca="false">ROUND(CohortData!G458*CohortData!I458-CohortData!G458*Assumptions!$B$7,2)</f>
        <v>0</v>
      </c>
      <c r="H458" s="7" t="n">
        <f aca="false">SUM(B458:E458,F458:G458)</f>
        <v>65142</v>
      </c>
      <c r="I458" s="6" t="n">
        <f aca="false">CEILING(H458,Assumptions!$B$8)</f>
        <v>65200</v>
      </c>
      <c r="J458" s="6" t="n">
        <f aca="false">FLOOR(H458,Assumptions!$B$8)</f>
        <v>65100</v>
      </c>
      <c r="K458" s="6" t="n">
        <f aca="false">ROUNDUP(H458,Assumptions!$B$9)</f>
        <v>65142</v>
      </c>
      <c r="L458" s="6" t="n">
        <f aca="false">ROUNDDOWN(H458,Assumptions!$B$10)</f>
        <v>65142</v>
      </c>
    </row>
    <row r="459" customFormat="false" ht="15" hidden="false" customHeight="false" outlineLevel="0" collapsed="false">
      <c r="A459" s="5" t="s">
        <v>502</v>
      </c>
      <c r="B459" s="6" t="n">
        <f aca="false">ROUND(CohortData!G459*CohortData!I459,2)</f>
        <v>55786.5</v>
      </c>
      <c r="C459" s="6" t="n">
        <f aca="false">ROUND(CohortData!L459*Assumptions!$B$4*CohortData!I459,2)</f>
        <v>7438.2</v>
      </c>
      <c r="D459" s="6" t="n">
        <f aca="false">ROUND(CohortData!E459*Assumptions!$B$5*CohortData!I459,2)</f>
        <v>3381</v>
      </c>
      <c r="E459" s="6" t="n">
        <f aca="false">ROUND(B459*Assumptions!$B$3,2)</f>
        <v>1952.53</v>
      </c>
      <c r="F459" s="6" t="n">
        <f aca="false">ROUND(B459*Assumptions!$B$6,2)</f>
        <v>836.8</v>
      </c>
      <c r="G459" s="6" t="n">
        <f aca="false">ROUND(CohortData!G459*CohortData!I459-CohortData!G459*Assumptions!$B$7,2)</f>
        <v>7276.5</v>
      </c>
      <c r="H459" s="7" t="n">
        <f aca="false">SUM(B459:E459,F459:G459)</f>
        <v>76671.53</v>
      </c>
      <c r="I459" s="6" t="n">
        <f aca="false">CEILING(H459,Assumptions!$B$8)</f>
        <v>76700</v>
      </c>
      <c r="J459" s="6" t="n">
        <f aca="false">FLOOR(H459,Assumptions!$B$8)</f>
        <v>76600</v>
      </c>
      <c r="K459" s="6" t="n">
        <f aca="false">ROUNDUP(H459,Assumptions!$B$9)</f>
        <v>76672</v>
      </c>
      <c r="L459" s="6" t="n">
        <f aca="false">ROUNDDOWN(H459,Assumptions!$B$10)</f>
        <v>76671</v>
      </c>
    </row>
    <row r="460" customFormat="false" ht="15" hidden="false" customHeight="false" outlineLevel="0" collapsed="false">
      <c r="A460" s="5" t="s">
        <v>503</v>
      </c>
      <c r="B460" s="6" t="n">
        <f aca="false">ROUND(CohortData!G460*CohortData!I460,2)</f>
        <v>157728</v>
      </c>
      <c r="C460" s="6" t="n">
        <f aca="false">ROUND(CohortData!L460*Assumptions!$B$4*CohortData!I460,2)</f>
        <v>21030.4</v>
      </c>
      <c r="D460" s="6" t="n">
        <f aca="false">ROUND(CohortData!E460*Assumptions!$B$5*CohortData!I460,2)</f>
        <v>8480</v>
      </c>
      <c r="E460" s="6" t="n">
        <f aca="false">ROUND(B460*Assumptions!$B$3,2)</f>
        <v>5520.48</v>
      </c>
      <c r="F460" s="6" t="n">
        <f aca="false">ROUND(B460*Assumptions!$B$6,2)</f>
        <v>2365.92</v>
      </c>
      <c r="G460" s="6" t="n">
        <f aca="false">ROUND(CohortData!G460*CohortData!I460-CohortData!G460*Assumptions!$B$7,2)</f>
        <v>0</v>
      </c>
      <c r="H460" s="7" t="n">
        <f aca="false">SUM(B460:E460,F460:G460)</f>
        <v>195124.8</v>
      </c>
      <c r="I460" s="6" t="n">
        <f aca="false">CEILING(H460,Assumptions!$B$8)</f>
        <v>195200</v>
      </c>
      <c r="J460" s="6" t="n">
        <f aca="false">FLOOR(H460,Assumptions!$B$8)</f>
        <v>195100</v>
      </c>
      <c r="K460" s="6" t="n">
        <f aca="false">ROUNDUP(H460,Assumptions!$B$9)</f>
        <v>195125</v>
      </c>
      <c r="L460" s="6" t="n">
        <f aca="false">ROUNDDOWN(H460,Assumptions!$B$10)</f>
        <v>195124</v>
      </c>
    </row>
    <row r="461" customFormat="false" ht="15" hidden="false" customHeight="false" outlineLevel="0" collapsed="false">
      <c r="A461" s="5" t="s">
        <v>504</v>
      </c>
      <c r="B461" s="6" t="n">
        <f aca="false">ROUND(CohortData!G461*CohortData!I461,2)</f>
        <v>132720</v>
      </c>
      <c r="C461" s="6" t="n">
        <f aca="false">ROUND(CohortData!L461*Assumptions!$B$4*CohortData!I461,2)</f>
        <v>17696</v>
      </c>
      <c r="D461" s="6" t="n">
        <f aca="false">ROUND(CohortData!E461*Assumptions!$B$5*CohortData!I461,2)</f>
        <v>6320</v>
      </c>
      <c r="E461" s="6" t="n">
        <f aca="false">ROUND(B461*Assumptions!$B$3,2)</f>
        <v>4645.2</v>
      </c>
      <c r="F461" s="6" t="n">
        <f aca="false">ROUND(B461*Assumptions!$B$6,2)</f>
        <v>1990.8</v>
      </c>
      <c r="G461" s="6" t="n">
        <f aca="false">ROUND(CohortData!G461*CohortData!I461-CohortData!G461*Assumptions!$B$7,2)</f>
        <v>0</v>
      </c>
      <c r="H461" s="7" t="n">
        <f aca="false">SUM(B461:E461,F461:G461)</f>
        <v>163372</v>
      </c>
      <c r="I461" s="6" t="n">
        <f aca="false">CEILING(H461,Assumptions!$B$8)</f>
        <v>163400</v>
      </c>
      <c r="J461" s="6" t="n">
        <f aca="false">FLOOR(H461,Assumptions!$B$8)</f>
        <v>163300</v>
      </c>
      <c r="K461" s="6" t="n">
        <f aca="false">ROUNDUP(H461,Assumptions!$B$9)</f>
        <v>163372</v>
      </c>
      <c r="L461" s="6" t="n">
        <f aca="false">ROUNDDOWN(H461,Assumptions!$B$10)</f>
        <v>163372</v>
      </c>
    </row>
    <row r="462" customFormat="false" ht="15" hidden="false" customHeight="false" outlineLevel="0" collapsed="false">
      <c r="A462" s="5" t="s">
        <v>505</v>
      </c>
      <c r="B462" s="6" t="n">
        <f aca="false">ROUND(CohortData!G462*CohortData!I462,2)</f>
        <v>79530</v>
      </c>
      <c r="C462" s="6" t="n">
        <f aca="false">ROUND(CohortData!L462*Assumptions!$B$4*CohortData!I462,2)</f>
        <v>0</v>
      </c>
      <c r="D462" s="6" t="n">
        <f aca="false">ROUND(CohortData!E462*Assumptions!$B$5*CohortData!I462,2)</f>
        <v>4820</v>
      </c>
      <c r="E462" s="6" t="n">
        <f aca="false">ROUND(B462*Assumptions!$B$3,2)</f>
        <v>2783.55</v>
      </c>
      <c r="F462" s="6" t="n">
        <f aca="false">ROUND(B462*Assumptions!$B$6,2)</f>
        <v>1192.95</v>
      </c>
      <c r="G462" s="6" t="n">
        <f aca="false">ROUND(CohortData!G462*CohortData!I462-CohortData!G462*Assumptions!$B$7,2)</f>
        <v>0</v>
      </c>
      <c r="H462" s="7" t="n">
        <f aca="false">SUM(B462:E462,F462:G462)</f>
        <v>88326.5</v>
      </c>
      <c r="I462" s="6" t="n">
        <f aca="false">CEILING(H462,Assumptions!$B$8)</f>
        <v>88400</v>
      </c>
      <c r="J462" s="6" t="n">
        <f aca="false">FLOOR(H462,Assumptions!$B$8)</f>
        <v>88300</v>
      </c>
      <c r="K462" s="6" t="n">
        <f aca="false">ROUNDUP(H462,Assumptions!$B$9)</f>
        <v>88327</v>
      </c>
      <c r="L462" s="6" t="n">
        <f aca="false">ROUNDDOWN(H462,Assumptions!$B$10)</f>
        <v>88326</v>
      </c>
    </row>
    <row r="463" customFormat="false" ht="15" hidden="false" customHeight="false" outlineLevel="0" collapsed="false">
      <c r="A463" s="5" t="s">
        <v>506</v>
      </c>
      <c r="B463" s="6" t="n">
        <f aca="false">ROUND(CohortData!G463*CohortData!I463,2)</f>
        <v>52191.6</v>
      </c>
      <c r="C463" s="6" t="n">
        <f aca="false">ROUND(CohortData!L463*Assumptions!$B$4*CohortData!I463,2)</f>
        <v>6958.88</v>
      </c>
      <c r="D463" s="6" t="n">
        <f aca="false">ROUND(CohortData!E463*Assumptions!$B$5*CohortData!I463,2)</f>
        <v>2806</v>
      </c>
      <c r="E463" s="6" t="n">
        <f aca="false">ROUND(B463*Assumptions!$B$3,2)</f>
        <v>1826.71</v>
      </c>
      <c r="F463" s="6" t="n">
        <f aca="false">ROUND(B463*Assumptions!$B$6,2)</f>
        <v>782.87</v>
      </c>
      <c r="G463" s="6" t="n">
        <f aca="false">ROUND(CohortData!G463*CohortData!I463-CohortData!G463*Assumptions!$B$7,2)</f>
        <v>6807.6</v>
      </c>
      <c r="H463" s="7" t="n">
        <f aca="false">SUM(B463:E463,F463:G463)</f>
        <v>71373.66</v>
      </c>
      <c r="I463" s="6" t="n">
        <f aca="false">CEILING(H463,Assumptions!$B$8)</f>
        <v>71400</v>
      </c>
      <c r="J463" s="6" t="n">
        <f aca="false">FLOOR(H463,Assumptions!$B$8)</f>
        <v>71300</v>
      </c>
      <c r="K463" s="6" t="n">
        <f aca="false">ROUNDUP(H463,Assumptions!$B$9)</f>
        <v>71374</v>
      </c>
      <c r="L463" s="6" t="n">
        <f aca="false">ROUNDDOWN(H463,Assumptions!$B$10)</f>
        <v>71373</v>
      </c>
    </row>
    <row r="464" customFormat="false" ht="15" hidden="false" customHeight="false" outlineLevel="0" collapsed="false">
      <c r="A464" s="5" t="s">
        <v>507</v>
      </c>
      <c r="B464" s="6" t="n">
        <f aca="false">ROUND(CohortData!G464*CohortData!I464,2)</f>
        <v>42420</v>
      </c>
      <c r="C464" s="6" t="n">
        <f aca="false">ROUND(CohortData!L464*Assumptions!$B$4*CohortData!I464,2)</f>
        <v>5656</v>
      </c>
      <c r="D464" s="6" t="n">
        <f aca="false">ROUND(CohortData!E464*Assumptions!$B$5*CohortData!I464,2)</f>
        <v>2020</v>
      </c>
      <c r="E464" s="6" t="n">
        <f aca="false">ROUND(B464*Assumptions!$B$3,2)</f>
        <v>1484.7</v>
      </c>
      <c r="F464" s="6" t="n">
        <f aca="false">ROUND(B464*Assumptions!$B$6,2)</f>
        <v>636.3</v>
      </c>
      <c r="G464" s="6" t="n">
        <f aca="false">ROUND(CohortData!G464*CohortData!I464-CohortData!G464*Assumptions!$B$7,2)</f>
        <v>0</v>
      </c>
      <c r="H464" s="7" t="n">
        <f aca="false">SUM(B464:E464,F464:G464)</f>
        <v>52217</v>
      </c>
      <c r="I464" s="6" t="n">
        <f aca="false">CEILING(H464,Assumptions!$B$8)</f>
        <v>52300</v>
      </c>
      <c r="J464" s="6" t="n">
        <f aca="false">FLOOR(H464,Assumptions!$B$8)</f>
        <v>52200</v>
      </c>
      <c r="K464" s="6" t="n">
        <f aca="false">ROUNDUP(H464,Assumptions!$B$9)</f>
        <v>52217</v>
      </c>
      <c r="L464" s="6" t="n">
        <f aca="false">ROUNDDOWN(H464,Assumptions!$B$10)</f>
        <v>52217</v>
      </c>
    </row>
    <row r="465" customFormat="false" ht="15" hidden="false" customHeight="false" outlineLevel="0" collapsed="false">
      <c r="A465" s="5" t="s">
        <v>508</v>
      </c>
      <c r="B465" s="6" t="n">
        <f aca="false">ROUND(CohortData!G465*CohortData!I465,2)</f>
        <v>89100</v>
      </c>
      <c r="C465" s="6" t="n">
        <f aca="false">ROUND(CohortData!L465*Assumptions!$B$4*CohortData!I465,2)</f>
        <v>11880</v>
      </c>
      <c r="D465" s="6" t="n">
        <f aca="false">ROUND(CohortData!E465*Assumptions!$B$5*CohortData!I465,2)</f>
        <v>5400</v>
      </c>
      <c r="E465" s="6" t="n">
        <f aca="false">ROUND(B465*Assumptions!$B$3,2)</f>
        <v>3118.5</v>
      </c>
      <c r="F465" s="6" t="n">
        <f aca="false">ROUND(B465*Assumptions!$B$6,2)</f>
        <v>1336.5</v>
      </c>
      <c r="G465" s="6" t="n">
        <f aca="false">ROUND(CohortData!G465*CohortData!I465-CohortData!G465*Assumptions!$B$7,2)</f>
        <v>0</v>
      </c>
      <c r="H465" s="7" t="n">
        <f aca="false">SUM(B465:E465,F465:G465)</f>
        <v>110835</v>
      </c>
      <c r="I465" s="6" t="n">
        <f aca="false">CEILING(H465,Assumptions!$B$8)</f>
        <v>110900</v>
      </c>
      <c r="J465" s="6" t="n">
        <f aca="false">FLOOR(H465,Assumptions!$B$8)</f>
        <v>110800</v>
      </c>
      <c r="K465" s="6" t="n">
        <f aca="false">ROUNDUP(H465,Assumptions!$B$9)</f>
        <v>110835</v>
      </c>
      <c r="L465" s="6" t="n">
        <f aca="false">ROUNDDOWN(H465,Assumptions!$B$10)</f>
        <v>110835</v>
      </c>
    </row>
    <row r="466" customFormat="false" ht="15" hidden="false" customHeight="false" outlineLevel="0" collapsed="false">
      <c r="A466" s="5" t="s">
        <v>509</v>
      </c>
      <c r="B466" s="6" t="n">
        <f aca="false">ROUND(CohortData!G466*CohortData!I466,2)</f>
        <v>183768</v>
      </c>
      <c r="C466" s="6" t="n">
        <f aca="false">ROUND(CohortData!L466*Assumptions!$B$4*CohortData!I466,2)</f>
        <v>24502.4</v>
      </c>
      <c r="D466" s="6" t="n">
        <f aca="false">ROUND(CohortData!E466*Assumptions!$B$5*CohortData!I466,2)</f>
        <v>9880</v>
      </c>
      <c r="E466" s="6" t="n">
        <f aca="false">ROUND(B466*Assumptions!$B$3,2)</f>
        <v>6431.88</v>
      </c>
      <c r="F466" s="6" t="n">
        <f aca="false">ROUND(B466*Assumptions!$B$6,2)</f>
        <v>2756.52</v>
      </c>
      <c r="G466" s="6" t="n">
        <f aca="false">ROUND(CohortData!G466*CohortData!I466-CohortData!G466*Assumptions!$B$7,2)</f>
        <v>0</v>
      </c>
      <c r="H466" s="7" t="n">
        <f aca="false">SUM(B466:E466,F466:G466)</f>
        <v>227338.8</v>
      </c>
      <c r="I466" s="6" t="n">
        <f aca="false">CEILING(H466,Assumptions!$B$8)</f>
        <v>227400</v>
      </c>
      <c r="J466" s="6" t="n">
        <f aca="false">FLOOR(H466,Assumptions!$B$8)</f>
        <v>227300</v>
      </c>
      <c r="K466" s="6" t="n">
        <f aca="false">ROUNDUP(H466,Assumptions!$B$9)</f>
        <v>227339</v>
      </c>
      <c r="L466" s="6" t="n">
        <f aca="false">ROUNDDOWN(H466,Assumptions!$B$10)</f>
        <v>227338</v>
      </c>
    </row>
    <row r="467" customFormat="false" ht="15" hidden="false" customHeight="false" outlineLevel="0" collapsed="false">
      <c r="A467" s="5" t="s">
        <v>510</v>
      </c>
      <c r="B467" s="6" t="n">
        <f aca="false">ROUND(CohortData!G467*CohortData!I467,2)</f>
        <v>80178</v>
      </c>
      <c r="C467" s="6" t="n">
        <f aca="false">ROUND(CohortData!L467*Assumptions!$B$4*CohortData!I467,2)</f>
        <v>10690.4</v>
      </c>
      <c r="D467" s="6" t="n">
        <f aca="false">ROUND(CohortData!E467*Assumptions!$B$5*CohortData!I467,2)</f>
        <v>3818</v>
      </c>
      <c r="E467" s="6" t="n">
        <f aca="false">ROUND(B467*Assumptions!$B$3,2)</f>
        <v>2806.23</v>
      </c>
      <c r="F467" s="6" t="n">
        <f aca="false">ROUND(B467*Assumptions!$B$6,2)</f>
        <v>1202.67</v>
      </c>
      <c r="G467" s="6" t="n">
        <f aca="false">ROUND(CohortData!G467*CohortData!I467-CohortData!G467*Assumptions!$B$7,2)</f>
        <v>10458</v>
      </c>
      <c r="H467" s="7" t="n">
        <f aca="false">SUM(B467:E467,F467:G467)</f>
        <v>109153.3</v>
      </c>
      <c r="I467" s="6" t="n">
        <f aca="false">CEILING(H467,Assumptions!$B$8)</f>
        <v>109200</v>
      </c>
      <c r="J467" s="6" t="n">
        <f aca="false">FLOOR(H467,Assumptions!$B$8)</f>
        <v>109100</v>
      </c>
      <c r="K467" s="6" t="n">
        <f aca="false">ROUNDUP(H467,Assumptions!$B$9)</f>
        <v>109154</v>
      </c>
      <c r="L467" s="6" t="n">
        <f aca="false">ROUNDDOWN(H467,Assumptions!$B$10)</f>
        <v>109153</v>
      </c>
    </row>
    <row r="468" customFormat="false" ht="15" hidden="false" customHeight="false" outlineLevel="0" collapsed="false">
      <c r="A468" s="5" t="s">
        <v>511</v>
      </c>
      <c r="B468" s="6" t="n">
        <f aca="false">ROUND(CohortData!G468*CohortData!I468,2)</f>
        <v>140580</v>
      </c>
      <c r="C468" s="6" t="n">
        <f aca="false">ROUND(CohortData!L468*Assumptions!$B$4*CohortData!I468,2)</f>
        <v>18744</v>
      </c>
      <c r="D468" s="6" t="n">
        <f aca="false">ROUND(CohortData!E468*Assumptions!$B$5*CohortData!I468,2)</f>
        <v>8520</v>
      </c>
      <c r="E468" s="6" t="n">
        <f aca="false">ROUND(B468*Assumptions!$B$3,2)</f>
        <v>4920.3</v>
      </c>
      <c r="F468" s="6" t="n">
        <f aca="false">ROUND(B468*Assumptions!$B$6,2)</f>
        <v>2108.7</v>
      </c>
      <c r="G468" s="6" t="n">
        <f aca="false">ROUND(CohortData!G468*CohortData!I468-CohortData!G468*Assumptions!$B$7,2)</f>
        <v>0</v>
      </c>
      <c r="H468" s="7" t="n">
        <f aca="false">SUM(B468:E468,F468:G468)</f>
        <v>174873</v>
      </c>
      <c r="I468" s="6" t="n">
        <f aca="false">CEILING(H468,Assumptions!$B$8)</f>
        <v>174900</v>
      </c>
      <c r="J468" s="6" t="n">
        <f aca="false">FLOOR(H468,Assumptions!$B$8)</f>
        <v>174800</v>
      </c>
      <c r="K468" s="6" t="n">
        <f aca="false">ROUNDUP(H468,Assumptions!$B$9)</f>
        <v>174873</v>
      </c>
      <c r="L468" s="6" t="n">
        <f aca="false">ROUNDDOWN(H468,Assumptions!$B$10)</f>
        <v>174873</v>
      </c>
    </row>
    <row r="469" customFormat="false" ht="15" hidden="false" customHeight="false" outlineLevel="0" collapsed="false">
      <c r="A469" s="5" t="s">
        <v>512</v>
      </c>
      <c r="B469" s="6" t="n">
        <f aca="false">ROUND(CohortData!G469*CohortData!I469,2)</f>
        <v>87048</v>
      </c>
      <c r="C469" s="6" t="n">
        <f aca="false">ROUND(CohortData!L469*Assumptions!$B$4*CohortData!I469,2)</f>
        <v>11606.4</v>
      </c>
      <c r="D469" s="6" t="n">
        <f aca="false">ROUND(CohortData!E469*Assumptions!$B$5*CohortData!I469,2)</f>
        <v>4680</v>
      </c>
      <c r="E469" s="6" t="n">
        <f aca="false">ROUND(B469*Assumptions!$B$3,2)</f>
        <v>3046.68</v>
      </c>
      <c r="F469" s="6" t="n">
        <f aca="false">ROUND(B469*Assumptions!$B$6,2)</f>
        <v>1305.72</v>
      </c>
      <c r="G469" s="6" t="n">
        <f aca="false">ROUND(CohortData!G469*CohortData!I469-CohortData!G469*Assumptions!$B$7,2)</f>
        <v>0</v>
      </c>
      <c r="H469" s="7" t="n">
        <f aca="false">SUM(B469:E469,F469:G469)</f>
        <v>107686.8</v>
      </c>
      <c r="I469" s="6" t="n">
        <f aca="false">CEILING(H469,Assumptions!$B$8)</f>
        <v>107700</v>
      </c>
      <c r="J469" s="6" t="n">
        <f aca="false">FLOOR(H469,Assumptions!$B$8)</f>
        <v>107600</v>
      </c>
      <c r="K469" s="6" t="n">
        <f aca="false">ROUNDUP(H469,Assumptions!$B$9)</f>
        <v>107687</v>
      </c>
      <c r="L469" s="6" t="n">
        <f aca="false">ROUNDDOWN(H469,Assumptions!$B$10)</f>
        <v>107686</v>
      </c>
    </row>
    <row r="470" customFormat="false" ht="15" hidden="false" customHeight="false" outlineLevel="0" collapsed="false">
      <c r="A470" s="5" t="s">
        <v>513</v>
      </c>
      <c r="B470" s="6" t="n">
        <f aca="false">ROUND(CohortData!G470*CohortData!I470,2)</f>
        <v>76440</v>
      </c>
      <c r="C470" s="6" t="n">
        <f aca="false">ROUND(CohortData!L470*Assumptions!$B$4*CohortData!I470,2)</f>
        <v>10192</v>
      </c>
      <c r="D470" s="6" t="n">
        <f aca="false">ROUND(CohortData!E470*Assumptions!$B$5*CohortData!I470,2)</f>
        <v>3640</v>
      </c>
      <c r="E470" s="6" t="n">
        <f aca="false">ROUND(B470*Assumptions!$B$3,2)</f>
        <v>2675.4</v>
      </c>
      <c r="F470" s="6" t="n">
        <f aca="false">ROUND(B470*Assumptions!$B$6,2)</f>
        <v>1146.6</v>
      </c>
      <c r="G470" s="6" t="n">
        <f aca="false">ROUND(CohortData!G470*CohortData!I470-CohortData!G470*Assumptions!$B$7,2)</f>
        <v>0</v>
      </c>
      <c r="H470" s="7" t="n">
        <f aca="false">SUM(B470:E470,F470:G470)</f>
        <v>94094</v>
      </c>
      <c r="I470" s="6" t="n">
        <f aca="false">CEILING(H470,Assumptions!$B$8)</f>
        <v>94100</v>
      </c>
      <c r="J470" s="6" t="n">
        <f aca="false">FLOOR(H470,Assumptions!$B$8)</f>
        <v>94000</v>
      </c>
      <c r="K470" s="6" t="n">
        <f aca="false">ROUNDUP(H470,Assumptions!$B$9)</f>
        <v>94094</v>
      </c>
      <c r="L470" s="6" t="n">
        <f aca="false">ROUNDDOWN(H470,Assumptions!$B$10)</f>
        <v>94094</v>
      </c>
    </row>
    <row r="471" customFormat="false" ht="15" hidden="false" customHeight="false" outlineLevel="0" collapsed="false">
      <c r="A471" s="5" t="s">
        <v>514</v>
      </c>
      <c r="B471" s="6" t="n">
        <f aca="false">ROUND(CohortData!G471*CohortData!I471,2)</f>
        <v>181780.5</v>
      </c>
      <c r="C471" s="6" t="n">
        <f aca="false">ROUND(CohortData!L471*Assumptions!$B$4*CohortData!I471,2)</f>
        <v>24237.4</v>
      </c>
      <c r="D471" s="6" t="n">
        <f aca="false">ROUND(CohortData!E471*Assumptions!$B$5*CohortData!I471,2)</f>
        <v>11017</v>
      </c>
      <c r="E471" s="6" t="n">
        <f aca="false">ROUND(B471*Assumptions!$B$3,2)</f>
        <v>6362.32</v>
      </c>
      <c r="F471" s="6" t="n">
        <f aca="false">ROUND(B471*Assumptions!$B$6,2)</f>
        <v>2726.71</v>
      </c>
      <c r="G471" s="6" t="n">
        <f aca="false">ROUND(CohortData!G471*CohortData!I471-CohortData!G471*Assumptions!$B$7,2)</f>
        <v>23710.5</v>
      </c>
      <c r="H471" s="7" t="n">
        <f aca="false">SUM(B471:E471,F471:G471)</f>
        <v>249834.43</v>
      </c>
      <c r="I471" s="6" t="n">
        <f aca="false">CEILING(H471,Assumptions!$B$8)</f>
        <v>249900</v>
      </c>
      <c r="J471" s="6" t="n">
        <f aca="false">FLOOR(H471,Assumptions!$B$8)</f>
        <v>249800</v>
      </c>
      <c r="K471" s="6" t="n">
        <f aca="false">ROUNDUP(H471,Assumptions!$B$9)</f>
        <v>249835</v>
      </c>
      <c r="L471" s="6" t="n">
        <f aca="false">ROUNDDOWN(H471,Assumptions!$B$10)</f>
        <v>249834</v>
      </c>
    </row>
    <row r="472" customFormat="false" ht="15" hidden="false" customHeight="false" outlineLevel="0" collapsed="false">
      <c r="A472" s="5" t="s">
        <v>515</v>
      </c>
      <c r="B472" s="6" t="n">
        <f aca="false">ROUND(CohortData!G472*CohortData!I472,2)</f>
        <v>121272</v>
      </c>
      <c r="C472" s="6" t="n">
        <f aca="false">ROUND(CohortData!L472*Assumptions!$B$4*CohortData!I472,2)</f>
        <v>16169.6</v>
      </c>
      <c r="D472" s="6" t="n">
        <f aca="false">ROUND(CohortData!E472*Assumptions!$B$5*CohortData!I472,2)</f>
        <v>6520</v>
      </c>
      <c r="E472" s="6" t="n">
        <f aca="false">ROUND(B472*Assumptions!$B$3,2)</f>
        <v>4244.52</v>
      </c>
      <c r="F472" s="6" t="n">
        <f aca="false">ROUND(B472*Assumptions!$B$6,2)</f>
        <v>1819.08</v>
      </c>
      <c r="G472" s="6" t="n">
        <f aca="false">ROUND(CohortData!G472*CohortData!I472-CohortData!G472*Assumptions!$B$7,2)</f>
        <v>0</v>
      </c>
      <c r="H472" s="7" t="n">
        <f aca="false">SUM(B472:E472,F472:G472)</f>
        <v>150025.2</v>
      </c>
      <c r="I472" s="6" t="n">
        <f aca="false">CEILING(H472,Assumptions!$B$8)</f>
        <v>150100</v>
      </c>
      <c r="J472" s="6" t="n">
        <f aca="false">FLOOR(H472,Assumptions!$B$8)</f>
        <v>150000</v>
      </c>
      <c r="K472" s="6" t="n">
        <f aca="false">ROUNDUP(H472,Assumptions!$B$9)</f>
        <v>150026</v>
      </c>
      <c r="L472" s="6" t="n">
        <f aca="false">ROUNDDOWN(H472,Assumptions!$B$10)</f>
        <v>150025</v>
      </c>
    </row>
    <row r="473" customFormat="false" ht="15" hidden="false" customHeight="false" outlineLevel="0" collapsed="false">
      <c r="A473" s="5" t="s">
        <v>516</v>
      </c>
      <c r="B473" s="6" t="n">
        <f aca="false">ROUND(CohortData!G473*CohortData!I473,2)</f>
        <v>160440</v>
      </c>
      <c r="C473" s="6" t="n">
        <f aca="false">ROUND(CohortData!L473*Assumptions!$B$4*CohortData!I473,2)</f>
        <v>21392</v>
      </c>
      <c r="D473" s="6" t="n">
        <f aca="false">ROUND(CohortData!E473*Assumptions!$B$5*CohortData!I473,2)</f>
        <v>7640</v>
      </c>
      <c r="E473" s="6" t="n">
        <f aca="false">ROUND(B473*Assumptions!$B$3,2)</f>
        <v>5615.4</v>
      </c>
      <c r="F473" s="6" t="n">
        <f aca="false">ROUND(B473*Assumptions!$B$6,2)</f>
        <v>2406.6</v>
      </c>
      <c r="G473" s="6" t="n">
        <f aca="false">ROUND(CohortData!G473*CohortData!I473-CohortData!G473*Assumptions!$B$7,2)</f>
        <v>0</v>
      </c>
      <c r="H473" s="7" t="n">
        <f aca="false">SUM(B473:E473,F473:G473)</f>
        <v>197494</v>
      </c>
      <c r="I473" s="6" t="n">
        <f aca="false">CEILING(H473,Assumptions!$B$8)</f>
        <v>197500</v>
      </c>
      <c r="J473" s="6" t="n">
        <f aca="false">FLOOR(H473,Assumptions!$B$8)</f>
        <v>197400</v>
      </c>
      <c r="K473" s="6" t="n">
        <f aca="false">ROUNDUP(H473,Assumptions!$B$9)</f>
        <v>197494</v>
      </c>
      <c r="L473" s="6" t="n">
        <f aca="false">ROUNDDOWN(H473,Assumptions!$B$10)</f>
        <v>197494</v>
      </c>
    </row>
    <row r="474" customFormat="false" ht="15" hidden="false" customHeight="false" outlineLevel="0" collapsed="false">
      <c r="A474" s="5" t="s">
        <v>517</v>
      </c>
      <c r="B474" s="6" t="n">
        <f aca="false">ROUND(CohortData!G474*CohortData!I474,2)</f>
        <v>152130</v>
      </c>
      <c r="C474" s="6" t="n">
        <f aca="false">ROUND(CohortData!L474*Assumptions!$B$4*CohortData!I474,2)</f>
        <v>20284</v>
      </c>
      <c r="D474" s="6" t="n">
        <f aca="false">ROUND(CohortData!E474*Assumptions!$B$5*CohortData!I474,2)</f>
        <v>9220</v>
      </c>
      <c r="E474" s="6" t="n">
        <f aca="false">ROUND(B474*Assumptions!$B$3,2)</f>
        <v>5324.55</v>
      </c>
      <c r="F474" s="6" t="n">
        <f aca="false">ROUND(B474*Assumptions!$B$6,2)</f>
        <v>2281.95</v>
      </c>
      <c r="G474" s="6" t="n">
        <f aca="false">ROUND(CohortData!G474*CohortData!I474-CohortData!G474*Assumptions!$B$7,2)</f>
        <v>0</v>
      </c>
      <c r="H474" s="7" t="n">
        <f aca="false">SUM(B474:E474,F474:G474)</f>
        <v>189240.5</v>
      </c>
      <c r="I474" s="6" t="n">
        <f aca="false">CEILING(H474,Assumptions!$B$8)</f>
        <v>189300</v>
      </c>
      <c r="J474" s="6" t="n">
        <f aca="false">FLOOR(H474,Assumptions!$B$8)</f>
        <v>189200</v>
      </c>
      <c r="K474" s="6" t="n">
        <f aca="false">ROUNDUP(H474,Assumptions!$B$9)</f>
        <v>189241</v>
      </c>
      <c r="L474" s="6" t="n">
        <f aca="false">ROUNDDOWN(H474,Assumptions!$B$10)</f>
        <v>189240</v>
      </c>
    </row>
    <row r="475" customFormat="false" ht="15" hidden="false" customHeight="false" outlineLevel="0" collapsed="false">
      <c r="A475" s="5" t="s">
        <v>518</v>
      </c>
      <c r="B475" s="6" t="n">
        <f aca="false">ROUND(CohortData!G475*CohortData!I475,2)</f>
        <v>136040.4</v>
      </c>
      <c r="C475" s="6" t="n">
        <f aca="false">ROUND(CohortData!L475*Assumptions!$B$4*CohortData!I475,2)</f>
        <v>18138.72</v>
      </c>
      <c r="D475" s="6" t="n">
        <f aca="false">ROUND(CohortData!E475*Assumptions!$B$5*CohortData!I475,2)</f>
        <v>7314</v>
      </c>
      <c r="E475" s="6" t="n">
        <f aca="false">ROUND(B475*Assumptions!$B$3,2)</f>
        <v>4761.41</v>
      </c>
      <c r="F475" s="6" t="n">
        <f aca="false">ROUND(B475*Assumptions!$B$6,2)</f>
        <v>2040.61</v>
      </c>
      <c r="G475" s="6" t="n">
        <f aca="false">ROUND(CohortData!G475*CohortData!I475-CohortData!G475*Assumptions!$B$7,2)</f>
        <v>17744.4</v>
      </c>
      <c r="H475" s="7" t="n">
        <f aca="false">SUM(B475:E475,F475:G475)</f>
        <v>186039.54</v>
      </c>
      <c r="I475" s="6" t="n">
        <f aca="false">CEILING(H475,Assumptions!$B$8)</f>
        <v>186100</v>
      </c>
      <c r="J475" s="6" t="n">
        <f aca="false">FLOOR(H475,Assumptions!$B$8)</f>
        <v>186000</v>
      </c>
      <c r="K475" s="6" t="n">
        <f aca="false">ROUNDUP(H475,Assumptions!$B$9)</f>
        <v>186040</v>
      </c>
      <c r="L475" s="6" t="n">
        <f aca="false">ROUNDDOWN(H475,Assumptions!$B$10)</f>
        <v>186039</v>
      </c>
    </row>
    <row r="476" customFormat="false" ht="15" hidden="false" customHeight="false" outlineLevel="0" collapsed="false">
      <c r="A476" s="5" t="s">
        <v>519</v>
      </c>
      <c r="B476" s="6" t="n">
        <f aca="false">ROUND(CohortData!G476*CohortData!I476,2)</f>
        <v>162540</v>
      </c>
      <c r="C476" s="6" t="n">
        <f aca="false">ROUND(CohortData!L476*Assumptions!$B$4*CohortData!I476,2)</f>
        <v>21672</v>
      </c>
      <c r="D476" s="6" t="n">
        <f aca="false">ROUND(CohortData!E476*Assumptions!$B$5*CohortData!I476,2)</f>
        <v>7740</v>
      </c>
      <c r="E476" s="6" t="n">
        <f aca="false">ROUND(B476*Assumptions!$B$3,2)</f>
        <v>5688.9</v>
      </c>
      <c r="F476" s="6" t="n">
        <f aca="false">ROUND(B476*Assumptions!$B$6,2)</f>
        <v>2438.1</v>
      </c>
      <c r="G476" s="6" t="n">
        <f aca="false">ROUND(CohortData!G476*CohortData!I476-CohortData!G476*Assumptions!$B$7,2)</f>
        <v>0</v>
      </c>
      <c r="H476" s="7" t="n">
        <f aca="false">SUM(B476:E476,F476:G476)</f>
        <v>200079</v>
      </c>
      <c r="I476" s="6" t="n">
        <f aca="false">CEILING(H476,Assumptions!$B$8)</f>
        <v>200100</v>
      </c>
      <c r="J476" s="6" t="n">
        <f aca="false">FLOOR(H476,Assumptions!$B$8)</f>
        <v>200000</v>
      </c>
      <c r="K476" s="6" t="n">
        <f aca="false">ROUNDUP(H476,Assumptions!$B$9)</f>
        <v>200079</v>
      </c>
      <c r="L476" s="6" t="n">
        <f aca="false">ROUNDDOWN(H476,Assumptions!$B$10)</f>
        <v>200079</v>
      </c>
    </row>
    <row r="477" customFormat="false" ht="15" hidden="false" customHeight="false" outlineLevel="0" collapsed="false">
      <c r="A477" s="5" t="s">
        <v>520</v>
      </c>
      <c r="B477" s="6" t="n">
        <f aca="false">ROUND(CohortData!G477*CohortData!I477,2)</f>
        <v>34320</v>
      </c>
      <c r="C477" s="6" t="n">
        <f aca="false">ROUND(CohortData!L477*Assumptions!$B$4*CohortData!I477,2)</f>
        <v>4576</v>
      </c>
      <c r="D477" s="6" t="n">
        <f aca="false">ROUND(CohortData!E477*Assumptions!$B$5*CohortData!I477,2)</f>
        <v>2080</v>
      </c>
      <c r="E477" s="6" t="n">
        <f aca="false">ROUND(B477*Assumptions!$B$3,2)</f>
        <v>1201.2</v>
      </c>
      <c r="F477" s="6" t="n">
        <f aca="false">ROUND(B477*Assumptions!$B$6,2)</f>
        <v>514.8</v>
      </c>
      <c r="G477" s="6" t="n">
        <f aca="false">ROUND(CohortData!G477*CohortData!I477-CohortData!G477*Assumptions!$B$7,2)</f>
        <v>0</v>
      </c>
      <c r="H477" s="7" t="n">
        <f aca="false">SUM(B477:E477,F477:G477)</f>
        <v>42692</v>
      </c>
      <c r="I477" s="6" t="n">
        <f aca="false">CEILING(H477,Assumptions!$B$8)</f>
        <v>42700</v>
      </c>
      <c r="J477" s="6" t="n">
        <f aca="false">FLOOR(H477,Assumptions!$B$8)</f>
        <v>42600</v>
      </c>
      <c r="K477" s="6" t="n">
        <f aca="false">ROUNDUP(H477,Assumptions!$B$9)</f>
        <v>42692</v>
      </c>
      <c r="L477" s="6" t="n">
        <f aca="false">ROUNDDOWN(H477,Assumptions!$B$10)</f>
        <v>42692</v>
      </c>
    </row>
    <row r="478" customFormat="false" ht="15" hidden="false" customHeight="false" outlineLevel="0" collapsed="false">
      <c r="A478" s="5" t="s">
        <v>521</v>
      </c>
      <c r="B478" s="6" t="n">
        <f aca="false">ROUND(CohortData!G478*CohortData!I478,2)</f>
        <v>58404</v>
      </c>
      <c r="C478" s="6" t="n">
        <f aca="false">ROUND(CohortData!L478*Assumptions!$B$4*CohortData!I478,2)</f>
        <v>7787.2</v>
      </c>
      <c r="D478" s="6" t="n">
        <f aca="false">ROUND(CohortData!E478*Assumptions!$B$5*CohortData!I478,2)</f>
        <v>3140</v>
      </c>
      <c r="E478" s="6" t="n">
        <f aca="false">ROUND(B478*Assumptions!$B$3,2)</f>
        <v>2044.14</v>
      </c>
      <c r="F478" s="6" t="n">
        <f aca="false">ROUND(B478*Assumptions!$B$6,2)</f>
        <v>876.06</v>
      </c>
      <c r="G478" s="6" t="n">
        <f aca="false">ROUND(CohortData!G478*CohortData!I478-CohortData!G478*Assumptions!$B$7,2)</f>
        <v>0</v>
      </c>
      <c r="H478" s="7" t="n">
        <f aca="false">SUM(B478:E478,F478:G478)</f>
        <v>72251.4</v>
      </c>
      <c r="I478" s="6" t="n">
        <f aca="false">CEILING(H478,Assumptions!$B$8)</f>
        <v>72300</v>
      </c>
      <c r="J478" s="6" t="n">
        <f aca="false">FLOOR(H478,Assumptions!$B$8)</f>
        <v>72200</v>
      </c>
      <c r="K478" s="6" t="n">
        <f aca="false">ROUNDUP(H478,Assumptions!$B$9)</f>
        <v>72252</v>
      </c>
      <c r="L478" s="6" t="n">
        <f aca="false">ROUNDDOWN(H478,Assumptions!$B$10)</f>
        <v>72251</v>
      </c>
    </row>
    <row r="479" customFormat="false" ht="15" hidden="false" customHeight="false" outlineLevel="0" collapsed="false">
      <c r="A479" s="5" t="s">
        <v>522</v>
      </c>
      <c r="B479" s="6" t="n">
        <f aca="false">ROUND(CohortData!G479*CohortData!I479,2)</f>
        <v>66654</v>
      </c>
      <c r="C479" s="6" t="n">
        <f aca="false">ROUND(CohortData!L479*Assumptions!$B$4*CohortData!I479,2)</f>
        <v>0</v>
      </c>
      <c r="D479" s="6" t="n">
        <f aca="false">ROUND(CohortData!E479*Assumptions!$B$5*CohortData!I479,2)</f>
        <v>3174</v>
      </c>
      <c r="E479" s="6" t="n">
        <f aca="false">ROUND(B479*Assumptions!$B$3,2)</f>
        <v>2332.89</v>
      </c>
      <c r="F479" s="6" t="n">
        <f aca="false">ROUND(B479*Assumptions!$B$6,2)</f>
        <v>999.81</v>
      </c>
      <c r="G479" s="6" t="n">
        <f aca="false">ROUND(CohortData!G479*CohortData!I479-CohortData!G479*Assumptions!$B$7,2)</f>
        <v>8694</v>
      </c>
      <c r="H479" s="7" t="n">
        <f aca="false">SUM(B479:E479,F479:G479)</f>
        <v>81854.7</v>
      </c>
      <c r="I479" s="6" t="n">
        <f aca="false">CEILING(H479,Assumptions!$B$8)</f>
        <v>81900</v>
      </c>
      <c r="J479" s="6" t="n">
        <f aca="false">FLOOR(H479,Assumptions!$B$8)</f>
        <v>81800</v>
      </c>
      <c r="K479" s="6" t="n">
        <f aca="false">ROUNDUP(H479,Assumptions!$B$9)</f>
        <v>81855</v>
      </c>
      <c r="L479" s="6" t="n">
        <f aca="false">ROUNDDOWN(H479,Assumptions!$B$10)</f>
        <v>81854</v>
      </c>
    </row>
    <row r="480" customFormat="false" ht="15" hidden="false" customHeight="false" outlineLevel="0" collapsed="false">
      <c r="A480" s="5" t="s">
        <v>523</v>
      </c>
      <c r="B480" s="6" t="n">
        <f aca="false">ROUND(CohortData!G480*CohortData!I480,2)</f>
        <v>149490</v>
      </c>
      <c r="C480" s="6" t="n">
        <f aca="false">ROUND(CohortData!L480*Assumptions!$B$4*CohortData!I480,2)</f>
        <v>19932</v>
      </c>
      <c r="D480" s="6" t="n">
        <f aca="false">ROUND(CohortData!E480*Assumptions!$B$5*CohortData!I480,2)</f>
        <v>9060</v>
      </c>
      <c r="E480" s="6" t="n">
        <f aca="false">ROUND(B480*Assumptions!$B$3,2)</f>
        <v>5232.15</v>
      </c>
      <c r="F480" s="6" t="n">
        <f aca="false">ROUND(B480*Assumptions!$B$6,2)</f>
        <v>2242.35</v>
      </c>
      <c r="G480" s="6" t="n">
        <f aca="false">ROUND(CohortData!G480*CohortData!I480-CohortData!G480*Assumptions!$B$7,2)</f>
        <v>0</v>
      </c>
      <c r="H480" s="7" t="n">
        <f aca="false">SUM(B480:E480,F480:G480)</f>
        <v>185956.5</v>
      </c>
      <c r="I480" s="6" t="n">
        <f aca="false">CEILING(H480,Assumptions!$B$8)</f>
        <v>186000</v>
      </c>
      <c r="J480" s="6" t="n">
        <f aca="false">FLOOR(H480,Assumptions!$B$8)</f>
        <v>185900</v>
      </c>
      <c r="K480" s="6" t="n">
        <f aca="false">ROUNDUP(H480,Assumptions!$B$9)</f>
        <v>185957</v>
      </c>
      <c r="L480" s="6" t="n">
        <f aca="false">ROUNDDOWN(H480,Assumptions!$B$10)</f>
        <v>185956</v>
      </c>
    </row>
    <row r="481" customFormat="false" ht="15" hidden="false" customHeight="false" outlineLevel="0" collapsed="false">
      <c r="A481" s="5" t="s">
        <v>524</v>
      </c>
      <c r="B481" s="6" t="n">
        <f aca="false">ROUND(CohortData!G481*CohortData!I481,2)</f>
        <v>65472</v>
      </c>
      <c r="C481" s="6" t="n">
        <f aca="false">ROUND(CohortData!L481*Assumptions!$B$4*CohortData!I481,2)</f>
        <v>8729.6</v>
      </c>
      <c r="D481" s="6" t="n">
        <f aca="false">ROUND(CohortData!E481*Assumptions!$B$5*CohortData!I481,2)</f>
        <v>3520</v>
      </c>
      <c r="E481" s="6" t="n">
        <f aca="false">ROUND(B481*Assumptions!$B$3,2)</f>
        <v>2291.52</v>
      </c>
      <c r="F481" s="6" t="n">
        <f aca="false">ROUND(B481*Assumptions!$B$6,2)</f>
        <v>982.08</v>
      </c>
      <c r="G481" s="6" t="n">
        <f aca="false">ROUND(CohortData!G481*CohortData!I481-CohortData!G481*Assumptions!$B$7,2)</f>
        <v>0</v>
      </c>
      <c r="H481" s="7" t="n">
        <f aca="false">SUM(B481:E481,F481:G481)</f>
        <v>80995.2</v>
      </c>
      <c r="I481" s="6" t="n">
        <f aca="false">CEILING(H481,Assumptions!$B$8)</f>
        <v>81000</v>
      </c>
      <c r="J481" s="6" t="n">
        <f aca="false">FLOOR(H481,Assumptions!$B$8)</f>
        <v>80900</v>
      </c>
      <c r="K481" s="6" t="n">
        <f aca="false">ROUNDUP(H481,Assumptions!$B$9)</f>
        <v>80996</v>
      </c>
      <c r="L481" s="6" t="n">
        <f aca="false">ROUNDDOWN(H481,Assumptions!$B$10)</f>
        <v>80995</v>
      </c>
    </row>
    <row r="482" customFormat="false" ht="15" hidden="false" customHeight="false" outlineLevel="0" collapsed="false">
      <c r="A482" s="5" t="s">
        <v>525</v>
      </c>
      <c r="B482" s="6" t="n">
        <f aca="false">ROUND(CohortData!G482*CohortData!I482,2)</f>
        <v>159180</v>
      </c>
      <c r="C482" s="6" t="n">
        <f aca="false">ROUND(CohortData!L482*Assumptions!$B$4*CohortData!I482,2)</f>
        <v>21224</v>
      </c>
      <c r="D482" s="6" t="n">
        <f aca="false">ROUND(CohortData!E482*Assumptions!$B$5*CohortData!I482,2)</f>
        <v>7580</v>
      </c>
      <c r="E482" s="6" t="n">
        <f aca="false">ROUND(B482*Assumptions!$B$3,2)</f>
        <v>5571.3</v>
      </c>
      <c r="F482" s="6" t="n">
        <f aca="false">ROUND(B482*Assumptions!$B$6,2)</f>
        <v>2387.7</v>
      </c>
      <c r="G482" s="6" t="n">
        <f aca="false">ROUND(CohortData!G482*CohortData!I482-CohortData!G482*Assumptions!$B$7,2)</f>
        <v>0</v>
      </c>
      <c r="H482" s="7" t="n">
        <f aca="false">SUM(B482:E482,F482:G482)</f>
        <v>195943</v>
      </c>
      <c r="I482" s="6" t="n">
        <f aca="false">CEILING(H482,Assumptions!$B$8)</f>
        <v>196000</v>
      </c>
      <c r="J482" s="6" t="n">
        <f aca="false">FLOOR(H482,Assumptions!$B$8)</f>
        <v>195900</v>
      </c>
      <c r="K482" s="6" t="n">
        <f aca="false">ROUNDUP(H482,Assumptions!$B$9)</f>
        <v>195943</v>
      </c>
      <c r="L482" s="6" t="n">
        <f aca="false">ROUNDDOWN(H482,Assumptions!$B$10)</f>
        <v>195943</v>
      </c>
    </row>
    <row r="483" customFormat="false" ht="15" hidden="false" customHeight="false" outlineLevel="0" collapsed="false">
      <c r="A483" s="5" t="s">
        <v>526</v>
      </c>
      <c r="B483" s="6" t="n">
        <f aca="false">ROUND(CohortData!G483*CohortData!I483,2)</f>
        <v>44781</v>
      </c>
      <c r="C483" s="6" t="n">
        <f aca="false">ROUND(CohortData!L483*Assumptions!$B$4*CohortData!I483,2)</f>
        <v>5970.8</v>
      </c>
      <c r="D483" s="6" t="n">
        <f aca="false">ROUND(CohortData!E483*Assumptions!$B$5*CohortData!I483,2)</f>
        <v>2714</v>
      </c>
      <c r="E483" s="6" t="n">
        <f aca="false">ROUND(B483*Assumptions!$B$3,2)</f>
        <v>1567.34</v>
      </c>
      <c r="F483" s="6" t="n">
        <f aca="false">ROUND(B483*Assumptions!$B$6,2)</f>
        <v>671.72</v>
      </c>
      <c r="G483" s="6" t="n">
        <f aca="false">ROUND(CohortData!G483*CohortData!I483-CohortData!G483*Assumptions!$B$7,2)</f>
        <v>5841</v>
      </c>
      <c r="H483" s="7" t="n">
        <f aca="false">SUM(B483:E483,F483:G483)</f>
        <v>61545.86</v>
      </c>
      <c r="I483" s="6" t="n">
        <f aca="false">CEILING(H483,Assumptions!$B$8)</f>
        <v>61600</v>
      </c>
      <c r="J483" s="6" t="n">
        <f aca="false">FLOOR(H483,Assumptions!$B$8)</f>
        <v>61500</v>
      </c>
      <c r="K483" s="6" t="n">
        <f aca="false">ROUNDUP(H483,Assumptions!$B$9)</f>
        <v>61546</v>
      </c>
      <c r="L483" s="6" t="n">
        <f aca="false">ROUNDDOWN(H483,Assumptions!$B$10)</f>
        <v>61545</v>
      </c>
    </row>
    <row r="484" customFormat="false" ht="15" hidden="false" customHeight="false" outlineLevel="0" collapsed="false">
      <c r="A484" s="5" t="s">
        <v>527</v>
      </c>
      <c r="B484" s="6" t="n">
        <f aca="false">ROUND(CohortData!G484*CohortData!I484,2)</f>
        <v>107508</v>
      </c>
      <c r="C484" s="6" t="n">
        <f aca="false">ROUND(CohortData!L484*Assumptions!$B$4*CohortData!I484,2)</f>
        <v>14334.4</v>
      </c>
      <c r="D484" s="6" t="n">
        <f aca="false">ROUND(CohortData!E484*Assumptions!$B$5*CohortData!I484,2)</f>
        <v>5780</v>
      </c>
      <c r="E484" s="6" t="n">
        <f aca="false">ROUND(B484*Assumptions!$B$3,2)</f>
        <v>3762.78</v>
      </c>
      <c r="F484" s="6" t="n">
        <f aca="false">ROUND(B484*Assumptions!$B$6,2)</f>
        <v>1612.62</v>
      </c>
      <c r="G484" s="6" t="n">
        <f aca="false">ROUND(CohortData!G484*CohortData!I484-CohortData!G484*Assumptions!$B$7,2)</f>
        <v>0</v>
      </c>
      <c r="H484" s="7" t="n">
        <f aca="false">SUM(B484:E484,F484:G484)</f>
        <v>132997.8</v>
      </c>
      <c r="I484" s="6" t="n">
        <f aca="false">CEILING(H484,Assumptions!$B$8)</f>
        <v>133000</v>
      </c>
      <c r="J484" s="6" t="n">
        <f aca="false">FLOOR(H484,Assumptions!$B$8)</f>
        <v>132900</v>
      </c>
      <c r="K484" s="6" t="n">
        <f aca="false">ROUNDUP(H484,Assumptions!$B$9)</f>
        <v>132998</v>
      </c>
      <c r="L484" s="6" t="n">
        <f aca="false">ROUNDDOWN(H484,Assumptions!$B$10)</f>
        <v>132997</v>
      </c>
    </row>
    <row r="485" customFormat="false" ht="15" hidden="false" customHeight="false" outlineLevel="0" collapsed="false">
      <c r="A485" s="5" t="s">
        <v>528</v>
      </c>
      <c r="B485" s="6" t="n">
        <f aca="false">ROUND(CohortData!G485*CohortData!I485,2)</f>
        <v>167160</v>
      </c>
      <c r="C485" s="6" t="n">
        <f aca="false">ROUND(CohortData!L485*Assumptions!$B$4*CohortData!I485,2)</f>
        <v>22288</v>
      </c>
      <c r="D485" s="6" t="n">
        <f aca="false">ROUND(CohortData!E485*Assumptions!$B$5*CohortData!I485,2)</f>
        <v>7960</v>
      </c>
      <c r="E485" s="6" t="n">
        <f aca="false">ROUND(B485*Assumptions!$B$3,2)</f>
        <v>5850.6</v>
      </c>
      <c r="F485" s="6" t="n">
        <f aca="false">ROUND(B485*Assumptions!$B$6,2)</f>
        <v>2507.4</v>
      </c>
      <c r="G485" s="6" t="n">
        <f aca="false">ROUND(CohortData!G485*CohortData!I485-CohortData!G485*Assumptions!$B$7,2)</f>
        <v>0</v>
      </c>
      <c r="H485" s="7" t="n">
        <f aca="false">SUM(B485:E485,F485:G485)</f>
        <v>205766</v>
      </c>
      <c r="I485" s="6" t="n">
        <f aca="false">CEILING(H485,Assumptions!$B$8)</f>
        <v>205800</v>
      </c>
      <c r="J485" s="6" t="n">
        <f aca="false">FLOOR(H485,Assumptions!$B$8)</f>
        <v>205700</v>
      </c>
      <c r="K485" s="6" t="n">
        <f aca="false">ROUNDUP(H485,Assumptions!$B$9)</f>
        <v>205766</v>
      </c>
      <c r="L485" s="6" t="n">
        <f aca="false">ROUNDDOWN(H485,Assumptions!$B$10)</f>
        <v>205766</v>
      </c>
    </row>
    <row r="486" customFormat="false" ht="15" hidden="false" customHeight="false" outlineLevel="0" collapsed="false">
      <c r="A486" s="5" t="s">
        <v>529</v>
      </c>
      <c r="B486" s="6" t="n">
        <f aca="false">ROUND(CohortData!G486*CohortData!I486,2)</f>
        <v>126060</v>
      </c>
      <c r="C486" s="6" t="n">
        <f aca="false">ROUND(CohortData!L486*Assumptions!$B$4*CohortData!I486,2)</f>
        <v>16808</v>
      </c>
      <c r="D486" s="6" t="n">
        <f aca="false">ROUND(CohortData!E486*Assumptions!$B$5*CohortData!I486,2)</f>
        <v>7640</v>
      </c>
      <c r="E486" s="6" t="n">
        <f aca="false">ROUND(B486*Assumptions!$B$3,2)</f>
        <v>4412.1</v>
      </c>
      <c r="F486" s="6" t="n">
        <f aca="false">ROUND(B486*Assumptions!$B$6,2)</f>
        <v>1890.9</v>
      </c>
      <c r="G486" s="6" t="n">
        <f aca="false">ROUND(CohortData!G486*CohortData!I486-CohortData!G486*Assumptions!$B$7,2)</f>
        <v>0</v>
      </c>
      <c r="H486" s="7" t="n">
        <f aca="false">SUM(B486:E486,F486:G486)</f>
        <v>156811</v>
      </c>
      <c r="I486" s="6" t="n">
        <f aca="false">CEILING(H486,Assumptions!$B$8)</f>
        <v>156900</v>
      </c>
      <c r="J486" s="6" t="n">
        <f aca="false">FLOOR(H486,Assumptions!$B$8)</f>
        <v>156800</v>
      </c>
      <c r="K486" s="6" t="n">
        <f aca="false">ROUNDUP(H486,Assumptions!$B$9)</f>
        <v>156811</v>
      </c>
      <c r="L486" s="6" t="n">
        <f aca="false">ROUNDDOWN(H486,Assumptions!$B$10)</f>
        <v>156811</v>
      </c>
    </row>
    <row r="487" customFormat="false" ht="15" hidden="false" customHeight="false" outlineLevel="0" collapsed="false">
      <c r="A487" s="5" t="s">
        <v>530</v>
      </c>
      <c r="B487" s="6" t="n">
        <f aca="false">ROUND(CohortData!G487*CohortData!I487,2)</f>
        <v>74865</v>
      </c>
      <c r="C487" s="6" t="n">
        <f aca="false">ROUND(CohortData!L487*Assumptions!$B$4*CohortData!I487,2)</f>
        <v>9982</v>
      </c>
      <c r="D487" s="6" t="n">
        <f aca="false">ROUND(CohortData!E487*Assumptions!$B$5*CohortData!I487,2)</f>
        <v>4025</v>
      </c>
      <c r="E487" s="6" t="n">
        <f aca="false">ROUND(B487*Assumptions!$B$3,2)</f>
        <v>2620.28</v>
      </c>
      <c r="F487" s="6" t="n">
        <f aca="false">ROUND(B487*Assumptions!$B$6,2)</f>
        <v>1122.98</v>
      </c>
      <c r="G487" s="6" t="n">
        <f aca="false">ROUND(CohortData!G487*CohortData!I487-CohortData!G487*Assumptions!$B$7,2)</f>
        <v>9765</v>
      </c>
      <c r="H487" s="7" t="n">
        <f aca="false">SUM(B487:E487,F487:G487)</f>
        <v>102380.26</v>
      </c>
      <c r="I487" s="6" t="n">
        <f aca="false">CEILING(H487,Assumptions!$B$8)</f>
        <v>102400</v>
      </c>
      <c r="J487" s="6" t="n">
        <f aca="false">FLOOR(H487,Assumptions!$B$8)</f>
        <v>102300</v>
      </c>
      <c r="K487" s="6" t="n">
        <f aca="false">ROUNDUP(H487,Assumptions!$B$9)</f>
        <v>102381</v>
      </c>
      <c r="L487" s="6" t="n">
        <f aca="false">ROUNDDOWN(H487,Assumptions!$B$10)</f>
        <v>102380</v>
      </c>
    </row>
    <row r="488" customFormat="false" ht="15" hidden="false" customHeight="false" outlineLevel="0" collapsed="false">
      <c r="A488" s="5" t="s">
        <v>531</v>
      </c>
      <c r="B488" s="6" t="n">
        <f aca="false">ROUND(CohortData!G488*CohortData!I488,2)</f>
        <v>134400</v>
      </c>
      <c r="C488" s="6" t="n">
        <f aca="false">ROUND(CohortData!L488*Assumptions!$B$4*CohortData!I488,2)</f>
        <v>17920</v>
      </c>
      <c r="D488" s="6" t="n">
        <f aca="false">ROUND(CohortData!E488*Assumptions!$B$5*CohortData!I488,2)</f>
        <v>6400</v>
      </c>
      <c r="E488" s="6" t="n">
        <f aca="false">ROUND(B488*Assumptions!$B$3,2)</f>
        <v>4704</v>
      </c>
      <c r="F488" s="6" t="n">
        <f aca="false">ROUND(B488*Assumptions!$B$6,2)</f>
        <v>2016</v>
      </c>
      <c r="G488" s="6" t="n">
        <f aca="false">ROUND(CohortData!G488*CohortData!I488-CohortData!G488*Assumptions!$B$7,2)</f>
        <v>0</v>
      </c>
      <c r="H488" s="7" t="n">
        <f aca="false">SUM(B488:E488,F488:G488)</f>
        <v>165440</v>
      </c>
      <c r="I488" s="6" t="n">
        <f aca="false">CEILING(H488,Assumptions!$B$8)</f>
        <v>165500</v>
      </c>
      <c r="J488" s="6" t="n">
        <f aca="false">FLOOR(H488,Assumptions!$B$8)</f>
        <v>165400</v>
      </c>
      <c r="K488" s="6" t="n">
        <f aca="false">ROUNDUP(H488,Assumptions!$B$9)</f>
        <v>165440</v>
      </c>
      <c r="L488" s="6" t="n">
        <f aca="false">ROUNDDOWN(H488,Assumptions!$B$10)</f>
        <v>165440</v>
      </c>
    </row>
    <row r="489" customFormat="false" ht="15" hidden="false" customHeight="false" outlineLevel="0" collapsed="false">
      <c r="A489" s="5" t="s">
        <v>532</v>
      </c>
      <c r="B489" s="6" t="n">
        <f aca="false">ROUND(CohortData!G489*CohortData!I489,2)</f>
        <v>54450</v>
      </c>
      <c r="C489" s="6" t="n">
        <f aca="false">ROUND(CohortData!L489*Assumptions!$B$4*CohortData!I489,2)</f>
        <v>7260</v>
      </c>
      <c r="D489" s="6" t="n">
        <f aca="false">ROUND(CohortData!E489*Assumptions!$B$5*CohortData!I489,2)</f>
        <v>3300</v>
      </c>
      <c r="E489" s="6" t="n">
        <f aca="false">ROUND(B489*Assumptions!$B$3,2)</f>
        <v>1905.75</v>
      </c>
      <c r="F489" s="6" t="n">
        <f aca="false">ROUND(B489*Assumptions!$B$6,2)</f>
        <v>816.75</v>
      </c>
      <c r="G489" s="6" t="n">
        <f aca="false">ROUND(CohortData!G489*CohortData!I489-CohortData!G489*Assumptions!$B$7,2)</f>
        <v>0</v>
      </c>
      <c r="H489" s="7" t="n">
        <f aca="false">SUM(B489:E489,F489:G489)</f>
        <v>67732.5</v>
      </c>
      <c r="I489" s="6" t="n">
        <f aca="false">CEILING(H489,Assumptions!$B$8)</f>
        <v>67800</v>
      </c>
      <c r="J489" s="6" t="n">
        <f aca="false">FLOOR(H489,Assumptions!$B$8)</f>
        <v>67700</v>
      </c>
      <c r="K489" s="6" t="n">
        <f aca="false">ROUNDUP(H489,Assumptions!$B$9)</f>
        <v>67733</v>
      </c>
      <c r="L489" s="6" t="n">
        <f aca="false">ROUNDDOWN(H489,Assumptions!$B$10)</f>
        <v>67732</v>
      </c>
    </row>
    <row r="490" customFormat="false" ht="15" hidden="false" customHeight="false" outlineLevel="0" collapsed="false">
      <c r="A490" s="5" t="s">
        <v>533</v>
      </c>
      <c r="B490" s="6" t="n">
        <f aca="false">ROUND(CohortData!G490*CohortData!I490,2)</f>
        <v>45012</v>
      </c>
      <c r="C490" s="6" t="n">
        <f aca="false">ROUND(CohortData!L490*Assumptions!$B$4*CohortData!I490,2)</f>
        <v>6001.6</v>
      </c>
      <c r="D490" s="6" t="n">
        <f aca="false">ROUND(CohortData!E490*Assumptions!$B$5*CohortData!I490,2)</f>
        <v>2420</v>
      </c>
      <c r="E490" s="6" t="n">
        <f aca="false">ROUND(B490*Assumptions!$B$3,2)</f>
        <v>1575.42</v>
      </c>
      <c r="F490" s="6" t="n">
        <f aca="false">ROUND(B490*Assumptions!$B$6,2)</f>
        <v>675.18</v>
      </c>
      <c r="G490" s="6" t="n">
        <f aca="false">ROUND(CohortData!G490*CohortData!I490-CohortData!G490*Assumptions!$B$7,2)</f>
        <v>0</v>
      </c>
      <c r="H490" s="7" t="n">
        <f aca="false">SUM(B490:E490,F490:G490)</f>
        <v>55684.2</v>
      </c>
      <c r="I490" s="6" t="n">
        <f aca="false">CEILING(H490,Assumptions!$B$8)</f>
        <v>55700</v>
      </c>
      <c r="J490" s="6" t="n">
        <f aca="false">FLOOR(H490,Assumptions!$B$8)</f>
        <v>55600</v>
      </c>
      <c r="K490" s="6" t="n">
        <f aca="false">ROUNDUP(H490,Assumptions!$B$9)</f>
        <v>55685</v>
      </c>
      <c r="L490" s="6" t="n">
        <f aca="false">ROUNDDOWN(H490,Assumptions!$B$10)</f>
        <v>55684</v>
      </c>
    </row>
    <row r="491" customFormat="false" ht="15" hidden="false" customHeight="false" outlineLevel="0" collapsed="false">
      <c r="A491" s="5" t="s">
        <v>534</v>
      </c>
      <c r="B491" s="6" t="n">
        <f aca="false">ROUND(CohortData!G491*CohortData!I491,2)</f>
        <v>124131</v>
      </c>
      <c r="C491" s="6" t="n">
        <f aca="false">ROUND(CohortData!L491*Assumptions!$B$4*CohortData!I491,2)</f>
        <v>16550.8</v>
      </c>
      <c r="D491" s="6" t="n">
        <f aca="false">ROUND(CohortData!E491*Assumptions!$B$5*CohortData!I491,2)</f>
        <v>5911</v>
      </c>
      <c r="E491" s="6" t="n">
        <f aca="false">ROUND(B491*Assumptions!$B$3,2)</f>
        <v>4344.59</v>
      </c>
      <c r="F491" s="6" t="n">
        <f aca="false">ROUND(B491*Assumptions!$B$6,2)</f>
        <v>1861.97</v>
      </c>
      <c r="G491" s="6" t="n">
        <f aca="false">ROUND(CohortData!G491*CohortData!I491-CohortData!G491*Assumptions!$B$7,2)</f>
        <v>16191</v>
      </c>
      <c r="H491" s="7" t="n">
        <f aca="false">SUM(B491:E491,F491:G491)</f>
        <v>168990.36</v>
      </c>
      <c r="I491" s="6" t="n">
        <f aca="false">CEILING(H491,Assumptions!$B$8)</f>
        <v>169000</v>
      </c>
      <c r="J491" s="6" t="n">
        <f aca="false">FLOOR(H491,Assumptions!$B$8)</f>
        <v>168900</v>
      </c>
      <c r="K491" s="6" t="n">
        <f aca="false">ROUNDUP(H491,Assumptions!$B$9)</f>
        <v>168991</v>
      </c>
      <c r="L491" s="6" t="n">
        <f aca="false">ROUNDDOWN(H491,Assumptions!$B$10)</f>
        <v>168990</v>
      </c>
    </row>
    <row r="492" customFormat="false" ht="15" hidden="false" customHeight="false" outlineLevel="0" collapsed="false">
      <c r="A492" s="5" t="s">
        <v>535</v>
      </c>
      <c r="B492" s="6" t="n">
        <f aca="false">ROUND(CohortData!G492*CohortData!I492,2)</f>
        <v>94380</v>
      </c>
      <c r="C492" s="6" t="n">
        <f aca="false">ROUND(CohortData!L492*Assumptions!$B$4*CohortData!I492,2)</f>
        <v>12584</v>
      </c>
      <c r="D492" s="6" t="n">
        <f aca="false">ROUND(CohortData!E492*Assumptions!$B$5*CohortData!I492,2)</f>
        <v>5720</v>
      </c>
      <c r="E492" s="6" t="n">
        <f aca="false">ROUND(B492*Assumptions!$B$3,2)</f>
        <v>3303.3</v>
      </c>
      <c r="F492" s="6" t="n">
        <f aca="false">ROUND(B492*Assumptions!$B$6,2)</f>
        <v>1415.7</v>
      </c>
      <c r="G492" s="6" t="n">
        <f aca="false">ROUND(CohortData!G492*CohortData!I492-CohortData!G492*Assumptions!$B$7,2)</f>
        <v>0</v>
      </c>
      <c r="H492" s="7" t="n">
        <f aca="false">SUM(B492:E492,F492:G492)</f>
        <v>117403</v>
      </c>
      <c r="I492" s="6" t="n">
        <f aca="false">CEILING(H492,Assumptions!$B$8)</f>
        <v>117500</v>
      </c>
      <c r="J492" s="6" t="n">
        <f aca="false">FLOOR(H492,Assumptions!$B$8)</f>
        <v>117400</v>
      </c>
      <c r="K492" s="6" t="n">
        <f aca="false">ROUNDUP(H492,Assumptions!$B$9)</f>
        <v>117403</v>
      </c>
      <c r="L492" s="6" t="n">
        <f aca="false">ROUNDDOWN(H492,Assumptions!$B$10)</f>
        <v>117403</v>
      </c>
    </row>
    <row r="493" customFormat="false" ht="15" hidden="false" customHeight="false" outlineLevel="0" collapsed="false">
      <c r="A493" s="5" t="s">
        <v>536</v>
      </c>
      <c r="B493" s="6" t="n">
        <f aca="false">ROUND(CohortData!G493*CohortData!I493,2)</f>
        <v>44640</v>
      </c>
      <c r="C493" s="6" t="n">
        <f aca="false">ROUND(CohortData!L493*Assumptions!$B$4*CohortData!I493,2)</f>
        <v>5952</v>
      </c>
      <c r="D493" s="6" t="n">
        <f aca="false">ROUND(CohortData!E493*Assumptions!$B$5*CohortData!I493,2)</f>
        <v>2400</v>
      </c>
      <c r="E493" s="6" t="n">
        <f aca="false">ROUND(B493*Assumptions!$B$3,2)</f>
        <v>1562.4</v>
      </c>
      <c r="F493" s="6" t="n">
        <f aca="false">ROUND(B493*Assumptions!$B$6,2)</f>
        <v>669.6</v>
      </c>
      <c r="G493" s="6" t="n">
        <f aca="false">ROUND(CohortData!G493*CohortData!I493-CohortData!G493*Assumptions!$B$7,2)</f>
        <v>0</v>
      </c>
      <c r="H493" s="7" t="n">
        <f aca="false">SUM(B493:E493,F493:G493)</f>
        <v>55224</v>
      </c>
      <c r="I493" s="6" t="n">
        <f aca="false">CEILING(H493,Assumptions!$B$8)</f>
        <v>55300</v>
      </c>
      <c r="J493" s="6" t="n">
        <f aca="false">FLOOR(H493,Assumptions!$B$8)</f>
        <v>55200</v>
      </c>
      <c r="K493" s="6" t="n">
        <f aca="false">ROUNDUP(H493,Assumptions!$B$9)</f>
        <v>55224</v>
      </c>
      <c r="L493" s="6" t="n">
        <f aca="false">ROUNDDOWN(H493,Assumptions!$B$10)</f>
        <v>55224</v>
      </c>
    </row>
    <row r="494" customFormat="false" ht="15" hidden="false" customHeight="false" outlineLevel="0" collapsed="false">
      <c r="A494" s="5" t="s">
        <v>537</v>
      </c>
      <c r="B494" s="6" t="n">
        <f aca="false">ROUND(CohortData!G494*CohortData!I494,2)</f>
        <v>118860</v>
      </c>
      <c r="C494" s="6" t="n">
        <f aca="false">ROUND(CohortData!L494*Assumptions!$B$4*CohortData!I494,2)</f>
        <v>15848</v>
      </c>
      <c r="D494" s="6" t="n">
        <f aca="false">ROUND(CohortData!E494*Assumptions!$B$5*CohortData!I494,2)</f>
        <v>5660</v>
      </c>
      <c r="E494" s="6" t="n">
        <f aca="false">ROUND(B494*Assumptions!$B$3,2)</f>
        <v>4160.1</v>
      </c>
      <c r="F494" s="6" t="n">
        <f aca="false">ROUND(B494*Assumptions!$B$6,2)</f>
        <v>1782.9</v>
      </c>
      <c r="G494" s="6" t="n">
        <f aca="false">ROUND(CohortData!G494*CohortData!I494-CohortData!G494*Assumptions!$B$7,2)</f>
        <v>0</v>
      </c>
      <c r="H494" s="7" t="n">
        <f aca="false">SUM(B494:E494,F494:G494)</f>
        <v>146311</v>
      </c>
      <c r="I494" s="6" t="n">
        <f aca="false">CEILING(H494,Assumptions!$B$8)</f>
        <v>146400</v>
      </c>
      <c r="J494" s="6" t="n">
        <f aca="false">FLOOR(H494,Assumptions!$B$8)</f>
        <v>146300</v>
      </c>
      <c r="K494" s="6" t="n">
        <f aca="false">ROUNDUP(H494,Assumptions!$B$9)</f>
        <v>146311</v>
      </c>
      <c r="L494" s="6" t="n">
        <f aca="false">ROUNDDOWN(H494,Assumptions!$B$10)</f>
        <v>146311</v>
      </c>
    </row>
    <row r="495" customFormat="false" ht="15" hidden="false" customHeight="false" outlineLevel="0" collapsed="false">
      <c r="A495" s="5" t="s">
        <v>538</v>
      </c>
      <c r="B495" s="6" t="n">
        <f aca="false">ROUND(CohortData!G495*CohortData!I495,2)</f>
        <v>78556.5</v>
      </c>
      <c r="C495" s="6" t="n">
        <f aca="false">ROUND(CohortData!L495*Assumptions!$B$4*CohortData!I495,2)</f>
        <v>10474.2</v>
      </c>
      <c r="D495" s="6" t="n">
        <f aca="false">ROUND(CohortData!E495*Assumptions!$B$5*CohortData!I495,2)</f>
        <v>4761</v>
      </c>
      <c r="E495" s="6" t="n">
        <f aca="false">ROUND(B495*Assumptions!$B$3,2)</f>
        <v>2749.48</v>
      </c>
      <c r="F495" s="6" t="n">
        <f aca="false">ROUND(B495*Assumptions!$B$6,2)</f>
        <v>1178.35</v>
      </c>
      <c r="G495" s="6" t="n">
        <f aca="false">ROUND(CohortData!G495*CohortData!I495-CohortData!G495*Assumptions!$B$7,2)</f>
        <v>10246.5</v>
      </c>
      <c r="H495" s="7" t="n">
        <f aca="false">SUM(B495:E495,F495:G495)</f>
        <v>107966.03</v>
      </c>
      <c r="I495" s="6" t="n">
        <f aca="false">CEILING(H495,Assumptions!$B$8)</f>
        <v>108000</v>
      </c>
      <c r="J495" s="6" t="n">
        <f aca="false">FLOOR(H495,Assumptions!$B$8)</f>
        <v>107900</v>
      </c>
      <c r="K495" s="6" t="n">
        <f aca="false">ROUNDUP(H495,Assumptions!$B$9)</f>
        <v>107967</v>
      </c>
      <c r="L495" s="6" t="n">
        <f aca="false">ROUNDDOWN(H495,Assumptions!$B$10)</f>
        <v>107966</v>
      </c>
    </row>
    <row r="496" customFormat="false" ht="15" hidden="false" customHeight="false" outlineLevel="0" collapsed="false">
      <c r="A496" s="5" t="s">
        <v>539</v>
      </c>
      <c r="B496" s="6" t="n">
        <f aca="false">ROUND(CohortData!G496*CohortData!I496,2)</f>
        <v>167028</v>
      </c>
      <c r="C496" s="6" t="n">
        <f aca="false">ROUND(CohortData!L496*Assumptions!$B$4*CohortData!I496,2)</f>
        <v>0</v>
      </c>
      <c r="D496" s="6" t="n">
        <f aca="false">ROUND(CohortData!E496*Assumptions!$B$5*CohortData!I496,2)</f>
        <v>8980</v>
      </c>
      <c r="E496" s="6" t="n">
        <f aca="false">ROUND(B496*Assumptions!$B$3,2)</f>
        <v>5845.98</v>
      </c>
      <c r="F496" s="6" t="n">
        <f aca="false">ROUND(B496*Assumptions!$B$6,2)</f>
        <v>2505.42</v>
      </c>
      <c r="G496" s="6" t="n">
        <f aca="false">ROUND(CohortData!G496*CohortData!I496-CohortData!G496*Assumptions!$B$7,2)</f>
        <v>0</v>
      </c>
      <c r="H496" s="7" t="n">
        <f aca="false">SUM(B496:E496,F496:G496)</f>
        <v>184359.4</v>
      </c>
      <c r="I496" s="6" t="n">
        <f aca="false">CEILING(H496,Assumptions!$B$8)</f>
        <v>184400</v>
      </c>
      <c r="J496" s="6" t="n">
        <f aca="false">FLOOR(H496,Assumptions!$B$8)</f>
        <v>184300</v>
      </c>
      <c r="K496" s="6" t="n">
        <f aca="false">ROUNDUP(H496,Assumptions!$B$9)</f>
        <v>184360</v>
      </c>
      <c r="L496" s="6" t="n">
        <f aca="false">ROUNDDOWN(H496,Assumptions!$B$10)</f>
        <v>184359</v>
      </c>
    </row>
    <row r="497" customFormat="false" ht="15" hidden="false" customHeight="false" outlineLevel="0" collapsed="false">
      <c r="A497" s="5" t="s">
        <v>540</v>
      </c>
      <c r="B497" s="6" t="n">
        <f aca="false">ROUND(CohortData!G497*CohortData!I497,2)</f>
        <v>95340</v>
      </c>
      <c r="C497" s="6" t="n">
        <f aca="false">ROUND(CohortData!L497*Assumptions!$B$4*CohortData!I497,2)</f>
        <v>12712</v>
      </c>
      <c r="D497" s="6" t="n">
        <f aca="false">ROUND(CohortData!E497*Assumptions!$B$5*CohortData!I497,2)</f>
        <v>4540</v>
      </c>
      <c r="E497" s="6" t="n">
        <f aca="false">ROUND(B497*Assumptions!$B$3,2)</f>
        <v>3336.9</v>
      </c>
      <c r="F497" s="6" t="n">
        <f aca="false">ROUND(B497*Assumptions!$B$6,2)</f>
        <v>1430.1</v>
      </c>
      <c r="G497" s="6" t="n">
        <f aca="false">ROUND(CohortData!G497*CohortData!I497-CohortData!G497*Assumptions!$B$7,2)</f>
        <v>0</v>
      </c>
      <c r="H497" s="7" t="n">
        <f aca="false">SUM(B497:E497,F497:G497)</f>
        <v>117359</v>
      </c>
      <c r="I497" s="6" t="n">
        <f aca="false">CEILING(H497,Assumptions!$B$8)</f>
        <v>117400</v>
      </c>
      <c r="J497" s="6" t="n">
        <f aca="false">FLOOR(H497,Assumptions!$B$8)</f>
        <v>117300</v>
      </c>
      <c r="K497" s="6" t="n">
        <f aca="false">ROUNDUP(H497,Assumptions!$B$9)</f>
        <v>117359</v>
      </c>
      <c r="L497" s="6" t="n">
        <f aca="false">ROUNDDOWN(H497,Assumptions!$B$10)</f>
        <v>117359</v>
      </c>
    </row>
    <row r="498" customFormat="false" ht="15" hidden="false" customHeight="false" outlineLevel="0" collapsed="false">
      <c r="A498" s="5" t="s">
        <v>541</v>
      </c>
      <c r="B498" s="6" t="n">
        <f aca="false">ROUND(CohortData!G498*CohortData!I498,2)</f>
        <v>145530</v>
      </c>
      <c r="C498" s="6" t="n">
        <f aca="false">ROUND(CohortData!L498*Assumptions!$B$4*CohortData!I498,2)</f>
        <v>19404</v>
      </c>
      <c r="D498" s="6" t="n">
        <f aca="false">ROUND(CohortData!E498*Assumptions!$B$5*CohortData!I498,2)</f>
        <v>8820</v>
      </c>
      <c r="E498" s="6" t="n">
        <f aca="false">ROUND(B498*Assumptions!$B$3,2)</f>
        <v>5093.55</v>
      </c>
      <c r="F498" s="6" t="n">
        <f aca="false">ROUND(B498*Assumptions!$B$6,2)</f>
        <v>2182.95</v>
      </c>
      <c r="G498" s="6" t="n">
        <f aca="false">ROUND(CohortData!G498*CohortData!I498-CohortData!G498*Assumptions!$B$7,2)</f>
        <v>0</v>
      </c>
      <c r="H498" s="7" t="n">
        <f aca="false">SUM(B498:E498,F498:G498)</f>
        <v>181030.5</v>
      </c>
      <c r="I498" s="6" t="n">
        <f aca="false">CEILING(H498,Assumptions!$B$8)</f>
        <v>181100</v>
      </c>
      <c r="J498" s="6" t="n">
        <f aca="false">FLOOR(H498,Assumptions!$B$8)</f>
        <v>181000</v>
      </c>
      <c r="K498" s="6" t="n">
        <f aca="false">ROUNDUP(H498,Assumptions!$B$9)</f>
        <v>181031</v>
      </c>
      <c r="L498" s="6" t="n">
        <f aca="false">ROUNDDOWN(H498,Assumptions!$B$10)</f>
        <v>181030</v>
      </c>
    </row>
    <row r="499" customFormat="false" ht="15" hidden="false" customHeight="false" outlineLevel="0" collapsed="false">
      <c r="A499" s="5" t="s">
        <v>542</v>
      </c>
      <c r="B499" s="6" t="n">
        <f aca="false">ROUND(CohortData!G499*CohortData!I499,2)</f>
        <v>65025.6</v>
      </c>
      <c r="C499" s="6" t="n">
        <f aca="false">ROUND(CohortData!L499*Assumptions!$B$4*CohortData!I499,2)</f>
        <v>8670.08</v>
      </c>
      <c r="D499" s="6" t="n">
        <f aca="false">ROUND(CohortData!E499*Assumptions!$B$5*CohortData!I499,2)</f>
        <v>3496</v>
      </c>
      <c r="E499" s="6" t="n">
        <f aca="false">ROUND(B499*Assumptions!$B$3,2)</f>
        <v>2275.9</v>
      </c>
      <c r="F499" s="6" t="n">
        <f aca="false">ROUND(B499*Assumptions!$B$6,2)</f>
        <v>975.38</v>
      </c>
      <c r="G499" s="6" t="n">
        <f aca="false">ROUND(CohortData!G499*CohortData!I499-CohortData!G499*Assumptions!$B$7,2)</f>
        <v>8481.6</v>
      </c>
      <c r="H499" s="7" t="n">
        <f aca="false">SUM(B499:E499,F499:G499)</f>
        <v>88924.56</v>
      </c>
      <c r="I499" s="6" t="n">
        <f aca="false">CEILING(H499,Assumptions!$B$8)</f>
        <v>89000</v>
      </c>
      <c r="J499" s="6" t="n">
        <f aca="false">FLOOR(H499,Assumptions!$B$8)</f>
        <v>88900</v>
      </c>
      <c r="K499" s="6" t="n">
        <f aca="false">ROUNDUP(H499,Assumptions!$B$9)</f>
        <v>88925</v>
      </c>
      <c r="L499" s="6" t="n">
        <f aca="false">ROUNDDOWN(H499,Assumptions!$B$10)</f>
        <v>88924</v>
      </c>
    </row>
    <row r="500" customFormat="false" ht="15" hidden="false" customHeight="false" outlineLevel="0" collapsed="false">
      <c r="A500" s="5" t="s">
        <v>543</v>
      </c>
      <c r="B500" s="6" t="n">
        <f aca="false">ROUND(CohortData!G500*CohortData!I500,2)</f>
        <v>118020</v>
      </c>
      <c r="C500" s="6" t="n">
        <f aca="false">ROUND(CohortData!L500*Assumptions!$B$4*CohortData!I500,2)</f>
        <v>15736</v>
      </c>
      <c r="D500" s="6" t="n">
        <f aca="false">ROUND(CohortData!E500*Assumptions!$B$5*CohortData!I500,2)</f>
        <v>5620</v>
      </c>
      <c r="E500" s="6" t="n">
        <f aca="false">ROUND(B500*Assumptions!$B$3,2)</f>
        <v>4130.7</v>
      </c>
      <c r="F500" s="6" t="n">
        <f aca="false">ROUND(B500*Assumptions!$B$6,2)</f>
        <v>1770.3</v>
      </c>
      <c r="G500" s="6" t="n">
        <f aca="false">ROUND(CohortData!G500*CohortData!I500-CohortData!G500*Assumptions!$B$7,2)</f>
        <v>0</v>
      </c>
      <c r="H500" s="7" t="n">
        <f aca="false">SUM(B500:E500,F500:G500)</f>
        <v>145277</v>
      </c>
      <c r="I500" s="6" t="n">
        <f aca="false">CEILING(H500,Assumptions!$B$8)</f>
        <v>145300</v>
      </c>
      <c r="J500" s="6" t="n">
        <f aca="false">FLOOR(H500,Assumptions!$B$8)</f>
        <v>145200</v>
      </c>
      <c r="K500" s="6" t="n">
        <f aca="false">ROUNDUP(H500,Assumptions!$B$9)</f>
        <v>145277</v>
      </c>
      <c r="L500" s="6" t="n">
        <f aca="false">ROUNDDOWN(H500,Assumptions!$B$10)</f>
        <v>145277</v>
      </c>
    </row>
    <row r="501" customFormat="false" ht="15" hidden="false" customHeight="false" outlineLevel="0" collapsed="false">
      <c r="A501" s="5" t="s">
        <v>544</v>
      </c>
      <c r="B501" s="6" t="n">
        <f aca="false">ROUND(CohortData!G501*CohortData!I501,2)</f>
        <v>164670</v>
      </c>
      <c r="C501" s="6" t="n">
        <f aca="false">ROUND(CohortData!L501*Assumptions!$B$4*CohortData!I501,2)</f>
        <v>21956</v>
      </c>
      <c r="D501" s="6" t="n">
        <f aca="false">ROUND(CohortData!E501*Assumptions!$B$5*CohortData!I501,2)</f>
        <v>9980</v>
      </c>
      <c r="E501" s="6" t="n">
        <f aca="false">ROUND(B501*Assumptions!$B$3,2)</f>
        <v>5763.45</v>
      </c>
      <c r="F501" s="6" t="n">
        <f aca="false">ROUND(B501*Assumptions!$B$6,2)</f>
        <v>2470.05</v>
      </c>
      <c r="G501" s="6" t="n">
        <f aca="false">ROUND(CohortData!G501*CohortData!I501-CohortData!G501*Assumptions!$B$7,2)</f>
        <v>0</v>
      </c>
      <c r="H501" s="7" t="n">
        <f aca="false">SUM(B501:E501,F501:G501)</f>
        <v>204839.5</v>
      </c>
      <c r="I501" s="6" t="n">
        <f aca="false">CEILING(H501,Assumptions!$B$8)</f>
        <v>204900</v>
      </c>
      <c r="J501" s="6" t="n">
        <f aca="false">FLOOR(H501,Assumptions!$B$8)</f>
        <v>204800</v>
      </c>
      <c r="K501" s="6" t="n">
        <f aca="false">ROUNDUP(H501,Assumptions!$B$9)</f>
        <v>204840</v>
      </c>
      <c r="L501" s="6" t="n">
        <f aca="false">ROUNDDOWN(H501,Assumptions!$B$10)</f>
        <v>204839</v>
      </c>
    </row>
    <row r="502" customFormat="false" ht="15" hidden="false" customHeight="false" outlineLevel="0" collapsed="false">
      <c r="A502" s="5" t="s">
        <v>545</v>
      </c>
      <c r="B502" s="6" t="n">
        <f aca="false">ROUND(CohortData!G502*CohortData!I502,2)</f>
        <v>143592</v>
      </c>
      <c r="C502" s="6" t="n">
        <f aca="false">ROUND(CohortData!L502*Assumptions!$B$4*CohortData!I502,2)</f>
        <v>19145.6</v>
      </c>
      <c r="D502" s="6" t="n">
        <f aca="false">ROUND(CohortData!E502*Assumptions!$B$5*CohortData!I502,2)</f>
        <v>7720</v>
      </c>
      <c r="E502" s="6" t="n">
        <f aca="false">ROUND(B502*Assumptions!$B$3,2)</f>
        <v>5025.72</v>
      </c>
      <c r="F502" s="6" t="n">
        <f aca="false">ROUND(B502*Assumptions!$B$6,2)</f>
        <v>2153.88</v>
      </c>
      <c r="G502" s="6" t="n">
        <f aca="false">ROUND(CohortData!G502*CohortData!I502-CohortData!G502*Assumptions!$B$7,2)</f>
        <v>0</v>
      </c>
      <c r="H502" s="7" t="n">
        <f aca="false">SUM(B502:E502,F502:G502)</f>
        <v>177637.2</v>
      </c>
      <c r="I502" s="6" t="n">
        <f aca="false">CEILING(H502,Assumptions!$B$8)</f>
        <v>177700</v>
      </c>
      <c r="J502" s="6" t="n">
        <f aca="false">FLOOR(H502,Assumptions!$B$8)</f>
        <v>177600</v>
      </c>
      <c r="K502" s="6" t="n">
        <f aca="false">ROUNDUP(H502,Assumptions!$B$9)</f>
        <v>177638</v>
      </c>
      <c r="L502" s="6" t="n">
        <f aca="false">ROUNDDOWN(H502,Assumptions!$B$10)</f>
        <v>177637</v>
      </c>
    </row>
    <row r="503" customFormat="false" ht="15" hidden="false" customHeight="false" outlineLevel="0" collapsed="false">
      <c r="A503" s="5" t="s">
        <v>546</v>
      </c>
      <c r="B503" s="6" t="n">
        <f aca="false">ROUND(CohortData!G503*CohortData!I503,2)</f>
        <v>148764</v>
      </c>
      <c r="C503" s="6" t="n">
        <f aca="false">ROUND(CohortData!L503*Assumptions!$B$4*CohortData!I503,2)</f>
        <v>19835.2</v>
      </c>
      <c r="D503" s="6" t="n">
        <f aca="false">ROUND(CohortData!E503*Assumptions!$B$5*CohortData!I503,2)</f>
        <v>7084</v>
      </c>
      <c r="E503" s="6" t="n">
        <f aca="false">ROUND(B503*Assumptions!$B$3,2)</f>
        <v>5206.74</v>
      </c>
      <c r="F503" s="6" t="n">
        <f aca="false">ROUND(B503*Assumptions!$B$6,2)</f>
        <v>2231.46</v>
      </c>
      <c r="G503" s="6" t="n">
        <f aca="false">ROUND(CohortData!G503*CohortData!I503-CohortData!G503*Assumptions!$B$7,2)</f>
        <v>19404</v>
      </c>
      <c r="H503" s="7" t="n">
        <f aca="false">SUM(B503:E503,F503:G503)</f>
        <v>202525.4</v>
      </c>
      <c r="I503" s="6" t="n">
        <f aca="false">CEILING(H503,Assumptions!$B$8)</f>
        <v>202600</v>
      </c>
      <c r="J503" s="6" t="n">
        <f aca="false">FLOOR(H503,Assumptions!$B$8)</f>
        <v>202500</v>
      </c>
      <c r="K503" s="6" t="n">
        <f aca="false">ROUNDUP(H503,Assumptions!$B$9)</f>
        <v>202526</v>
      </c>
      <c r="L503" s="6" t="n">
        <f aca="false">ROUNDDOWN(H503,Assumptions!$B$10)</f>
        <v>202525</v>
      </c>
    </row>
    <row r="504" customFormat="false" ht="15" hidden="false" customHeight="false" outlineLevel="0" collapsed="false">
      <c r="A504" s="5" t="s">
        <v>547</v>
      </c>
      <c r="B504" s="6" t="n">
        <f aca="false">ROUND(CohortData!G504*CohortData!I504,2)</f>
        <v>137610</v>
      </c>
      <c r="C504" s="6" t="n">
        <f aca="false">ROUND(CohortData!L504*Assumptions!$B$4*CohortData!I504,2)</f>
        <v>18348</v>
      </c>
      <c r="D504" s="6" t="n">
        <f aca="false">ROUND(CohortData!E504*Assumptions!$B$5*CohortData!I504,2)</f>
        <v>8340</v>
      </c>
      <c r="E504" s="6" t="n">
        <f aca="false">ROUND(B504*Assumptions!$B$3,2)</f>
        <v>4816.35</v>
      </c>
      <c r="F504" s="6" t="n">
        <f aca="false">ROUND(B504*Assumptions!$B$6,2)</f>
        <v>2064.15</v>
      </c>
      <c r="G504" s="6" t="n">
        <f aca="false">ROUND(CohortData!G504*CohortData!I504-CohortData!G504*Assumptions!$B$7,2)</f>
        <v>0</v>
      </c>
      <c r="H504" s="7" t="n">
        <f aca="false">SUM(B504:E504,F504:G504)</f>
        <v>171178.5</v>
      </c>
      <c r="I504" s="6" t="n">
        <f aca="false">CEILING(H504,Assumptions!$B$8)</f>
        <v>171200</v>
      </c>
      <c r="J504" s="6" t="n">
        <f aca="false">FLOOR(H504,Assumptions!$B$8)</f>
        <v>171100</v>
      </c>
      <c r="K504" s="6" t="n">
        <f aca="false">ROUNDUP(H504,Assumptions!$B$9)</f>
        <v>171179</v>
      </c>
      <c r="L504" s="6" t="n">
        <f aca="false">ROUNDDOWN(H504,Assumptions!$B$10)</f>
        <v>171178</v>
      </c>
    </row>
    <row r="505" customFormat="false" ht="15" hidden="false" customHeight="false" outlineLevel="0" collapsed="false">
      <c r="A505" s="5" t="s">
        <v>548</v>
      </c>
      <c r="B505" s="6" t="n">
        <f aca="false">ROUND(CohortData!G505*CohortData!I505,2)</f>
        <v>179676</v>
      </c>
      <c r="C505" s="6" t="n">
        <f aca="false">ROUND(CohortData!L505*Assumptions!$B$4*CohortData!I505,2)</f>
        <v>23956.8</v>
      </c>
      <c r="D505" s="6" t="n">
        <f aca="false">ROUND(CohortData!E505*Assumptions!$B$5*CohortData!I505,2)</f>
        <v>9660</v>
      </c>
      <c r="E505" s="6" t="n">
        <f aca="false">ROUND(B505*Assumptions!$B$3,2)</f>
        <v>6288.66</v>
      </c>
      <c r="F505" s="6" t="n">
        <f aca="false">ROUND(B505*Assumptions!$B$6,2)</f>
        <v>2695.14</v>
      </c>
      <c r="G505" s="6" t="n">
        <f aca="false">ROUND(CohortData!G505*CohortData!I505-CohortData!G505*Assumptions!$B$7,2)</f>
        <v>0</v>
      </c>
      <c r="H505" s="7" t="n">
        <f aca="false">SUM(B505:E505,F505:G505)</f>
        <v>222276.6</v>
      </c>
      <c r="I505" s="6" t="n">
        <f aca="false">CEILING(H505,Assumptions!$B$8)</f>
        <v>222300</v>
      </c>
      <c r="J505" s="6" t="n">
        <f aca="false">FLOOR(H505,Assumptions!$B$8)</f>
        <v>222200</v>
      </c>
      <c r="K505" s="6" t="n">
        <f aca="false">ROUNDUP(H505,Assumptions!$B$9)</f>
        <v>222277</v>
      </c>
      <c r="L505" s="6" t="n">
        <f aca="false">ROUNDDOWN(H505,Assumptions!$B$10)</f>
        <v>222276</v>
      </c>
    </row>
    <row r="506" customFormat="false" ht="15" hidden="false" customHeight="false" outlineLevel="0" collapsed="false">
      <c r="A506" s="5" t="s">
        <v>549</v>
      </c>
      <c r="B506" s="6" t="n">
        <f aca="false">ROUND(CohortData!G506*CohortData!I506,2)</f>
        <v>75180</v>
      </c>
      <c r="C506" s="6" t="n">
        <f aca="false">ROUND(CohortData!L506*Assumptions!$B$4*CohortData!I506,2)</f>
        <v>10024</v>
      </c>
      <c r="D506" s="6" t="n">
        <f aca="false">ROUND(CohortData!E506*Assumptions!$B$5*CohortData!I506,2)</f>
        <v>3580</v>
      </c>
      <c r="E506" s="6" t="n">
        <f aca="false">ROUND(B506*Assumptions!$B$3,2)</f>
        <v>2631.3</v>
      </c>
      <c r="F506" s="6" t="n">
        <f aca="false">ROUND(B506*Assumptions!$B$6,2)</f>
        <v>1127.7</v>
      </c>
      <c r="G506" s="6" t="n">
        <f aca="false">ROUND(CohortData!G506*CohortData!I506-CohortData!G506*Assumptions!$B$7,2)</f>
        <v>0</v>
      </c>
      <c r="H506" s="7" t="n">
        <f aca="false">SUM(B506:E506,F506:G506)</f>
        <v>92543</v>
      </c>
      <c r="I506" s="6" t="n">
        <f aca="false">CEILING(H506,Assumptions!$B$8)</f>
        <v>92600</v>
      </c>
      <c r="J506" s="6" t="n">
        <f aca="false">FLOOR(H506,Assumptions!$B$8)</f>
        <v>92500</v>
      </c>
      <c r="K506" s="6" t="n">
        <f aca="false">ROUNDUP(H506,Assumptions!$B$9)</f>
        <v>92543</v>
      </c>
      <c r="L506" s="6" t="n">
        <f aca="false">ROUNDDOWN(H506,Assumptions!$B$10)</f>
        <v>92543</v>
      </c>
    </row>
    <row r="507" customFormat="false" ht="15" hidden="false" customHeight="false" outlineLevel="0" collapsed="false">
      <c r="A507" s="5" t="s">
        <v>550</v>
      </c>
      <c r="B507" s="6" t="n">
        <f aca="false">ROUND(CohortData!G507*CohortData!I507,2)</f>
        <v>83869.5</v>
      </c>
      <c r="C507" s="6" t="n">
        <f aca="false">ROUND(CohortData!L507*Assumptions!$B$4*CohortData!I507,2)</f>
        <v>11182.6</v>
      </c>
      <c r="D507" s="6" t="n">
        <f aca="false">ROUND(CohortData!E507*Assumptions!$B$5*CohortData!I507,2)</f>
        <v>5083</v>
      </c>
      <c r="E507" s="6" t="n">
        <f aca="false">ROUND(B507*Assumptions!$B$3,2)</f>
        <v>2935.43</v>
      </c>
      <c r="F507" s="6" t="n">
        <f aca="false">ROUND(B507*Assumptions!$B$6,2)</f>
        <v>1258.04</v>
      </c>
      <c r="G507" s="6" t="n">
        <f aca="false">ROUND(CohortData!G507*CohortData!I507-CohortData!G507*Assumptions!$B$7,2)</f>
        <v>10939.5</v>
      </c>
      <c r="H507" s="7" t="n">
        <f aca="false">SUM(B507:E507,F507:G507)</f>
        <v>115268.07</v>
      </c>
      <c r="I507" s="6" t="n">
        <f aca="false">CEILING(H507,Assumptions!$B$8)</f>
        <v>115300</v>
      </c>
      <c r="J507" s="6" t="n">
        <f aca="false">FLOOR(H507,Assumptions!$B$8)</f>
        <v>115200</v>
      </c>
      <c r="K507" s="6" t="n">
        <f aca="false">ROUNDUP(H507,Assumptions!$B$9)</f>
        <v>115269</v>
      </c>
      <c r="L507" s="6" t="n">
        <f aca="false">ROUNDDOWN(H507,Assumptions!$B$10)</f>
        <v>115268</v>
      </c>
    </row>
    <row r="508" customFormat="false" ht="15" hidden="false" customHeight="false" outlineLevel="0" collapsed="false">
      <c r="A508" s="5" t="s">
        <v>551</v>
      </c>
      <c r="B508" s="6" t="n">
        <f aca="false">ROUND(CohortData!G508*CohortData!I508,2)</f>
        <v>68076</v>
      </c>
      <c r="C508" s="6" t="n">
        <f aca="false">ROUND(CohortData!L508*Assumptions!$B$4*CohortData!I508,2)</f>
        <v>9076.8</v>
      </c>
      <c r="D508" s="6" t="n">
        <f aca="false">ROUND(CohortData!E508*Assumptions!$B$5*CohortData!I508,2)</f>
        <v>3660</v>
      </c>
      <c r="E508" s="6" t="n">
        <f aca="false">ROUND(B508*Assumptions!$B$3,2)</f>
        <v>2382.66</v>
      </c>
      <c r="F508" s="6" t="n">
        <f aca="false">ROUND(B508*Assumptions!$B$6,2)</f>
        <v>1021.14</v>
      </c>
      <c r="G508" s="6" t="n">
        <f aca="false">ROUND(CohortData!G508*CohortData!I508-CohortData!G508*Assumptions!$B$7,2)</f>
        <v>0</v>
      </c>
      <c r="H508" s="7" t="n">
        <f aca="false">SUM(B508:E508,F508:G508)</f>
        <v>84216.6</v>
      </c>
      <c r="I508" s="6" t="n">
        <f aca="false">CEILING(H508,Assumptions!$B$8)</f>
        <v>84300</v>
      </c>
      <c r="J508" s="6" t="n">
        <f aca="false">FLOOR(H508,Assumptions!$B$8)</f>
        <v>84200</v>
      </c>
      <c r="K508" s="6" t="n">
        <f aca="false">ROUNDUP(H508,Assumptions!$B$9)</f>
        <v>84217</v>
      </c>
      <c r="L508" s="6" t="n">
        <f aca="false">ROUNDDOWN(H508,Assumptions!$B$10)</f>
        <v>84216</v>
      </c>
    </row>
    <row r="509" customFormat="false" ht="15" hidden="false" customHeight="false" outlineLevel="0" collapsed="false">
      <c r="A509" s="5" t="s">
        <v>552</v>
      </c>
      <c r="B509" s="6" t="n">
        <f aca="false">ROUND(CohortData!G509*CohortData!I509,2)</f>
        <v>79800</v>
      </c>
      <c r="C509" s="6" t="n">
        <f aca="false">ROUND(CohortData!L509*Assumptions!$B$4*CohortData!I509,2)</f>
        <v>10640</v>
      </c>
      <c r="D509" s="6" t="n">
        <f aca="false">ROUND(CohortData!E509*Assumptions!$B$5*CohortData!I509,2)</f>
        <v>3800</v>
      </c>
      <c r="E509" s="6" t="n">
        <f aca="false">ROUND(B509*Assumptions!$B$3,2)</f>
        <v>2793</v>
      </c>
      <c r="F509" s="6" t="n">
        <f aca="false">ROUND(B509*Assumptions!$B$6,2)</f>
        <v>1197</v>
      </c>
      <c r="G509" s="6" t="n">
        <f aca="false">ROUND(CohortData!G509*CohortData!I509-CohortData!G509*Assumptions!$B$7,2)</f>
        <v>0</v>
      </c>
      <c r="H509" s="7" t="n">
        <f aca="false">SUM(B509:E509,F509:G509)</f>
        <v>98230</v>
      </c>
      <c r="I509" s="6" t="n">
        <f aca="false">CEILING(H509,Assumptions!$B$8)</f>
        <v>98300</v>
      </c>
      <c r="J509" s="6" t="n">
        <f aca="false">FLOOR(H509,Assumptions!$B$8)</f>
        <v>98200</v>
      </c>
      <c r="K509" s="6" t="n">
        <f aca="false">ROUNDUP(H509,Assumptions!$B$9)</f>
        <v>98230</v>
      </c>
      <c r="L509" s="6" t="n">
        <f aca="false">ROUNDDOWN(H509,Assumptions!$B$10)</f>
        <v>98230</v>
      </c>
    </row>
    <row r="510" customFormat="false" ht="15" hidden="false" customHeight="false" outlineLevel="0" collapsed="false">
      <c r="A510" s="5" t="s">
        <v>553</v>
      </c>
      <c r="B510" s="6" t="n">
        <f aca="false">ROUND(CohortData!G510*CohortData!I510,2)</f>
        <v>102630</v>
      </c>
      <c r="C510" s="6" t="n">
        <f aca="false">ROUND(CohortData!L510*Assumptions!$B$4*CohortData!I510,2)</f>
        <v>13684</v>
      </c>
      <c r="D510" s="6" t="n">
        <f aca="false">ROUND(CohortData!E510*Assumptions!$B$5*CohortData!I510,2)</f>
        <v>6220</v>
      </c>
      <c r="E510" s="6" t="n">
        <f aca="false">ROUND(B510*Assumptions!$B$3,2)</f>
        <v>3592.05</v>
      </c>
      <c r="F510" s="6" t="n">
        <f aca="false">ROUND(B510*Assumptions!$B$6,2)</f>
        <v>1539.45</v>
      </c>
      <c r="G510" s="6" t="n">
        <f aca="false">ROUND(CohortData!G510*CohortData!I510-CohortData!G510*Assumptions!$B$7,2)</f>
        <v>0</v>
      </c>
      <c r="H510" s="7" t="n">
        <f aca="false">SUM(B510:E510,F510:G510)</f>
        <v>127665.5</v>
      </c>
      <c r="I510" s="6" t="n">
        <f aca="false">CEILING(H510,Assumptions!$B$8)</f>
        <v>127700</v>
      </c>
      <c r="J510" s="6" t="n">
        <f aca="false">FLOOR(H510,Assumptions!$B$8)</f>
        <v>127600</v>
      </c>
      <c r="K510" s="6" t="n">
        <f aca="false">ROUNDUP(H510,Assumptions!$B$9)</f>
        <v>127666</v>
      </c>
      <c r="L510" s="6" t="n">
        <f aca="false">ROUNDDOWN(H510,Assumptions!$B$10)</f>
        <v>127665</v>
      </c>
    </row>
    <row r="511" customFormat="false" ht="15" hidden="false" customHeight="false" outlineLevel="0" collapsed="false">
      <c r="A511" s="5" t="s">
        <v>554</v>
      </c>
      <c r="B511" s="6" t="n">
        <f aca="false">ROUND(CohortData!G511*CohortData!I511,2)</f>
        <v>47913.6</v>
      </c>
      <c r="C511" s="6" t="n">
        <f aca="false">ROUND(CohortData!L511*Assumptions!$B$4*CohortData!I511,2)</f>
        <v>6388.48</v>
      </c>
      <c r="D511" s="6" t="n">
        <f aca="false">ROUND(CohortData!E511*Assumptions!$B$5*CohortData!I511,2)</f>
        <v>2576</v>
      </c>
      <c r="E511" s="6" t="n">
        <f aca="false">ROUND(B511*Assumptions!$B$3,2)</f>
        <v>1676.98</v>
      </c>
      <c r="F511" s="6" t="n">
        <f aca="false">ROUND(B511*Assumptions!$B$6,2)</f>
        <v>718.7</v>
      </c>
      <c r="G511" s="6" t="n">
        <f aca="false">ROUND(CohortData!G511*CohortData!I511-CohortData!G511*Assumptions!$B$7,2)</f>
        <v>6249.6</v>
      </c>
      <c r="H511" s="7" t="n">
        <f aca="false">SUM(B511:E511,F511:G511)</f>
        <v>65523.36</v>
      </c>
      <c r="I511" s="6" t="n">
        <f aca="false">CEILING(H511,Assumptions!$B$8)</f>
        <v>65600</v>
      </c>
      <c r="J511" s="6" t="n">
        <f aca="false">FLOOR(H511,Assumptions!$B$8)</f>
        <v>65500</v>
      </c>
      <c r="K511" s="6" t="n">
        <f aca="false">ROUNDUP(H511,Assumptions!$B$9)</f>
        <v>65524</v>
      </c>
      <c r="L511" s="6" t="n">
        <f aca="false">ROUNDDOWN(H511,Assumptions!$B$10)</f>
        <v>65523</v>
      </c>
    </row>
    <row r="512" customFormat="false" ht="15" hidden="false" customHeight="false" outlineLevel="0" collapsed="false">
      <c r="A512" s="5" t="s">
        <v>555</v>
      </c>
      <c r="B512" s="6" t="n">
        <f aca="false">ROUND(CohortData!G512*CohortData!I512,2)</f>
        <v>80220</v>
      </c>
      <c r="C512" s="6" t="n">
        <f aca="false">ROUND(CohortData!L512*Assumptions!$B$4*CohortData!I512,2)</f>
        <v>10696</v>
      </c>
      <c r="D512" s="6" t="n">
        <f aca="false">ROUND(CohortData!E512*Assumptions!$B$5*CohortData!I512,2)</f>
        <v>3820</v>
      </c>
      <c r="E512" s="6" t="n">
        <f aca="false">ROUND(B512*Assumptions!$B$3,2)</f>
        <v>2807.7</v>
      </c>
      <c r="F512" s="6" t="n">
        <f aca="false">ROUND(B512*Assumptions!$B$6,2)</f>
        <v>1203.3</v>
      </c>
      <c r="G512" s="6" t="n">
        <f aca="false">ROUND(CohortData!G512*CohortData!I512-CohortData!G512*Assumptions!$B$7,2)</f>
        <v>0</v>
      </c>
      <c r="H512" s="7" t="n">
        <f aca="false">SUM(B512:E512,F512:G512)</f>
        <v>98747</v>
      </c>
      <c r="I512" s="6" t="n">
        <f aca="false">CEILING(H512,Assumptions!$B$8)</f>
        <v>98800</v>
      </c>
      <c r="J512" s="6" t="n">
        <f aca="false">FLOOR(H512,Assumptions!$B$8)</f>
        <v>98700</v>
      </c>
      <c r="K512" s="6" t="n">
        <f aca="false">ROUNDUP(H512,Assumptions!$B$9)</f>
        <v>98747</v>
      </c>
      <c r="L512" s="6" t="n">
        <f aca="false">ROUNDDOWN(H512,Assumptions!$B$10)</f>
        <v>98747</v>
      </c>
    </row>
    <row r="513" customFormat="false" ht="15" hidden="false" customHeight="false" outlineLevel="0" collapsed="false">
      <c r="A513" s="5" t="s">
        <v>556</v>
      </c>
      <c r="B513" s="6" t="n">
        <f aca="false">ROUND(CohortData!G513*CohortData!I513,2)</f>
        <v>157410</v>
      </c>
      <c r="C513" s="6" t="n">
        <f aca="false">ROUND(CohortData!L513*Assumptions!$B$4*CohortData!I513,2)</f>
        <v>0</v>
      </c>
      <c r="D513" s="6" t="n">
        <f aca="false">ROUND(CohortData!E513*Assumptions!$B$5*CohortData!I513,2)</f>
        <v>9540</v>
      </c>
      <c r="E513" s="6" t="n">
        <f aca="false">ROUND(B513*Assumptions!$B$3,2)</f>
        <v>5509.35</v>
      </c>
      <c r="F513" s="6" t="n">
        <f aca="false">ROUND(B513*Assumptions!$B$6,2)</f>
        <v>2361.15</v>
      </c>
      <c r="G513" s="6" t="n">
        <f aca="false">ROUND(CohortData!G513*CohortData!I513-CohortData!G513*Assumptions!$B$7,2)</f>
        <v>0</v>
      </c>
      <c r="H513" s="7" t="n">
        <f aca="false">SUM(B513:E513,F513:G513)</f>
        <v>174820.5</v>
      </c>
      <c r="I513" s="6" t="n">
        <f aca="false">CEILING(H513,Assumptions!$B$8)</f>
        <v>174900</v>
      </c>
      <c r="J513" s="6" t="n">
        <f aca="false">FLOOR(H513,Assumptions!$B$8)</f>
        <v>174800</v>
      </c>
      <c r="K513" s="6" t="n">
        <f aca="false">ROUNDUP(H513,Assumptions!$B$9)</f>
        <v>174821</v>
      </c>
      <c r="L513" s="6" t="n">
        <f aca="false">ROUNDDOWN(H513,Assumptions!$B$10)</f>
        <v>174820</v>
      </c>
    </row>
    <row r="514" customFormat="false" ht="15" hidden="false" customHeight="false" outlineLevel="0" collapsed="false">
      <c r="A514" s="5" t="s">
        <v>557</v>
      </c>
      <c r="B514" s="6" t="n">
        <f aca="false">ROUND(CohortData!G514*CohortData!I514,2)</f>
        <v>100440</v>
      </c>
      <c r="C514" s="6" t="n">
        <f aca="false">ROUND(CohortData!L514*Assumptions!$B$4*CohortData!I514,2)</f>
        <v>13392</v>
      </c>
      <c r="D514" s="6" t="n">
        <f aca="false">ROUND(CohortData!E514*Assumptions!$B$5*CohortData!I514,2)</f>
        <v>5400</v>
      </c>
      <c r="E514" s="6" t="n">
        <f aca="false">ROUND(B514*Assumptions!$B$3,2)</f>
        <v>3515.4</v>
      </c>
      <c r="F514" s="6" t="n">
        <f aca="false">ROUND(B514*Assumptions!$B$6,2)</f>
        <v>1506.6</v>
      </c>
      <c r="G514" s="6" t="n">
        <f aca="false">ROUND(CohortData!G514*CohortData!I514-CohortData!G514*Assumptions!$B$7,2)</f>
        <v>0</v>
      </c>
      <c r="H514" s="7" t="n">
        <f aca="false">SUM(B514:E514,F514:G514)</f>
        <v>124254</v>
      </c>
      <c r="I514" s="6" t="n">
        <f aca="false">CEILING(H514,Assumptions!$B$8)</f>
        <v>124300</v>
      </c>
      <c r="J514" s="6" t="n">
        <f aca="false">FLOOR(H514,Assumptions!$B$8)</f>
        <v>124200</v>
      </c>
      <c r="K514" s="6" t="n">
        <f aca="false">ROUNDUP(H514,Assumptions!$B$9)</f>
        <v>124254</v>
      </c>
      <c r="L514" s="6" t="n">
        <f aca="false">ROUNDDOWN(H514,Assumptions!$B$10)</f>
        <v>124254</v>
      </c>
    </row>
    <row r="515" customFormat="false" ht="15" hidden="false" customHeight="false" outlineLevel="0" collapsed="false">
      <c r="A515" s="5" t="s">
        <v>558</v>
      </c>
      <c r="B515" s="6" t="n">
        <f aca="false">ROUND(CohortData!G515*CohortData!I515,2)</f>
        <v>241500</v>
      </c>
      <c r="C515" s="6" t="n">
        <f aca="false">ROUND(CohortData!L515*Assumptions!$B$4*CohortData!I515,2)</f>
        <v>32200</v>
      </c>
      <c r="D515" s="6" t="n">
        <f aca="false">ROUND(CohortData!E515*Assumptions!$B$5*CohortData!I515,2)</f>
        <v>11500</v>
      </c>
      <c r="E515" s="6" t="n">
        <f aca="false">ROUND(B515*Assumptions!$B$3,2)</f>
        <v>8452.5</v>
      </c>
      <c r="F515" s="6" t="n">
        <f aca="false">ROUND(B515*Assumptions!$B$6,2)</f>
        <v>3622.5</v>
      </c>
      <c r="G515" s="6" t="n">
        <f aca="false">ROUND(CohortData!G515*CohortData!I515-CohortData!G515*Assumptions!$B$7,2)</f>
        <v>31500</v>
      </c>
      <c r="H515" s="7" t="n">
        <f aca="false">SUM(B515:E515,F515:G515)</f>
        <v>328775</v>
      </c>
      <c r="I515" s="6" t="n">
        <f aca="false">CEILING(H515,Assumptions!$B$8)</f>
        <v>328800</v>
      </c>
      <c r="J515" s="6" t="n">
        <f aca="false">FLOOR(H515,Assumptions!$B$8)</f>
        <v>328700</v>
      </c>
      <c r="K515" s="6" t="n">
        <f aca="false">ROUNDUP(H515,Assumptions!$B$9)</f>
        <v>328775</v>
      </c>
      <c r="L515" s="6" t="n">
        <f aca="false">ROUNDDOWN(H515,Assumptions!$B$10)</f>
        <v>328775</v>
      </c>
    </row>
    <row r="516" customFormat="false" ht="15" hidden="false" customHeight="false" outlineLevel="0" collapsed="false">
      <c r="A516" s="5" t="s">
        <v>559</v>
      </c>
      <c r="B516" s="6" t="n">
        <f aca="false">ROUND(CohortData!G516*CohortData!I516,2)</f>
        <v>102300</v>
      </c>
      <c r="C516" s="6" t="n">
        <f aca="false">ROUND(CohortData!L516*Assumptions!$B$4*CohortData!I516,2)</f>
        <v>13640</v>
      </c>
      <c r="D516" s="6" t="n">
        <f aca="false">ROUND(CohortData!E516*Assumptions!$B$5*CohortData!I516,2)</f>
        <v>6200</v>
      </c>
      <c r="E516" s="6" t="n">
        <f aca="false">ROUND(B516*Assumptions!$B$3,2)</f>
        <v>3580.5</v>
      </c>
      <c r="F516" s="6" t="n">
        <f aca="false">ROUND(B516*Assumptions!$B$6,2)</f>
        <v>1534.5</v>
      </c>
      <c r="G516" s="6" t="n">
        <f aca="false">ROUND(CohortData!G516*CohortData!I516-CohortData!G516*Assumptions!$B$7,2)</f>
        <v>0</v>
      </c>
      <c r="H516" s="7" t="n">
        <f aca="false">SUM(B516:E516,F516:G516)</f>
        <v>127255</v>
      </c>
      <c r="I516" s="6" t="n">
        <f aca="false">CEILING(H516,Assumptions!$B$8)</f>
        <v>127300</v>
      </c>
      <c r="J516" s="6" t="n">
        <f aca="false">FLOOR(H516,Assumptions!$B$8)</f>
        <v>127200</v>
      </c>
      <c r="K516" s="6" t="n">
        <f aca="false">ROUNDUP(H516,Assumptions!$B$9)</f>
        <v>127255</v>
      </c>
      <c r="L516" s="6" t="n">
        <f aca="false">ROUNDDOWN(H516,Assumptions!$B$10)</f>
        <v>127255</v>
      </c>
    </row>
    <row r="517" customFormat="false" ht="15" hidden="false" customHeight="false" outlineLevel="0" collapsed="false">
      <c r="A517" s="5" t="s">
        <v>560</v>
      </c>
      <c r="B517" s="6" t="n">
        <f aca="false">ROUND(CohortData!G517*CohortData!I517,2)</f>
        <v>164424</v>
      </c>
      <c r="C517" s="6" t="n">
        <f aca="false">ROUND(CohortData!L517*Assumptions!$B$4*CohortData!I517,2)</f>
        <v>21923.2</v>
      </c>
      <c r="D517" s="6" t="n">
        <f aca="false">ROUND(CohortData!E517*Assumptions!$B$5*CohortData!I517,2)</f>
        <v>8840</v>
      </c>
      <c r="E517" s="6" t="n">
        <f aca="false">ROUND(B517*Assumptions!$B$3,2)</f>
        <v>5754.84</v>
      </c>
      <c r="F517" s="6" t="n">
        <f aca="false">ROUND(B517*Assumptions!$B$6,2)</f>
        <v>2466.36</v>
      </c>
      <c r="G517" s="6" t="n">
        <f aca="false">ROUND(CohortData!G517*CohortData!I517-CohortData!G517*Assumptions!$B$7,2)</f>
        <v>0</v>
      </c>
      <c r="H517" s="7" t="n">
        <f aca="false">SUM(B517:E517,F517:G517)</f>
        <v>203408.4</v>
      </c>
      <c r="I517" s="6" t="n">
        <f aca="false">CEILING(H517,Assumptions!$B$8)</f>
        <v>203500</v>
      </c>
      <c r="J517" s="6" t="n">
        <f aca="false">FLOOR(H517,Assumptions!$B$8)</f>
        <v>203400</v>
      </c>
      <c r="K517" s="6" t="n">
        <f aca="false">ROUNDUP(H517,Assumptions!$B$9)</f>
        <v>203409</v>
      </c>
      <c r="L517" s="6" t="n">
        <f aca="false">ROUNDDOWN(H517,Assumptions!$B$10)</f>
        <v>203408</v>
      </c>
    </row>
    <row r="518" customFormat="false" ht="15" hidden="false" customHeight="false" outlineLevel="0" collapsed="false">
      <c r="A518" s="5" t="s">
        <v>561</v>
      </c>
      <c r="B518" s="6" t="n">
        <f aca="false">ROUND(CohortData!G518*CohortData!I518,2)</f>
        <v>199920</v>
      </c>
      <c r="C518" s="6" t="n">
        <f aca="false">ROUND(CohortData!L518*Assumptions!$B$4*CohortData!I518,2)</f>
        <v>26656</v>
      </c>
      <c r="D518" s="6" t="n">
        <f aca="false">ROUND(CohortData!E518*Assumptions!$B$5*CohortData!I518,2)</f>
        <v>9520</v>
      </c>
      <c r="E518" s="6" t="n">
        <f aca="false">ROUND(B518*Assumptions!$B$3,2)</f>
        <v>6997.2</v>
      </c>
      <c r="F518" s="6" t="n">
        <f aca="false">ROUND(B518*Assumptions!$B$6,2)</f>
        <v>2998.8</v>
      </c>
      <c r="G518" s="6" t="n">
        <f aca="false">ROUND(CohortData!G518*CohortData!I518-CohortData!G518*Assumptions!$B$7,2)</f>
        <v>0</v>
      </c>
      <c r="H518" s="7" t="n">
        <f aca="false">SUM(B518:E518,F518:G518)</f>
        <v>246092</v>
      </c>
      <c r="I518" s="6" t="n">
        <f aca="false">CEILING(H518,Assumptions!$B$8)</f>
        <v>246100</v>
      </c>
      <c r="J518" s="6" t="n">
        <f aca="false">FLOOR(H518,Assumptions!$B$8)</f>
        <v>246000</v>
      </c>
      <c r="K518" s="6" t="n">
        <f aca="false">ROUNDUP(H518,Assumptions!$B$9)</f>
        <v>246092</v>
      </c>
      <c r="L518" s="6" t="n">
        <f aca="false">ROUNDDOWN(H518,Assumptions!$B$10)</f>
        <v>246092</v>
      </c>
    </row>
    <row r="519" customFormat="false" ht="15" hidden="false" customHeight="false" outlineLevel="0" collapsed="false">
      <c r="A519" s="5" t="s">
        <v>562</v>
      </c>
      <c r="B519" s="6" t="n">
        <f aca="false">ROUND(CohortData!G519*CohortData!I519,2)</f>
        <v>86146.5</v>
      </c>
      <c r="C519" s="6" t="n">
        <f aca="false">ROUND(CohortData!L519*Assumptions!$B$4*CohortData!I519,2)</f>
        <v>11486.2</v>
      </c>
      <c r="D519" s="6" t="n">
        <f aca="false">ROUND(CohortData!E519*Assumptions!$B$5*CohortData!I519,2)</f>
        <v>5221</v>
      </c>
      <c r="E519" s="6" t="n">
        <f aca="false">ROUND(B519*Assumptions!$B$3,2)</f>
        <v>3015.13</v>
      </c>
      <c r="F519" s="6" t="n">
        <f aca="false">ROUND(B519*Assumptions!$B$6,2)</f>
        <v>1292.2</v>
      </c>
      <c r="G519" s="6" t="n">
        <f aca="false">ROUND(CohortData!G519*CohortData!I519-CohortData!G519*Assumptions!$B$7,2)</f>
        <v>11236.5</v>
      </c>
      <c r="H519" s="7" t="n">
        <f aca="false">SUM(B519:E519,F519:G519)</f>
        <v>118397.53</v>
      </c>
      <c r="I519" s="6" t="n">
        <f aca="false">CEILING(H519,Assumptions!$B$8)</f>
        <v>118400</v>
      </c>
      <c r="J519" s="6" t="n">
        <f aca="false">FLOOR(H519,Assumptions!$B$8)</f>
        <v>118300</v>
      </c>
      <c r="K519" s="6" t="n">
        <f aca="false">ROUNDUP(H519,Assumptions!$B$9)</f>
        <v>118398</v>
      </c>
      <c r="L519" s="6" t="n">
        <f aca="false">ROUNDDOWN(H519,Assumptions!$B$10)</f>
        <v>118397</v>
      </c>
    </row>
    <row r="520" customFormat="false" ht="15" hidden="false" customHeight="false" outlineLevel="0" collapsed="false">
      <c r="A520" s="5" t="s">
        <v>563</v>
      </c>
      <c r="B520" s="6" t="n">
        <f aca="false">ROUND(CohortData!G520*CohortData!I520,2)</f>
        <v>87792</v>
      </c>
      <c r="C520" s="6" t="n">
        <f aca="false">ROUND(CohortData!L520*Assumptions!$B$4*CohortData!I520,2)</f>
        <v>11705.6</v>
      </c>
      <c r="D520" s="6" t="n">
        <f aca="false">ROUND(CohortData!E520*Assumptions!$B$5*CohortData!I520,2)</f>
        <v>4720</v>
      </c>
      <c r="E520" s="6" t="n">
        <f aca="false">ROUND(B520*Assumptions!$B$3,2)</f>
        <v>3072.72</v>
      </c>
      <c r="F520" s="6" t="n">
        <f aca="false">ROUND(B520*Assumptions!$B$6,2)</f>
        <v>1316.88</v>
      </c>
      <c r="G520" s="6" t="n">
        <f aca="false">ROUND(CohortData!G520*CohortData!I520-CohortData!G520*Assumptions!$B$7,2)</f>
        <v>0</v>
      </c>
      <c r="H520" s="7" t="n">
        <f aca="false">SUM(B520:E520,F520:G520)</f>
        <v>108607.2</v>
      </c>
      <c r="I520" s="6" t="n">
        <f aca="false">CEILING(H520,Assumptions!$B$8)</f>
        <v>108700</v>
      </c>
      <c r="J520" s="6" t="n">
        <f aca="false">FLOOR(H520,Assumptions!$B$8)</f>
        <v>108600</v>
      </c>
      <c r="K520" s="6" t="n">
        <f aca="false">ROUNDUP(H520,Assumptions!$B$9)</f>
        <v>108608</v>
      </c>
      <c r="L520" s="6" t="n">
        <f aca="false">ROUNDDOWN(H520,Assumptions!$B$10)</f>
        <v>108607</v>
      </c>
    </row>
    <row r="521" customFormat="false" ht="15" hidden="false" customHeight="false" outlineLevel="0" collapsed="false">
      <c r="A521" s="5" t="s">
        <v>564</v>
      </c>
      <c r="B521" s="6" t="n">
        <f aca="false">ROUND(CohortData!G521*CohortData!I521,2)</f>
        <v>76020</v>
      </c>
      <c r="C521" s="6" t="n">
        <f aca="false">ROUND(CohortData!L521*Assumptions!$B$4*CohortData!I521,2)</f>
        <v>10136</v>
      </c>
      <c r="D521" s="6" t="n">
        <f aca="false">ROUND(CohortData!E521*Assumptions!$B$5*CohortData!I521,2)</f>
        <v>3620</v>
      </c>
      <c r="E521" s="6" t="n">
        <f aca="false">ROUND(B521*Assumptions!$B$3,2)</f>
        <v>2660.7</v>
      </c>
      <c r="F521" s="6" t="n">
        <f aca="false">ROUND(B521*Assumptions!$B$6,2)</f>
        <v>1140.3</v>
      </c>
      <c r="G521" s="6" t="n">
        <f aca="false">ROUND(CohortData!G521*CohortData!I521-CohortData!G521*Assumptions!$B$7,2)</f>
        <v>0</v>
      </c>
      <c r="H521" s="7" t="n">
        <f aca="false">SUM(B521:E521,F521:G521)</f>
        <v>93577</v>
      </c>
      <c r="I521" s="6" t="n">
        <f aca="false">CEILING(H521,Assumptions!$B$8)</f>
        <v>93600</v>
      </c>
      <c r="J521" s="6" t="n">
        <f aca="false">FLOOR(H521,Assumptions!$B$8)</f>
        <v>93500</v>
      </c>
      <c r="K521" s="6" t="n">
        <f aca="false">ROUNDUP(H521,Assumptions!$B$9)</f>
        <v>93577</v>
      </c>
      <c r="L521" s="6" t="n">
        <f aca="false">ROUNDDOWN(H521,Assumptions!$B$10)</f>
        <v>93577</v>
      </c>
    </row>
    <row r="522" customFormat="false" ht="15" hidden="false" customHeight="false" outlineLevel="0" collapsed="false">
      <c r="A522" s="5" t="s">
        <v>565</v>
      </c>
      <c r="B522" s="6" t="n">
        <f aca="false">ROUND(CohortData!G522*CohortData!I522,2)</f>
        <v>151470</v>
      </c>
      <c r="C522" s="6" t="n">
        <f aca="false">ROUND(CohortData!L522*Assumptions!$B$4*CohortData!I522,2)</f>
        <v>20196</v>
      </c>
      <c r="D522" s="6" t="n">
        <f aca="false">ROUND(CohortData!E522*Assumptions!$B$5*CohortData!I522,2)</f>
        <v>9180</v>
      </c>
      <c r="E522" s="6" t="n">
        <f aca="false">ROUND(B522*Assumptions!$B$3,2)</f>
        <v>5301.45</v>
      </c>
      <c r="F522" s="6" t="n">
        <f aca="false">ROUND(B522*Assumptions!$B$6,2)</f>
        <v>2272.05</v>
      </c>
      <c r="G522" s="6" t="n">
        <f aca="false">ROUND(CohortData!G522*CohortData!I522-CohortData!G522*Assumptions!$B$7,2)</f>
        <v>0</v>
      </c>
      <c r="H522" s="7" t="n">
        <f aca="false">SUM(B522:E522,F522:G522)</f>
        <v>188419.5</v>
      </c>
      <c r="I522" s="6" t="n">
        <f aca="false">CEILING(H522,Assumptions!$B$8)</f>
        <v>188500</v>
      </c>
      <c r="J522" s="6" t="n">
        <f aca="false">FLOOR(H522,Assumptions!$B$8)</f>
        <v>188400</v>
      </c>
      <c r="K522" s="6" t="n">
        <f aca="false">ROUNDUP(H522,Assumptions!$B$9)</f>
        <v>188420</v>
      </c>
      <c r="L522" s="6" t="n">
        <f aca="false">ROUNDDOWN(H522,Assumptions!$B$10)</f>
        <v>188419</v>
      </c>
    </row>
    <row r="523" customFormat="false" ht="15" hidden="false" customHeight="false" outlineLevel="0" collapsed="false">
      <c r="A523" s="5" t="s">
        <v>566</v>
      </c>
      <c r="B523" s="6" t="n">
        <f aca="false">ROUND(CohortData!G523*CohortData!I523,2)</f>
        <v>66309</v>
      </c>
      <c r="C523" s="6" t="n">
        <f aca="false">ROUND(CohortData!L523*Assumptions!$B$4*CohortData!I523,2)</f>
        <v>8841.2</v>
      </c>
      <c r="D523" s="6" t="n">
        <f aca="false">ROUND(CohortData!E523*Assumptions!$B$5*CohortData!I523,2)</f>
        <v>3565</v>
      </c>
      <c r="E523" s="6" t="n">
        <f aca="false">ROUND(B523*Assumptions!$B$3,2)</f>
        <v>2320.82</v>
      </c>
      <c r="F523" s="6" t="n">
        <f aca="false">ROUND(B523*Assumptions!$B$6,2)</f>
        <v>994.64</v>
      </c>
      <c r="G523" s="6" t="n">
        <f aca="false">ROUND(CohortData!G523*CohortData!I523-CohortData!G523*Assumptions!$B$7,2)</f>
        <v>8649</v>
      </c>
      <c r="H523" s="7" t="n">
        <f aca="false">SUM(B523:E523,F523:G523)</f>
        <v>90679.66</v>
      </c>
      <c r="I523" s="6" t="n">
        <f aca="false">CEILING(H523,Assumptions!$B$8)</f>
        <v>90700</v>
      </c>
      <c r="J523" s="6" t="n">
        <f aca="false">FLOOR(H523,Assumptions!$B$8)</f>
        <v>90600</v>
      </c>
      <c r="K523" s="6" t="n">
        <f aca="false">ROUNDUP(H523,Assumptions!$B$9)</f>
        <v>90680</v>
      </c>
      <c r="L523" s="6" t="n">
        <f aca="false">ROUNDDOWN(H523,Assumptions!$B$10)</f>
        <v>90679</v>
      </c>
    </row>
    <row r="524" customFormat="false" ht="15" hidden="false" customHeight="false" outlineLevel="0" collapsed="false">
      <c r="A524" s="5" t="s">
        <v>567</v>
      </c>
      <c r="B524" s="6" t="n">
        <f aca="false">ROUND(CohortData!G524*CohortData!I524,2)</f>
        <v>123900</v>
      </c>
      <c r="C524" s="6" t="n">
        <f aca="false">ROUND(CohortData!L524*Assumptions!$B$4*CohortData!I524,2)</f>
        <v>16520</v>
      </c>
      <c r="D524" s="6" t="n">
        <f aca="false">ROUND(CohortData!E524*Assumptions!$B$5*CohortData!I524,2)</f>
        <v>5900</v>
      </c>
      <c r="E524" s="6" t="n">
        <f aca="false">ROUND(B524*Assumptions!$B$3,2)</f>
        <v>4336.5</v>
      </c>
      <c r="F524" s="6" t="n">
        <f aca="false">ROUND(B524*Assumptions!$B$6,2)</f>
        <v>1858.5</v>
      </c>
      <c r="G524" s="6" t="n">
        <f aca="false">ROUND(CohortData!G524*CohortData!I524-CohortData!G524*Assumptions!$B$7,2)</f>
        <v>0</v>
      </c>
      <c r="H524" s="7" t="n">
        <f aca="false">SUM(B524:E524,F524:G524)</f>
        <v>152515</v>
      </c>
      <c r="I524" s="6" t="n">
        <f aca="false">CEILING(H524,Assumptions!$B$8)</f>
        <v>152600</v>
      </c>
      <c r="J524" s="6" t="n">
        <f aca="false">FLOOR(H524,Assumptions!$B$8)</f>
        <v>152500</v>
      </c>
      <c r="K524" s="6" t="n">
        <f aca="false">ROUNDUP(H524,Assumptions!$B$9)</f>
        <v>152515</v>
      </c>
      <c r="L524" s="6" t="n">
        <f aca="false">ROUNDDOWN(H524,Assumptions!$B$10)</f>
        <v>152515</v>
      </c>
    </row>
    <row r="525" customFormat="false" ht="15" hidden="false" customHeight="false" outlineLevel="0" collapsed="false">
      <c r="A525" s="5" t="s">
        <v>568</v>
      </c>
      <c r="B525" s="6" t="n">
        <f aca="false">ROUND(CohortData!G525*CohortData!I525,2)</f>
        <v>39270</v>
      </c>
      <c r="C525" s="6" t="n">
        <f aca="false">ROUND(CohortData!L525*Assumptions!$B$4*CohortData!I525,2)</f>
        <v>5236</v>
      </c>
      <c r="D525" s="6" t="n">
        <f aca="false">ROUND(CohortData!E525*Assumptions!$B$5*CohortData!I525,2)</f>
        <v>2380</v>
      </c>
      <c r="E525" s="6" t="n">
        <f aca="false">ROUND(B525*Assumptions!$B$3,2)</f>
        <v>1374.45</v>
      </c>
      <c r="F525" s="6" t="n">
        <f aca="false">ROUND(B525*Assumptions!$B$6,2)</f>
        <v>589.05</v>
      </c>
      <c r="G525" s="6" t="n">
        <f aca="false">ROUND(CohortData!G525*CohortData!I525-CohortData!G525*Assumptions!$B$7,2)</f>
        <v>0</v>
      </c>
      <c r="H525" s="7" t="n">
        <f aca="false">SUM(B525:E525,F525:G525)</f>
        <v>48849.5</v>
      </c>
      <c r="I525" s="6" t="n">
        <f aca="false">CEILING(H525,Assumptions!$B$8)</f>
        <v>48900</v>
      </c>
      <c r="J525" s="6" t="n">
        <f aca="false">FLOOR(H525,Assumptions!$B$8)</f>
        <v>48800</v>
      </c>
      <c r="K525" s="6" t="n">
        <f aca="false">ROUNDUP(H525,Assumptions!$B$9)</f>
        <v>48850</v>
      </c>
      <c r="L525" s="6" t="n">
        <f aca="false">ROUNDDOWN(H525,Assumptions!$B$10)</f>
        <v>48849</v>
      </c>
    </row>
    <row r="526" customFormat="false" ht="15" hidden="false" customHeight="false" outlineLevel="0" collapsed="false">
      <c r="A526" s="5" t="s">
        <v>569</v>
      </c>
      <c r="B526" s="6" t="n">
        <f aca="false">ROUND(CohortData!G526*CohortData!I526,2)</f>
        <v>126480</v>
      </c>
      <c r="C526" s="6" t="n">
        <f aca="false">ROUND(CohortData!L526*Assumptions!$B$4*CohortData!I526,2)</f>
        <v>16864</v>
      </c>
      <c r="D526" s="6" t="n">
        <f aca="false">ROUND(CohortData!E526*Assumptions!$B$5*CohortData!I526,2)</f>
        <v>6800</v>
      </c>
      <c r="E526" s="6" t="n">
        <f aca="false">ROUND(B526*Assumptions!$B$3,2)</f>
        <v>4426.8</v>
      </c>
      <c r="F526" s="6" t="n">
        <f aca="false">ROUND(B526*Assumptions!$B$6,2)</f>
        <v>1897.2</v>
      </c>
      <c r="G526" s="6" t="n">
        <f aca="false">ROUND(CohortData!G526*CohortData!I526-CohortData!G526*Assumptions!$B$7,2)</f>
        <v>0</v>
      </c>
      <c r="H526" s="7" t="n">
        <f aca="false">SUM(B526:E526,F526:G526)</f>
        <v>156468</v>
      </c>
      <c r="I526" s="6" t="n">
        <f aca="false">CEILING(H526,Assumptions!$B$8)</f>
        <v>156500</v>
      </c>
      <c r="J526" s="6" t="n">
        <f aca="false">FLOOR(H526,Assumptions!$B$8)</f>
        <v>156400</v>
      </c>
      <c r="K526" s="6" t="n">
        <f aca="false">ROUNDUP(H526,Assumptions!$B$9)</f>
        <v>156468</v>
      </c>
      <c r="L526" s="6" t="n">
        <f aca="false">ROUNDDOWN(H526,Assumptions!$B$10)</f>
        <v>156468</v>
      </c>
    </row>
    <row r="527" customFormat="false" ht="15" hidden="false" customHeight="false" outlineLevel="0" collapsed="false">
      <c r="A527" s="5" t="s">
        <v>570</v>
      </c>
      <c r="B527" s="6" t="n">
        <f aca="false">ROUND(CohortData!G527*CohortData!I527,2)</f>
        <v>102879</v>
      </c>
      <c r="C527" s="6" t="n">
        <f aca="false">ROUND(CohortData!L527*Assumptions!$B$4*CohortData!I527,2)</f>
        <v>13717.2</v>
      </c>
      <c r="D527" s="6" t="n">
        <f aca="false">ROUND(CohortData!E527*Assumptions!$B$5*CohortData!I527,2)</f>
        <v>4899</v>
      </c>
      <c r="E527" s="6" t="n">
        <f aca="false">ROUND(B527*Assumptions!$B$3,2)</f>
        <v>3600.77</v>
      </c>
      <c r="F527" s="6" t="n">
        <f aca="false">ROUND(B527*Assumptions!$B$6,2)</f>
        <v>1543.19</v>
      </c>
      <c r="G527" s="6" t="n">
        <f aca="false">ROUND(CohortData!G527*CohortData!I527-CohortData!G527*Assumptions!$B$7,2)</f>
        <v>13419</v>
      </c>
      <c r="H527" s="7" t="n">
        <f aca="false">SUM(B527:E527,F527:G527)</f>
        <v>140058.16</v>
      </c>
      <c r="I527" s="6" t="n">
        <f aca="false">CEILING(H527,Assumptions!$B$8)</f>
        <v>140100</v>
      </c>
      <c r="J527" s="6" t="n">
        <f aca="false">FLOOR(H527,Assumptions!$B$8)</f>
        <v>140000</v>
      </c>
      <c r="K527" s="6" t="n">
        <f aca="false">ROUNDUP(H527,Assumptions!$B$9)</f>
        <v>140059</v>
      </c>
      <c r="L527" s="6" t="n">
        <f aca="false">ROUNDDOWN(H527,Assumptions!$B$10)</f>
        <v>140058</v>
      </c>
    </row>
    <row r="528" customFormat="false" ht="15" hidden="false" customHeight="false" outlineLevel="0" collapsed="false">
      <c r="A528" s="5" t="s">
        <v>571</v>
      </c>
      <c r="B528" s="6" t="n">
        <f aca="false">ROUND(CohortData!G528*CohortData!I528,2)</f>
        <v>66660</v>
      </c>
      <c r="C528" s="6" t="n">
        <f aca="false">ROUND(CohortData!L528*Assumptions!$B$4*CohortData!I528,2)</f>
        <v>8888</v>
      </c>
      <c r="D528" s="6" t="n">
        <f aca="false">ROUND(CohortData!E528*Assumptions!$B$5*CohortData!I528,2)</f>
        <v>4040</v>
      </c>
      <c r="E528" s="6" t="n">
        <f aca="false">ROUND(B528*Assumptions!$B$3,2)</f>
        <v>2333.1</v>
      </c>
      <c r="F528" s="6" t="n">
        <f aca="false">ROUND(B528*Assumptions!$B$6,2)</f>
        <v>999.9</v>
      </c>
      <c r="G528" s="6" t="n">
        <f aca="false">ROUND(CohortData!G528*CohortData!I528-CohortData!G528*Assumptions!$B$7,2)</f>
        <v>0</v>
      </c>
      <c r="H528" s="7" t="n">
        <f aca="false">SUM(B528:E528,F528:G528)</f>
        <v>82921</v>
      </c>
      <c r="I528" s="6" t="n">
        <f aca="false">CEILING(H528,Assumptions!$B$8)</f>
        <v>83000</v>
      </c>
      <c r="J528" s="6" t="n">
        <f aca="false">FLOOR(H528,Assumptions!$B$8)</f>
        <v>82900</v>
      </c>
      <c r="K528" s="6" t="n">
        <f aca="false">ROUNDUP(H528,Assumptions!$B$9)</f>
        <v>82921</v>
      </c>
      <c r="L528" s="6" t="n">
        <f aca="false">ROUNDDOWN(H528,Assumptions!$B$10)</f>
        <v>82921</v>
      </c>
    </row>
    <row r="529" customFormat="false" ht="15" hidden="false" customHeight="false" outlineLevel="0" collapsed="false">
      <c r="A529" s="5" t="s">
        <v>572</v>
      </c>
      <c r="B529" s="6" t="n">
        <f aca="false">ROUND(CohortData!G529*CohortData!I529,2)</f>
        <v>124620</v>
      </c>
      <c r="C529" s="6" t="n">
        <f aca="false">ROUND(CohortData!L529*Assumptions!$B$4*CohortData!I529,2)</f>
        <v>16616</v>
      </c>
      <c r="D529" s="6" t="n">
        <f aca="false">ROUND(CohortData!E529*Assumptions!$B$5*CohortData!I529,2)</f>
        <v>6700</v>
      </c>
      <c r="E529" s="6" t="n">
        <f aca="false">ROUND(B529*Assumptions!$B$3,2)</f>
        <v>4361.7</v>
      </c>
      <c r="F529" s="6" t="n">
        <f aca="false">ROUND(B529*Assumptions!$B$6,2)</f>
        <v>1869.3</v>
      </c>
      <c r="G529" s="6" t="n">
        <f aca="false">ROUND(CohortData!G529*CohortData!I529-CohortData!G529*Assumptions!$B$7,2)</f>
        <v>0</v>
      </c>
      <c r="H529" s="7" t="n">
        <f aca="false">SUM(B529:E529,F529:G529)</f>
        <v>154167</v>
      </c>
      <c r="I529" s="6" t="n">
        <f aca="false">CEILING(H529,Assumptions!$B$8)</f>
        <v>154200</v>
      </c>
      <c r="J529" s="6" t="n">
        <f aca="false">FLOOR(H529,Assumptions!$B$8)</f>
        <v>154100</v>
      </c>
      <c r="K529" s="6" t="n">
        <f aca="false">ROUNDUP(H529,Assumptions!$B$9)</f>
        <v>154167</v>
      </c>
      <c r="L529" s="6" t="n">
        <f aca="false">ROUNDDOWN(H529,Assumptions!$B$10)</f>
        <v>154167</v>
      </c>
    </row>
    <row r="530" customFormat="false" ht="15" hidden="false" customHeight="false" outlineLevel="0" collapsed="false">
      <c r="A530" s="5" t="s">
        <v>573</v>
      </c>
      <c r="B530" s="6" t="n">
        <f aca="false">ROUND(CohortData!G530*CohortData!I530,2)</f>
        <v>117180</v>
      </c>
      <c r="C530" s="6" t="n">
        <f aca="false">ROUND(CohortData!L530*Assumptions!$B$4*CohortData!I530,2)</f>
        <v>0</v>
      </c>
      <c r="D530" s="6" t="n">
        <f aca="false">ROUND(CohortData!E530*Assumptions!$B$5*CohortData!I530,2)</f>
        <v>5580</v>
      </c>
      <c r="E530" s="6" t="n">
        <f aca="false">ROUND(B530*Assumptions!$B$3,2)</f>
        <v>4101.3</v>
      </c>
      <c r="F530" s="6" t="n">
        <f aca="false">ROUND(B530*Assumptions!$B$6,2)</f>
        <v>1757.7</v>
      </c>
      <c r="G530" s="6" t="n">
        <f aca="false">ROUND(CohortData!G530*CohortData!I530-CohortData!G530*Assumptions!$B$7,2)</f>
        <v>0</v>
      </c>
      <c r="H530" s="7" t="n">
        <f aca="false">SUM(B530:E530,F530:G530)</f>
        <v>128619</v>
      </c>
      <c r="I530" s="6" t="n">
        <f aca="false">CEILING(H530,Assumptions!$B$8)</f>
        <v>128700</v>
      </c>
      <c r="J530" s="6" t="n">
        <f aca="false">FLOOR(H530,Assumptions!$B$8)</f>
        <v>128600</v>
      </c>
      <c r="K530" s="6" t="n">
        <f aca="false">ROUNDUP(H530,Assumptions!$B$9)</f>
        <v>128619</v>
      </c>
      <c r="L530" s="6" t="n">
        <f aca="false">ROUNDDOWN(H530,Assumptions!$B$10)</f>
        <v>128619</v>
      </c>
    </row>
    <row r="531" customFormat="false" ht="15" hidden="false" customHeight="false" outlineLevel="0" collapsed="false">
      <c r="A531" s="5" t="s">
        <v>574</v>
      </c>
      <c r="B531" s="6" t="n">
        <f aca="false">ROUND(CohortData!G531*CohortData!I531,2)</f>
        <v>97152</v>
      </c>
      <c r="C531" s="6" t="n">
        <f aca="false">ROUND(CohortData!L531*Assumptions!$B$4*CohortData!I531,2)</f>
        <v>12953.6</v>
      </c>
      <c r="D531" s="6" t="n">
        <f aca="false">ROUND(CohortData!E531*Assumptions!$B$5*CohortData!I531,2)</f>
        <v>5888</v>
      </c>
      <c r="E531" s="6" t="n">
        <f aca="false">ROUND(B531*Assumptions!$B$3,2)</f>
        <v>3400.32</v>
      </c>
      <c r="F531" s="6" t="n">
        <f aca="false">ROUND(B531*Assumptions!$B$6,2)</f>
        <v>1457.28</v>
      </c>
      <c r="G531" s="6" t="n">
        <f aca="false">ROUND(CohortData!G531*CohortData!I531-CohortData!G531*Assumptions!$B$7,2)</f>
        <v>12672</v>
      </c>
      <c r="H531" s="7" t="n">
        <f aca="false">SUM(B531:E531,F531:G531)</f>
        <v>133523.2</v>
      </c>
      <c r="I531" s="6" t="n">
        <f aca="false">CEILING(H531,Assumptions!$B$8)</f>
        <v>133600</v>
      </c>
      <c r="J531" s="6" t="n">
        <f aca="false">FLOOR(H531,Assumptions!$B$8)</f>
        <v>133500</v>
      </c>
      <c r="K531" s="6" t="n">
        <f aca="false">ROUNDUP(H531,Assumptions!$B$9)</f>
        <v>133524</v>
      </c>
      <c r="L531" s="6" t="n">
        <f aca="false">ROUNDDOWN(H531,Assumptions!$B$10)</f>
        <v>133523</v>
      </c>
    </row>
    <row r="532" customFormat="false" ht="15" hidden="false" customHeight="false" outlineLevel="0" collapsed="false">
      <c r="A532" s="5" t="s">
        <v>575</v>
      </c>
      <c r="B532" s="6" t="n">
        <f aca="false">ROUND(CohortData!G532*CohortData!I532,2)</f>
        <v>80352</v>
      </c>
      <c r="C532" s="6" t="n">
        <f aca="false">ROUND(CohortData!L532*Assumptions!$B$4*CohortData!I532,2)</f>
        <v>10713.6</v>
      </c>
      <c r="D532" s="6" t="n">
        <f aca="false">ROUND(CohortData!E532*Assumptions!$B$5*CohortData!I532,2)</f>
        <v>4320</v>
      </c>
      <c r="E532" s="6" t="n">
        <f aca="false">ROUND(B532*Assumptions!$B$3,2)</f>
        <v>2812.32</v>
      </c>
      <c r="F532" s="6" t="n">
        <f aca="false">ROUND(B532*Assumptions!$B$6,2)</f>
        <v>1205.28</v>
      </c>
      <c r="G532" s="6" t="n">
        <f aca="false">ROUND(CohortData!G532*CohortData!I532-CohortData!G532*Assumptions!$B$7,2)</f>
        <v>0</v>
      </c>
      <c r="H532" s="7" t="n">
        <f aca="false">SUM(B532:E532,F532:G532)</f>
        <v>99403.2</v>
      </c>
      <c r="I532" s="6" t="n">
        <f aca="false">CEILING(H532,Assumptions!$B$8)</f>
        <v>99500</v>
      </c>
      <c r="J532" s="6" t="n">
        <f aca="false">FLOOR(H532,Assumptions!$B$8)</f>
        <v>99400</v>
      </c>
      <c r="K532" s="6" t="n">
        <f aca="false">ROUNDUP(H532,Assumptions!$B$9)</f>
        <v>99404</v>
      </c>
      <c r="L532" s="6" t="n">
        <f aca="false">ROUNDDOWN(H532,Assumptions!$B$10)</f>
        <v>99403</v>
      </c>
    </row>
    <row r="533" customFormat="false" ht="15" hidden="false" customHeight="false" outlineLevel="0" collapsed="false">
      <c r="A533" s="5" t="s">
        <v>576</v>
      </c>
      <c r="B533" s="6" t="n">
        <f aca="false">ROUND(CohortData!G533*CohortData!I533,2)</f>
        <v>89880</v>
      </c>
      <c r="C533" s="6" t="n">
        <f aca="false">ROUND(CohortData!L533*Assumptions!$B$4*CohortData!I533,2)</f>
        <v>11984</v>
      </c>
      <c r="D533" s="6" t="n">
        <f aca="false">ROUND(CohortData!E533*Assumptions!$B$5*CohortData!I533,2)</f>
        <v>4280</v>
      </c>
      <c r="E533" s="6" t="n">
        <f aca="false">ROUND(B533*Assumptions!$B$3,2)</f>
        <v>3145.8</v>
      </c>
      <c r="F533" s="6" t="n">
        <f aca="false">ROUND(B533*Assumptions!$B$6,2)</f>
        <v>1348.2</v>
      </c>
      <c r="G533" s="6" t="n">
        <f aca="false">ROUND(CohortData!G533*CohortData!I533-CohortData!G533*Assumptions!$B$7,2)</f>
        <v>0</v>
      </c>
      <c r="H533" s="7" t="n">
        <f aca="false">SUM(B533:E533,F533:G533)</f>
        <v>110638</v>
      </c>
      <c r="I533" s="6" t="n">
        <f aca="false">CEILING(H533,Assumptions!$B$8)</f>
        <v>110700</v>
      </c>
      <c r="J533" s="6" t="n">
        <f aca="false">FLOOR(H533,Assumptions!$B$8)</f>
        <v>110600</v>
      </c>
      <c r="K533" s="6" t="n">
        <f aca="false">ROUNDUP(H533,Assumptions!$B$9)</f>
        <v>110638</v>
      </c>
      <c r="L533" s="6" t="n">
        <f aca="false">ROUNDDOWN(H533,Assumptions!$B$10)</f>
        <v>110638</v>
      </c>
    </row>
    <row r="534" customFormat="false" ht="15" hidden="false" customHeight="false" outlineLevel="0" collapsed="false">
      <c r="A534" s="5" t="s">
        <v>577</v>
      </c>
      <c r="B534" s="6" t="n">
        <f aca="false">ROUND(CohortData!G534*CohortData!I534,2)</f>
        <v>36960</v>
      </c>
      <c r="C534" s="6" t="n">
        <f aca="false">ROUND(CohortData!L534*Assumptions!$B$4*CohortData!I534,2)</f>
        <v>4928</v>
      </c>
      <c r="D534" s="6" t="n">
        <f aca="false">ROUND(CohortData!E534*Assumptions!$B$5*CohortData!I534,2)</f>
        <v>2240</v>
      </c>
      <c r="E534" s="6" t="n">
        <f aca="false">ROUND(B534*Assumptions!$B$3,2)</f>
        <v>1293.6</v>
      </c>
      <c r="F534" s="6" t="n">
        <f aca="false">ROUND(B534*Assumptions!$B$6,2)</f>
        <v>554.4</v>
      </c>
      <c r="G534" s="6" t="n">
        <f aca="false">ROUND(CohortData!G534*CohortData!I534-CohortData!G534*Assumptions!$B$7,2)</f>
        <v>0</v>
      </c>
      <c r="H534" s="7" t="n">
        <f aca="false">SUM(B534:E534,F534:G534)</f>
        <v>45976</v>
      </c>
      <c r="I534" s="6" t="n">
        <f aca="false">CEILING(H534,Assumptions!$B$8)</f>
        <v>46000</v>
      </c>
      <c r="J534" s="6" t="n">
        <f aca="false">FLOOR(H534,Assumptions!$B$8)</f>
        <v>45900</v>
      </c>
      <c r="K534" s="6" t="n">
        <f aca="false">ROUNDUP(H534,Assumptions!$B$9)</f>
        <v>45976</v>
      </c>
      <c r="L534" s="6" t="n">
        <f aca="false">ROUNDDOWN(H534,Assumptions!$B$10)</f>
        <v>45976</v>
      </c>
    </row>
    <row r="535" customFormat="false" ht="15" hidden="false" customHeight="false" outlineLevel="0" collapsed="false">
      <c r="A535" s="5" t="s">
        <v>578</v>
      </c>
      <c r="B535" s="6" t="n">
        <f aca="false">ROUND(CohortData!G535*CohortData!I535,2)</f>
        <v>186948.6</v>
      </c>
      <c r="C535" s="6" t="n">
        <f aca="false">ROUND(CohortData!L535*Assumptions!$B$4*CohortData!I535,2)</f>
        <v>24926.48</v>
      </c>
      <c r="D535" s="6" t="n">
        <f aca="false">ROUND(CohortData!E535*Assumptions!$B$5*CohortData!I535,2)</f>
        <v>10051</v>
      </c>
      <c r="E535" s="6" t="n">
        <f aca="false">ROUND(B535*Assumptions!$B$3,2)</f>
        <v>6543.2</v>
      </c>
      <c r="F535" s="6" t="n">
        <f aca="false">ROUND(B535*Assumptions!$B$6,2)</f>
        <v>2804.23</v>
      </c>
      <c r="G535" s="6" t="n">
        <f aca="false">ROUND(CohortData!G535*CohortData!I535-CohortData!G535*Assumptions!$B$7,2)</f>
        <v>24384.6</v>
      </c>
      <c r="H535" s="7" t="n">
        <f aca="false">SUM(B535:E535,F535:G535)</f>
        <v>255658.11</v>
      </c>
      <c r="I535" s="6" t="n">
        <f aca="false">CEILING(H535,Assumptions!$B$8)</f>
        <v>255700</v>
      </c>
      <c r="J535" s="6" t="n">
        <f aca="false">FLOOR(H535,Assumptions!$B$8)</f>
        <v>255600</v>
      </c>
      <c r="K535" s="6" t="n">
        <f aca="false">ROUNDUP(H535,Assumptions!$B$9)</f>
        <v>255659</v>
      </c>
      <c r="L535" s="6" t="n">
        <f aca="false">ROUNDDOWN(H535,Assumptions!$B$10)</f>
        <v>255658</v>
      </c>
    </row>
    <row r="536" customFormat="false" ht="15" hidden="false" customHeight="false" outlineLevel="0" collapsed="false">
      <c r="A536" s="5" t="s">
        <v>579</v>
      </c>
      <c r="B536" s="6" t="n">
        <f aca="false">ROUND(CohortData!G536*CohortData!I536,2)</f>
        <v>83160</v>
      </c>
      <c r="C536" s="6" t="n">
        <f aca="false">ROUND(CohortData!L536*Assumptions!$B$4*CohortData!I536,2)</f>
        <v>11088</v>
      </c>
      <c r="D536" s="6" t="n">
        <f aca="false">ROUND(CohortData!E536*Assumptions!$B$5*CohortData!I536,2)</f>
        <v>3960</v>
      </c>
      <c r="E536" s="6" t="n">
        <f aca="false">ROUND(B536*Assumptions!$B$3,2)</f>
        <v>2910.6</v>
      </c>
      <c r="F536" s="6" t="n">
        <f aca="false">ROUND(B536*Assumptions!$B$6,2)</f>
        <v>1247.4</v>
      </c>
      <c r="G536" s="6" t="n">
        <f aca="false">ROUND(CohortData!G536*CohortData!I536-CohortData!G536*Assumptions!$B$7,2)</f>
        <v>0</v>
      </c>
      <c r="H536" s="7" t="n">
        <f aca="false">SUM(B536:E536,F536:G536)</f>
        <v>102366</v>
      </c>
      <c r="I536" s="6" t="n">
        <f aca="false">CEILING(H536,Assumptions!$B$8)</f>
        <v>102400</v>
      </c>
      <c r="J536" s="6" t="n">
        <f aca="false">FLOOR(H536,Assumptions!$B$8)</f>
        <v>102300</v>
      </c>
      <c r="K536" s="6" t="n">
        <f aca="false">ROUNDUP(H536,Assumptions!$B$9)</f>
        <v>102366</v>
      </c>
      <c r="L536" s="6" t="n">
        <f aca="false">ROUNDDOWN(H536,Assumptions!$B$10)</f>
        <v>102366</v>
      </c>
    </row>
    <row r="537" customFormat="false" ht="15" hidden="false" customHeight="false" outlineLevel="0" collapsed="false">
      <c r="A537" s="5" t="s">
        <v>580</v>
      </c>
      <c r="B537" s="6" t="n">
        <f aca="false">ROUND(CohortData!G537*CohortData!I537,2)</f>
        <v>100320</v>
      </c>
      <c r="C537" s="6" t="n">
        <f aca="false">ROUND(CohortData!L537*Assumptions!$B$4*CohortData!I537,2)</f>
        <v>13376</v>
      </c>
      <c r="D537" s="6" t="n">
        <f aca="false">ROUND(CohortData!E537*Assumptions!$B$5*CohortData!I537,2)</f>
        <v>6080</v>
      </c>
      <c r="E537" s="6" t="n">
        <f aca="false">ROUND(B537*Assumptions!$B$3,2)</f>
        <v>3511.2</v>
      </c>
      <c r="F537" s="6" t="n">
        <f aca="false">ROUND(B537*Assumptions!$B$6,2)</f>
        <v>1504.8</v>
      </c>
      <c r="G537" s="6" t="n">
        <f aca="false">ROUND(CohortData!G537*CohortData!I537-CohortData!G537*Assumptions!$B$7,2)</f>
        <v>0</v>
      </c>
      <c r="H537" s="7" t="n">
        <f aca="false">SUM(B537:E537,F537:G537)</f>
        <v>124792</v>
      </c>
      <c r="I537" s="6" t="n">
        <f aca="false">CEILING(H537,Assumptions!$B$8)</f>
        <v>124800</v>
      </c>
      <c r="J537" s="6" t="n">
        <f aca="false">FLOOR(H537,Assumptions!$B$8)</f>
        <v>124700</v>
      </c>
      <c r="K537" s="6" t="n">
        <f aca="false">ROUNDUP(H537,Assumptions!$B$9)</f>
        <v>124792</v>
      </c>
      <c r="L537" s="6" t="n">
        <f aca="false">ROUNDDOWN(H537,Assumptions!$B$10)</f>
        <v>124792</v>
      </c>
    </row>
    <row r="538" customFormat="false" ht="15" hidden="false" customHeight="false" outlineLevel="0" collapsed="false">
      <c r="A538" s="5" t="s">
        <v>581</v>
      </c>
      <c r="B538" s="6" t="n">
        <f aca="false">ROUND(CohortData!G538*CohortData!I538,2)</f>
        <v>99696</v>
      </c>
      <c r="C538" s="6" t="n">
        <f aca="false">ROUND(CohortData!L538*Assumptions!$B$4*CohortData!I538,2)</f>
        <v>13292.8</v>
      </c>
      <c r="D538" s="6" t="n">
        <f aca="false">ROUND(CohortData!E538*Assumptions!$B$5*CohortData!I538,2)</f>
        <v>5360</v>
      </c>
      <c r="E538" s="6" t="n">
        <f aca="false">ROUND(B538*Assumptions!$B$3,2)</f>
        <v>3489.36</v>
      </c>
      <c r="F538" s="6" t="n">
        <f aca="false">ROUND(B538*Assumptions!$B$6,2)</f>
        <v>1495.44</v>
      </c>
      <c r="G538" s="6" t="n">
        <f aca="false">ROUND(CohortData!G538*CohortData!I538-CohortData!G538*Assumptions!$B$7,2)</f>
        <v>0</v>
      </c>
      <c r="H538" s="7" t="n">
        <f aca="false">SUM(B538:E538,F538:G538)</f>
        <v>123333.6</v>
      </c>
      <c r="I538" s="6" t="n">
        <f aca="false">CEILING(H538,Assumptions!$B$8)</f>
        <v>123400</v>
      </c>
      <c r="J538" s="6" t="n">
        <f aca="false">FLOOR(H538,Assumptions!$B$8)</f>
        <v>123300</v>
      </c>
      <c r="K538" s="6" t="n">
        <f aca="false">ROUNDUP(H538,Assumptions!$B$9)</f>
        <v>123334</v>
      </c>
      <c r="L538" s="6" t="n">
        <f aca="false">ROUNDDOWN(H538,Assumptions!$B$10)</f>
        <v>123333</v>
      </c>
    </row>
    <row r="539" customFormat="false" ht="15" hidden="false" customHeight="false" outlineLevel="0" collapsed="false">
      <c r="A539" s="5" t="s">
        <v>582</v>
      </c>
      <c r="B539" s="6" t="n">
        <f aca="false">ROUND(CohortData!G539*CohortData!I539,2)</f>
        <v>116886</v>
      </c>
      <c r="C539" s="6" t="n">
        <f aca="false">ROUND(CohortData!L539*Assumptions!$B$4*CohortData!I539,2)</f>
        <v>15584.8</v>
      </c>
      <c r="D539" s="6" t="n">
        <f aca="false">ROUND(CohortData!E539*Assumptions!$B$5*CohortData!I539,2)</f>
        <v>5566</v>
      </c>
      <c r="E539" s="6" t="n">
        <f aca="false">ROUND(B539*Assumptions!$B$3,2)</f>
        <v>4091.01</v>
      </c>
      <c r="F539" s="6" t="n">
        <f aca="false">ROUND(B539*Assumptions!$B$6,2)</f>
        <v>1753.29</v>
      </c>
      <c r="G539" s="6" t="n">
        <f aca="false">ROUND(CohortData!G539*CohortData!I539-CohortData!G539*Assumptions!$B$7,2)</f>
        <v>15246</v>
      </c>
      <c r="H539" s="7" t="n">
        <f aca="false">SUM(B539:E539,F539:G539)</f>
        <v>159127.1</v>
      </c>
      <c r="I539" s="6" t="n">
        <f aca="false">CEILING(H539,Assumptions!$B$8)</f>
        <v>159200</v>
      </c>
      <c r="J539" s="6" t="n">
        <f aca="false">FLOOR(H539,Assumptions!$B$8)</f>
        <v>159100</v>
      </c>
      <c r="K539" s="6" t="n">
        <f aca="false">ROUNDUP(H539,Assumptions!$B$9)</f>
        <v>159128</v>
      </c>
      <c r="L539" s="6" t="n">
        <f aca="false">ROUNDDOWN(H539,Assumptions!$B$10)</f>
        <v>159127</v>
      </c>
    </row>
    <row r="540" customFormat="false" ht="15" hidden="false" customHeight="false" outlineLevel="0" collapsed="false">
      <c r="A540" s="5" t="s">
        <v>583</v>
      </c>
      <c r="B540" s="6" t="n">
        <f aca="false">ROUND(CohortData!G540*CohortData!I540,2)</f>
        <v>44550</v>
      </c>
      <c r="C540" s="6" t="n">
        <f aca="false">ROUND(CohortData!L540*Assumptions!$B$4*CohortData!I540,2)</f>
        <v>5940</v>
      </c>
      <c r="D540" s="6" t="n">
        <f aca="false">ROUND(CohortData!E540*Assumptions!$B$5*CohortData!I540,2)</f>
        <v>2700</v>
      </c>
      <c r="E540" s="6" t="n">
        <f aca="false">ROUND(B540*Assumptions!$B$3,2)</f>
        <v>1559.25</v>
      </c>
      <c r="F540" s="6" t="n">
        <f aca="false">ROUND(B540*Assumptions!$B$6,2)</f>
        <v>668.25</v>
      </c>
      <c r="G540" s="6" t="n">
        <f aca="false">ROUND(CohortData!G540*CohortData!I540-CohortData!G540*Assumptions!$B$7,2)</f>
        <v>0</v>
      </c>
      <c r="H540" s="7" t="n">
        <f aca="false">SUM(B540:E540,F540:G540)</f>
        <v>55417.5</v>
      </c>
      <c r="I540" s="6" t="n">
        <f aca="false">CEILING(H540,Assumptions!$B$8)</f>
        <v>55500</v>
      </c>
      <c r="J540" s="6" t="n">
        <f aca="false">FLOOR(H540,Assumptions!$B$8)</f>
        <v>55400</v>
      </c>
      <c r="K540" s="6" t="n">
        <f aca="false">ROUNDUP(H540,Assumptions!$B$9)</f>
        <v>55418</v>
      </c>
      <c r="L540" s="6" t="n">
        <f aca="false">ROUNDDOWN(H540,Assumptions!$B$10)</f>
        <v>55417</v>
      </c>
    </row>
    <row r="541" customFormat="false" ht="15" hidden="false" customHeight="false" outlineLevel="0" collapsed="false">
      <c r="A541" s="5" t="s">
        <v>584</v>
      </c>
      <c r="B541" s="6" t="n">
        <f aca="false">ROUND(CohortData!G541*CohortData!I541,2)</f>
        <v>184140</v>
      </c>
      <c r="C541" s="6" t="n">
        <f aca="false">ROUND(CohortData!L541*Assumptions!$B$4*CohortData!I541,2)</f>
        <v>24552</v>
      </c>
      <c r="D541" s="6" t="n">
        <f aca="false">ROUND(CohortData!E541*Assumptions!$B$5*CohortData!I541,2)</f>
        <v>9900</v>
      </c>
      <c r="E541" s="6" t="n">
        <f aca="false">ROUND(B541*Assumptions!$B$3,2)</f>
        <v>6444.9</v>
      </c>
      <c r="F541" s="6" t="n">
        <f aca="false">ROUND(B541*Assumptions!$B$6,2)</f>
        <v>2762.1</v>
      </c>
      <c r="G541" s="6" t="n">
        <f aca="false">ROUND(CohortData!G541*CohortData!I541-CohortData!G541*Assumptions!$B$7,2)</f>
        <v>0</v>
      </c>
      <c r="H541" s="7" t="n">
        <f aca="false">SUM(B541:E541,F541:G541)</f>
        <v>227799</v>
      </c>
      <c r="I541" s="6" t="n">
        <f aca="false">CEILING(H541,Assumptions!$B$8)</f>
        <v>227800</v>
      </c>
      <c r="J541" s="6" t="n">
        <f aca="false">FLOOR(H541,Assumptions!$B$8)</f>
        <v>227700</v>
      </c>
      <c r="K541" s="6" t="n">
        <f aca="false">ROUNDUP(H541,Assumptions!$B$9)</f>
        <v>227799</v>
      </c>
      <c r="L541" s="6" t="n">
        <f aca="false">ROUNDDOWN(H541,Assumptions!$B$10)</f>
        <v>227799</v>
      </c>
    </row>
    <row r="542" customFormat="false" ht="15" hidden="false" customHeight="false" outlineLevel="0" collapsed="false">
      <c r="A542" s="5" t="s">
        <v>585</v>
      </c>
      <c r="B542" s="6" t="n">
        <f aca="false">ROUND(CohortData!G542*CohortData!I542,2)</f>
        <v>101640</v>
      </c>
      <c r="C542" s="6" t="n">
        <f aca="false">ROUND(CohortData!L542*Assumptions!$B$4*CohortData!I542,2)</f>
        <v>13552</v>
      </c>
      <c r="D542" s="6" t="n">
        <f aca="false">ROUND(CohortData!E542*Assumptions!$B$5*CohortData!I542,2)</f>
        <v>4840</v>
      </c>
      <c r="E542" s="6" t="n">
        <f aca="false">ROUND(B542*Assumptions!$B$3,2)</f>
        <v>3557.4</v>
      </c>
      <c r="F542" s="6" t="n">
        <f aca="false">ROUND(B542*Assumptions!$B$6,2)</f>
        <v>1524.6</v>
      </c>
      <c r="G542" s="6" t="n">
        <f aca="false">ROUND(CohortData!G542*CohortData!I542-CohortData!G542*Assumptions!$B$7,2)</f>
        <v>0</v>
      </c>
      <c r="H542" s="7" t="n">
        <f aca="false">SUM(B542:E542,F542:G542)</f>
        <v>125114</v>
      </c>
      <c r="I542" s="6" t="n">
        <f aca="false">CEILING(H542,Assumptions!$B$8)</f>
        <v>125200</v>
      </c>
      <c r="J542" s="6" t="n">
        <f aca="false">FLOOR(H542,Assumptions!$B$8)</f>
        <v>125100</v>
      </c>
      <c r="K542" s="6" t="n">
        <f aca="false">ROUNDUP(H542,Assumptions!$B$9)</f>
        <v>125114</v>
      </c>
      <c r="L542" s="6" t="n">
        <f aca="false">ROUNDDOWN(H542,Assumptions!$B$10)</f>
        <v>125114</v>
      </c>
    </row>
    <row r="543" customFormat="false" ht="15" hidden="false" customHeight="false" outlineLevel="0" collapsed="false">
      <c r="A543" s="5" t="s">
        <v>586</v>
      </c>
      <c r="B543" s="6" t="n">
        <f aca="false">ROUND(CohortData!G543*CohortData!I543,2)</f>
        <v>105880.5</v>
      </c>
      <c r="C543" s="6" t="n">
        <f aca="false">ROUND(CohortData!L543*Assumptions!$B$4*CohortData!I543,2)</f>
        <v>14117.4</v>
      </c>
      <c r="D543" s="6" t="n">
        <f aca="false">ROUND(CohortData!E543*Assumptions!$B$5*CohortData!I543,2)</f>
        <v>6417</v>
      </c>
      <c r="E543" s="6" t="n">
        <f aca="false">ROUND(B543*Assumptions!$B$3,2)</f>
        <v>3705.82</v>
      </c>
      <c r="F543" s="6" t="n">
        <f aca="false">ROUND(B543*Assumptions!$B$6,2)</f>
        <v>1588.21</v>
      </c>
      <c r="G543" s="6" t="n">
        <f aca="false">ROUND(CohortData!G543*CohortData!I543-CohortData!G543*Assumptions!$B$7,2)</f>
        <v>13810.5</v>
      </c>
      <c r="H543" s="7" t="n">
        <f aca="false">SUM(B543:E543,F543:G543)</f>
        <v>145519.43</v>
      </c>
      <c r="I543" s="6" t="n">
        <f aca="false">CEILING(H543,Assumptions!$B$8)</f>
        <v>145600</v>
      </c>
      <c r="J543" s="6" t="n">
        <f aca="false">FLOOR(H543,Assumptions!$B$8)</f>
        <v>145500</v>
      </c>
      <c r="K543" s="6" t="n">
        <f aca="false">ROUNDUP(H543,Assumptions!$B$9)</f>
        <v>145520</v>
      </c>
      <c r="L543" s="6" t="n">
        <f aca="false">ROUNDDOWN(H543,Assumptions!$B$10)</f>
        <v>145519</v>
      </c>
    </row>
    <row r="544" customFormat="false" ht="15" hidden="false" customHeight="false" outlineLevel="0" collapsed="false">
      <c r="A544" s="5" t="s">
        <v>587</v>
      </c>
      <c r="B544" s="6" t="n">
        <f aca="false">ROUND(CohortData!G544*CohortData!I544,2)</f>
        <v>159216</v>
      </c>
      <c r="C544" s="6" t="n">
        <f aca="false">ROUND(CohortData!L544*Assumptions!$B$4*CohortData!I544,2)</f>
        <v>21228.8</v>
      </c>
      <c r="D544" s="6" t="n">
        <f aca="false">ROUND(CohortData!E544*Assumptions!$B$5*CohortData!I544,2)</f>
        <v>8560</v>
      </c>
      <c r="E544" s="6" t="n">
        <f aca="false">ROUND(B544*Assumptions!$B$3,2)</f>
        <v>5572.56</v>
      </c>
      <c r="F544" s="6" t="n">
        <f aca="false">ROUND(B544*Assumptions!$B$6,2)</f>
        <v>2388.24</v>
      </c>
      <c r="G544" s="6" t="n">
        <f aca="false">ROUND(CohortData!G544*CohortData!I544-CohortData!G544*Assumptions!$B$7,2)</f>
        <v>0</v>
      </c>
      <c r="H544" s="7" t="n">
        <f aca="false">SUM(B544:E544,F544:G544)</f>
        <v>196965.6</v>
      </c>
      <c r="I544" s="6" t="n">
        <f aca="false">CEILING(H544,Assumptions!$B$8)</f>
        <v>197000</v>
      </c>
      <c r="J544" s="6" t="n">
        <f aca="false">FLOOR(H544,Assumptions!$B$8)</f>
        <v>196900</v>
      </c>
      <c r="K544" s="6" t="n">
        <f aca="false">ROUNDUP(H544,Assumptions!$B$9)</f>
        <v>196966</v>
      </c>
      <c r="L544" s="6" t="n">
        <f aca="false">ROUNDDOWN(H544,Assumptions!$B$10)</f>
        <v>196965</v>
      </c>
    </row>
    <row r="545" customFormat="false" ht="15" hidden="false" customHeight="false" outlineLevel="0" collapsed="false">
      <c r="A545" s="5" t="s">
        <v>588</v>
      </c>
      <c r="B545" s="6" t="n">
        <f aca="false">ROUND(CohortData!G545*CohortData!I545,2)</f>
        <v>151200</v>
      </c>
      <c r="C545" s="6" t="n">
        <f aca="false">ROUND(CohortData!L545*Assumptions!$B$4*CohortData!I545,2)</f>
        <v>20160</v>
      </c>
      <c r="D545" s="6" t="n">
        <f aca="false">ROUND(CohortData!E545*Assumptions!$B$5*CohortData!I545,2)</f>
        <v>7200</v>
      </c>
      <c r="E545" s="6" t="n">
        <f aca="false">ROUND(B545*Assumptions!$B$3,2)</f>
        <v>5292</v>
      </c>
      <c r="F545" s="6" t="n">
        <f aca="false">ROUND(B545*Assumptions!$B$6,2)</f>
        <v>2268</v>
      </c>
      <c r="G545" s="6" t="n">
        <f aca="false">ROUND(CohortData!G545*CohortData!I545-CohortData!G545*Assumptions!$B$7,2)</f>
        <v>0</v>
      </c>
      <c r="H545" s="7" t="n">
        <f aca="false">SUM(B545:E545,F545:G545)</f>
        <v>186120</v>
      </c>
      <c r="I545" s="6" t="n">
        <f aca="false">CEILING(H545,Assumptions!$B$8)</f>
        <v>186200</v>
      </c>
      <c r="J545" s="6" t="n">
        <f aca="false">FLOOR(H545,Assumptions!$B$8)</f>
        <v>186100</v>
      </c>
      <c r="K545" s="6" t="n">
        <f aca="false">ROUNDUP(H545,Assumptions!$B$9)</f>
        <v>186120</v>
      </c>
      <c r="L545" s="6" t="n">
        <f aca="false">ROUNDDOWN(H545,Assumptions!$B$10)</f>
        <v>186120</v>
      </c>
    </row>
    <row r="546" customFormat="false" ht="15" hidden="false" customHeight="false" outlineLevel="0" collapsed="false">
      <c r="A546" s="5" t="s">
        <v>589</v>
      </c>
      <c r="B546" s="6" t="n">
        <f aca="false">ROUND(CohortData!G546*CohortData!I546,2)</f>
        <v>100320</v>
      </c>
      <c r="C546" s="6" t="n">
        <f aca="false">ROUND(CohortData!L546*Assumptions!$B$4*CohortData!I546,2)</f>
        <v>13376</v>
      </c>
      <c r="D546" s="6" t="n">
        <f aca="false">ROUND(CohortData!E546*Assumptions!$B$5*CohortData!I546,2)</f>
        <v>6080</v>
      </c>
      <c r="E546" s="6" t="n">
        <f aca="false">ROUND(B546*Assumptions!$B$3,2)</f>
        <v>3511.2</v>
      </c>
      <c r="F546" s="6" t="n">
        <f aca="false">ROUND(B546*Assumptions!$B$6,2)</f>
        <v>1504.8</v>
      </c>
      <c r="G546" s="6" t="n">
        <f aca="false">ROUND(CohortData!G546*CohortData!I546-CohortData!G546*Assumptions!$B$7,2)</f>
        <v>0</v>
      </c>
      <c r="H546" s="7" t="n">
        <f aca="false">SUM(B546:E546,F546:G546)</f>
        <v>124792</v>
      </c>
      <c r="I546" s="6" t="n">
        <f aca="false">CEILING(H546,Assumptions!$B$8)</f>
        <v>124800</v>
      </c>
      <c r="J546" s="6" t="n">
        <f aca="false">FLOOR(H546,Assumptions!$B$8)</f>
        <v>124700</v>
      </c>
      <c r="K546" s="6" t="n">
        <f aca="false">ROUNDUP(H546,Assumptions!$B$9)</f>
        <v>124792</v>
      </c>
      <c r="L546" s="6" t="n">
        <f aca="false">ROUNDDOWN(H546,Assumptions!$B$10)</f>
        <v>124792</v>
      </c>
    </row>
    <row r="547" customFormat="false" ht="15" hidden="false" customHeight="false" outlineLevel="0" collapsed="false">
      <c r="A547" s="5" t="s">
        <v>590</v>
      </c>
      <c r="B547" s="6" t="n">
        <f aca="false">ROUND(CohortData!G547*CohortData!I547,2)</f>
        <v>191226.6</v>
      </c>
      <c r="C547" s="6" t="n">
        <f aca="false">ROUND(CohortData!L547*Assumptions!$B$4*CohortData!I547,2)</f>
        <v>0</v>
      </c>
      <c r="D547" s="6" t="n">
        <f aca="false">ROUND(CohortData!E547*Assumptions!$B$5*CohortData!I547,2)</f>
        <v>10281</v>
      </c>
      <c r="E547" s="6" t="n">
        <f aca="false">ROUND(B547*Assumptions!$B$3,2)</f>
        <v>6692.93</v>
      </c>
      <c r="F547" s="6" t="n">
        <f aca="false">ROUND(B547*Assumptions!$B$6,2)</f>
        <v>2868.4</v>
      </c>
      <c r="G547" s="6" t="n">
        <f aca="false">ROUND(CohortData!G547*CohortData!I547-CohortData!G547*Assumptions!$B$7,2)</f>
        <v>24942.6</v>
      </c>
      <c r="H547" s="7" t="n">
        <f aca="false">SUM(B547:E547,F547:G547)</f>
        <v>236011.53</v>
      </c>
      <c r="I547" s="6" t="n">
        <f aca="false">CEILING(H547,Assumptions!$B$8)</f>
        <v>236100</v>
      </c>
      <c r="J547" s="6" t="n">
        <f aca="false">FLOOR(H547,Assumptions!$B$8)</f>
        <v>236000</v>
      </c>
      <c r="K547" s="6" t="n">
        <f aca="false">ROUNDUP(H547,Assumptions!$B$9)</f>
        <v>236012</v>
      </c>
      <c r="L547" s="6" t="n">
        <f aca="false">ROUNDDOWN(H547,Assumptions!$B$10)</f>
        <v>236011</v>
      </c>
    </row>
    <row r="548" customFormat="false" ht="15" hidden="false" customHeight="false" outlineLevel="0" collapsed="false">
      <c r="A548" s="5" t="s">
        <v>591</v>
      </c>
      <c r="B548" s="6" t="n">
        <f aca="false">ROUND(CohortData!G548*CohortData!I548,2)</f>
        <v>157080</v>
      </c>
      <c r="C548" s="6" t="n">
        <f aca="false">ROUND(CohortData!L548*Assumptions!$B$4*CohortData!I548,2)</f>
        <v>20944</v>
      </c>
      <c r="D548" s="6" t="n">
        <f aca="false">ROUND(CohortData!E548*Assumptions!$B$5*CohortData!I548,2)</f>
        <v>7480</v>
      </c>
      <c r="E548" s="6" t="n">
        <f aca="false">ROUND(B548*Assumptions!$B$3,2)</f>
        <v>5497.8</v>
      </c>
      <c r="F548" s="6" t="n">
        <f aca="false">ROUND(B548*Assumptions!$B$6,2)</f>
        <v>2356.2</v>
      </c>
      <c r="G548" s="6" t="n">
        <f aca="false">ROUND(CohortData!G548*CohortData!I548-CohortData!G548*Assumptions!$B$7,2)</f>
        <v>0</v>
      </c>
      <c r="H548" s="7" t="n">
        <f aca="false">SUM(B548:E548,F548:G548)</f>
        <v>193358</v>
      </c>
      <c r="I548" s="6" t="n">
        <f aca="false">CEILING(H548,Assumptions!$B$8)</f>
        <v>193400</v>
      </c>
      <c r="J548" s="6" t="n">
        <f aca="false">FLOOR(H548,Assumptions!$B$8)</f>
        <v>193300</v>
      </c>
      <c r="K548" s="6" t="n">
        <f aca="false">ROUNDUP(H548,Assumptions!$B$9)</f>
        <v>193358</v>
      </c>
      <c r="L548" s="6" t="n">
        <f aca="false">ROUNDDOWN(H548,Assumptions!$B$10)</f>
        <v>193358</v>
      </c>
    </row>
    <row r="549" customFormat="false" ht="15" hidden="false" customHeight="false" outlineLevel="0" collapsed="false">
      <c r="A549" s="5" t="s">
        <v>592</v>
      </c>
      <c r="B549" s="6" t="n">
        <f aca="false">ROUND(CohortData!G549*CohortData!I549,2)</f>
        <v>88770</v>
      </c>
      <c r="C549" s="6" t="n">
        <f aca="false">ROUND(CohortData!L549*Assumptions!$B$4*CohortData!I549,2)</f>
        <v>11836</v>
      </c>
      <c r="D549" s="6" t="n">
        <f aca="false">ROUND(CohortData!E549*Assumptions!$B$5*CohortData!I549,2)</f>
        <v>5380</v>
      </c>
      <c r="E549" s="6" t="n">
        <f aca="false">ROUND(B549*Assumptions!$B$3,2)</f>
        <v>3106.95</v>
      </c>
      <c r="F549" s="6" t="n">
        <f aca="false">ROUND(B549*Assumptions!$B$6,2)</f>
        <v>1331.55</v>
      </c>
      <c r="G549" s="6" t="n">
        <f aca="false">ROUND(CohortData!G549*CohortData!I549-CohortData!G549*Assumptions!$B$7,2)</f>
        <v>0</v>
      </c>
      <c r="H549" s="7" t="n">
        <f aca="false">SUM(B549:E549,F549:G549)</f>
        <v>110424.5</v>
      </c>
      <c r="I549" s="6" t="n">
        <f aca="false">CEILING(H549,Assumptions!$B$8)</f>
        <v>110500</v>
      </c>
      <c r="J549" s="6" t="n">
        <f aca="false">FLOOR(H549,Assumptions!$B$8)</f>
        <v>110400</v>
      </c>
      <c r="K549" s="6" t="n">
        <f aca="false">ROUNDUP(H549,Assumptions!$B$9)</f>
        <v>110425</v>
      </c>
      <c r="L549" s="6" t="n">
        <f aca="false">ROUNDDOWN(H549,Assumptions!$B$10)</f>
        <v>110424</v>
      </c>
    </row>
    <row r="550" customFormat="false" ht="15" hidden="false" customHeight="false" outlineLevel="0" collapsed="false">
      <c r="A550" s="5" t="s">
        <v>593</v>
      </c>
      <c r="B550" s="6" t="n">
        <f aca="false">ROUND(CohortData!G550*CohortData!I550,2)</f>
        <v>42408</v>
      </c>
      <c r="C550" s="6" t="n">
        <f aca="false">ROUND(CohortData!L550*Assumptions!$B$4*CohortData!I550,2)</f>
        <v>5654.4</v>
      </c>
      <c r="D550" s="6" t="n">
        <f aca="false">ROUND(CohortData!E550*Assumptions!$B$5*CohortData!I550,2)</f>
        <v>2280</v>
      </c>
      <c r="E550" s="6" t="n">
        <f aca="false">ROUND(B550*Assumptions!$B$3,2)</f>
        <v>1484.28</v>
      </c>
      <c r="F550" s="6" t="n">
        <f aca="false">ROUND(B550*Assumptions!$B$6,2)</f>
        <v>636.12</v>
      </c>
      <c r="G550" s="6" t="n">
        <f aca="false">ROUND(CohortData!G550*CohortData!I550-CohortData!G550*Assumptions!$B$7,2)</f>
        <v>0</v>
      </c>
      <c r="H550" s="7" t="n">
        <f aca="false">SUM(B550:E550,F550:G550)</f>
        <v>52462.8</v>
      </c>
      <c r="I550" s="6" t="n">
        <f aca="false">CEILING(H550,Assumptions!$B$8)</f>
        <v>52500</v>
      </c>
      <c r="J550" s="6" t="n">
        <f aca="false">FLOOR(H550,Assumptions!$B$8)</f>
        <v>52400</v>
      </c>
      <c r="K550" s="6" t="n">
        <f aca="false">ROUNDUP(H550,Assumptions!$B$9)</f>
        <v>52463</v>
      </c>
      <c r="L550" s="6" t="n">
        <f aca="false">ROUNDDOWN(H550,Assumptions!$B$10)</f>
        <v>52462</v>
      </c>
    </row>
    <row r="551" customFormat="false" ht="15" hidden="false" customHeight="false" outlineLevel="0" collapsed="false">
      <c r="A551" s="5" t="s">
        <v>594</v>
      </c>
      <c r="B551" s="6" t="n">
        <f aca="false">ROUND(CohortData!G551*CohortData!I551,2)</f>
        <v>76797</v>
      </c>
      <c r="C551" s="6" t="n">
        <f aca="false">ROUND(CohortData!L551*Assumptions!$B$4*CohortData!I551,2)</f>
        <v>10239.6</v>
      </c>
      <c r="D551" s="6" t="n">
        <f aca="false">ROUND(CohortData!E551*Assumptions!$B$5*CohortData!I551,2)</f>
        <v>3657</v>
      </c>
      <c r="E551" s="6" t="n">
        <f aca="false">ROUND(B551*Assumptions!$B$3,2)</f>
        <v>2687.9</v>
      </c>
      <c r="F551" s="6" t="n">
        <f aca="false">ROUND(B551*Assumptions!$B$6,2)</f>
        <v>1151.96</v>
      </c>
      <c r="G551" s="6" t="n">
        <f aca="false">ROUND(CohortData!G551*CohortData!I551-CohortData!G551*Assumptions!$B$7,2)</f>
        <v>10017</v>
      </c>
      <c r="H551" s="7" t="n">
        <f aca="false">SUM(B551:E551,F551:G551)</f>
        <v>104550.46</v>
      </c>
      <c r="I551" s="6" t="n">
        <f aca="false">CEILING(H551,Assumptions!$B$8)</f>
        <v>104600</v>
      </c>
      <c r="J551" s="6" t="n">
        <f aca="false">FLOOR(H551,Assumptions!$B$8)</f>
        <v>104500</v>
      </c>
      <c r="K551" s="6" t="n">
        <f aca="false">ROUNDUP(H551,Assumptions!$B$9)</f>
        <v>104551</v>
      </c>
      <c r="L551" s="6" t="n">
        <f aca="false">ROUNDDOWN(H551,Assumptions!$B$10)</f>
        <v>104550</v>
      </c>
    </row>
    <row r="552" customFormat="false" ht="15" hidden="false" customHeight="false" outlineLevel="0" collapsed="false">
      <c r="A552" s="5" t="s">
        <v>595</v>
      </c>
      <c r="B552" s="6" t="n">
        <f aca="false">ROUND(CohortData!G552*CohortData!I552,2)</f>
        <v>76890</v>
      </c>
      <c r="C552" s="6" t="n">
        <f aca="false">ROUND(CohortData!L552*Assumptions!$B$4*CohortData!I552,2)</f>
        <v>10252</v>
      </c>
      <c r="D552" s="6" t="n">
        <f aca="false">ROUND(CohortData!E552*Assumptions!$B$5*CohortData!I552,2)</f>
        <v>4660</v>
      </c>
      <c r="E552" s="6" t="n">
        <f aca="false">ROUND(B552*Assumptions!$B$3,2)</f>
        <v>2691.15</v>
      </c>
      <c r="F552" s="6" t="n">
        <f aca="false">ROUND(B552*Assumptions!$B$6,2)</f>
        <v>1153.35</v>
      </c>
      <c r="G552" s="6" t="n">
        <f aca="false">ROUND(CohortData!G552*CohortData!I552-CohortData!G552*Assumptions!$B$7,2)</f>
        <v>0</v>
      </c>
      <c r="H552" s="7" t="n">
        <f aca="false">SUM(B552:E552,F552:G552)</f>
        <v>95646.5</v>
      </c>
      <c r="I552" s="6" t="n">
        <f aca="false">CEILING(H552,Assumptions!$B$8)</f>
        <v>95700</v>
      </c>
      <c r="J552" s="6" t="n">
        <f aca="false">FLOOR(H552,Assumptions!$B$8)</f>
        <v>95600</v>
      </c>
      <c r="K552" s="6" t="n">
        <f aca="false">ROUNDUP(H552,Assumptions!$B$9)</f>
        <v>95647</v>
      </c>
      <c r="L552" s="6" t="n">
        <f aca="false">ROUNDDOWN(H552,Assumptions!$B$10)</f>
        <v>95646</v>
      </c>
    </row>
    <row r="553" customFormat="false" ht="15" hidden="false" customHeight="false" outlineLevel="0" collapsed="false">
      <c r="A553" s="5" t="s">
        <v>596</v>
      </c>
      <c r="B553" s="6" t="n">
        <f aca="false">ROUND(CohortData!G553*CohortData!I553,2)</f>
        <v>71052</v>
      </c>
      <c r="C553" s="6" t="n">
        <f aca="false">ROUND(CohortData!L553*Assumptions!$B$4*CohortData!I553,2)</f>
        <v>9473.6</v>
      </c>
      <c r="D553" s="6" t="n">
        <f aca="false">ROUND(CohortData!E553*Assumptions!$B$5*CohortData!I553,2)</f>
        <v>3820</v>
      </c>
      <c r="E553" s="6" t="n">
        <f aca="false">ROUND(B553*Assumptions!$B$3,2)</f>
        <v>2486.82</v>
      </c>
      <c r="F553" s="6" t="n">
        <f aca="false">ROUND(B553*Assumptions!$B$6,2)</f>
        <v>1065.78</v>
      </c>
      <c r="G553" s="6" t="n">
        <f aca="false">ROUND(CohortData!G553*CohortData!I553-CohortData!G553*Assumptions!$B$7,2)</f>
        <v>0</v>
      </c>
      <c r="H553" s="7" t="n">
        <f aca="false">SUM(B553:E553,F553:G553)</f>
        <v>87898.2</v>
      </c>
      <c r="I553" s="6" t="n">
        <f aca="false">CEILING(H553,Assumptions!$B$8)</f>
        <v>87900</v>
      </c>
      <c r="J553" s="6" t="n">
        <f aca="false">FLOOR(H553,Assumptions!$B$8)</f>
        <v>87800</v>
      </c>
      <c r="K553" s="6" t="n">
        <f aca="false">ROUNDUP(H553,Assumptions!$B$9)</f>
        <v>87899</v>
      </c>
      <c r="L553" s="6" t="n">
        <f aca="false">ROUNDDOWN(H553,Assumptions!$B$10)</f>
        <v>87898</v>
      </c>
    </row>
    <row r="554" customFormat="false" ht="15" hidden="false" customHeight="false" outlineLevel="0" collapsed="false">
      <c r="A554" s="5" t="s">
        <v>597</v>
      </c>
      <c r="B554" s="6" t="n">
        <f aca="false">ROUND(CohortData!G554*CohortData!I554,2)</f>
        <v>166740</v>
      </c>
      <c r="C554" s="6" t="n">
        <f aca="false">ROUND(CohortData!L554*Assumptions!$B$4*CohortData!I554,2)</f>
        <v>22232</v>
      </c>
      <c r="D554" s="6" t="n">
        <f aca="false">ROUND(CohortData!E554*Assumptions!$B$5*CohortData!I554,2)</f>
        <v>7940</v>
      </c>
      <c r="E554" s="6" t="n">
        <f aca="false">ROUND(B554*Assumptions!$B$3,2)</f>
        <v>5835.9</v>
      </c>
      <c r="F554" s="6" t="n">
        <f aca="false">ROUND(B554*Assumptions!$B$6,2)</f>
        <v>2501.1</v>
      </c>
      <c r="G554" s="6" t="n">
        <f aca="false">ROUND(CohortData!G554*CohortData!I554-CohortData!G554*Assumptions!$B$7,2)</f>
        <v>0</v>
      </c>
      <c r="H554" s="7" t="n">
        <f aca="false">SUM(B554:E554,F554:G554)</f>
        <v>205249</v>
      </c>
      <c r="I554" s="6" t="n">
        <f aca="false">CEILING(H554,Assumptions!$B$8)</f>
        <v>205300</v>
      </c>
      <c r="J554" s="6" t="n">
        <f aca="false">FLOOR(H554,Assumptions!$B$8)</f>
        <v>205200</v>
      </c>
      <c r="K554" s="6" t="n">
        <f aca="false">ROUNDUP(H554,Assumptions!$B$9)</f>
        <v>205249</v>
      </c>
      <c r="L554" s="6" t="n">
        <f aca="false">ROUNDDOWN(H554,Assumptions!$B$10)</f>
        <v>205249</v>
      </c>
    </row>
    <row r="555" customFormat="false" ht="15" hidden="false" customHeight="false" outlineLevel="0" collapsed="false">
      <c r="A555" s="5" t="s">
        <v>598</v>
      </c>
      <c r="B555" s="6" t="n">
        <f aca="false">ROUND(CohortData!G555*CohortData!I555,2)</f>
        <v>89182.5</v>
      </c>
      <c r="C555" s="6" t="n">
        <f aca="false">ROUND(CohortData!L555*Assumptions!$B$4*CohortData!I555,2)</f>
        <v>11891</v>
      </c>
      <c r="D555" s="6" t="n">
        <f aca="false">ROUND(CohortData!E555*Assumptions!$B$5*CohortData!I555,2)</f>
        <v>5405</v>
      </c>
      <c r="E555" s="6" t="n">
        <f aca="false">ROUND(B555*Assumptions!$B$3,2)</f>
        <v>3121.39</v>
      </c>
      <c r="F555" s="6" t="n">
        <f aca="false">ROUND(B555*Assumptions!$B$6,2)</f>
        <v>1337.74</v>
      </c>
      <c r="G555" s="6" t="n">
        <f aca="false">ROUND(CohortData!G555*CohortData!I555-CohortData!G555*Assumptions!$B$7,2)</f>
        <v>11632.5</v>
      </c>
      <c r="H555" s="7" t="n">
        <f aca="false">SUM(B555:E555,F555:G555)</f>
        <v>122570.13</v>
      </c>
      <c r="I555" s="6" t="n">
        <f aca="false">CEILING(H555,Assumptions!$B$8)</f>
        <v>122600</v>
      </c>
      <c r="J555" s="6" t="n">
        <f aca="false">FLOOR(H555,Assumptions!$B$8)</f>
        <v>122500</v>
      </c>
      <c r="K555" s="6" t="n">
        <f aca="false">ROUNDUP(H555,Assumptions!$B$9)</f>
        <v>122571</v>
      </c>
      <c r="L555" s="6" t="n">
        <f aca="false">ROUNDDOWN(H555,Assumptions!$B$10)</f>
        <v>122570</v>
      </c>
    </row>
    <row r="556" customFormat="false" ht="15" hidden="false" customHeight="false" outlineLevel="0" collapsed="false">
      <c r="A556" s="5" t="s">
        <v>599</v>
      </c>
      <c r="B556" s="6" t="n">
        <f aca="false">ROUND(CohortData!G556*CohortData!I556,2)</f>
        <v>44268</v>
      </c>
      <c r="C556" s="6" t="n">
        <f aca="false">ROUND(CohortData!L556*Assumptions!$B$4*CohortData!I556,2)</f>
        <v>5902.4</v>
      </c>
      <c r="D556" s="6" t="n">
        <f aca="false">ROUND(CohortData!E556*Assumptions!$B$5*CohortData!I556,2)</f>
        <v>2380</v>
      </c>
      <c r="E556" s="6" t="n">
        <f aca="false">ROUND(B556*Assumptions!$B$3,2)</f>
        <v>1549.38</v>
      </c>
      <c r="F556" s="6" t="n">
        <f aca="false">ROUND(B556*Assumptions!$B$6,2)</f>
        <v>664.02</v>
      </c>
      <c r="G556" s="6" t="n">
        <f aca="false">ROUND(CohortData!G556*CohortData!I556-CohortData!G556*Assumptions!$B$7,2)</f>
        <v>0</v>
      </c>
      <c r="H556" s="7" t="n">
        <f aca="false">SUM(B556:E556,F556:G556)</f>
        <v>54763.8</v>
      </c>
      <c r="I556" s="6" t="n">
        <f aca="false">CEILING(H556,Assumptions!$B$8)</f>
        <v>54800</v>
      </c>
      <c r="J556" s="6" t="n">
        <f aca="false">FLOOR(H556,Assumptions!$B$8)</f>
        <v>54700</v>
      </c>
      <c r="K556" s="6" t="n">
        <f aca="false">ROUNDUP(H556,Assumptions!$B$9)</f>
        <v>54764</v>
      </c>
      <c r="L556" s="6" t="n">
        <f aca="false">ROUNDDOWN(H556,Assumptions!$B$10)</f>
        <v>54763</v>
      </c>
    </row>
    <row r="557" customFormat="false" ht="15" hidden="false" customHeight="false" outlineLevel="0" collapsed="false">
      <c r="A557" s="5" t="s">
        <v>600</v>
      </c>
      <c r="B557" s="6" t="n">
        <f aca="false">ROUND(CohortData!G557*CohortData!I557,2)</f>
        <v>65100</v>
      </c>
      <c r="C557" s="6" t="n">
        <f aca="false">ROUND(CohortData!L557*Assumptions!$B$4*CohortData!I557,2)</f>
        <v>8680</v>
      </c>
      <c r="D557" s="6" t="n">
        <f aca="false">ROUND(CohortData!E557*Assumptions!$B$5*CohortData!I557,2)</f>
        <v>3100</v>
      </c>
      <c r="E557" s="6" t="n">
        <f aca="false">ROUND(B557*Assumptions!$B$3,2)</f>
        <v>2278.5</v>
      </c>
      <c r="F557" s="6" t="n">
        <f aca="false">ROUND(B557*Assumptions!$B$6,2)</f>
        <v>976.5</v>
      </c>
      <c r="G557" s="6" t="n">
        <f aca="false">ROUND(CohortData!G557*CohortData!I557-CohortData!G557*Assumptions!$B$7,2)</f>
        <v>0</v>
      </c>
      <c r="H557" s="7" t="n">
        <f aca="false">SUM(B557:E557,F557:G557)</f>
        <v>80135</v>
      </c>
      <c r="I557" s="6" t="n">
        <f aca="false">CEILING(H557,Assumptions!$B$8)</f>
        <v>80200</v>
      </c>
      <c r="J557" s="6" t="n">
        <f aca="false">FLOOR(H557,Assumptions!$B$8)</f>
        <v>80100</v>
      </c>
      <c r="K557" s="6" t="n">
        <f aca="false">ROUNDUP(H557,Assumptions!$B$9)</f>
        <v>80135</v>
      </c>
      <c r="L557" s="6" t="n">
        <f aca="false">ROUNDDOWN(H557,Assumptions!$B$10)</f>
        <v>80135</v>
      </c>
    </row>
    <row r="558" customFormat="false" ht="15" hidden="false" customHeight="false" outlineLevel="0" collapsed="false">
      <c r="A558" s="5" t="s">
        <v>601</v>
      </c>
      <c r="B558" s="6" t="n">
        <f aca="false">ROUND(CohortData!G558*CohortData!I558,2)</f>
        <v>133650</v>
      </c>
      <c r="C558" s="6" t="n">
        <f aca="false">ROUND(CohortData!L558*Assumptions!$B$4*CohortData!I558,2)</f>
        <v>17820</v>
      </c>
      <c r="D558" s="6" t="n">
        <f aca="false">ROUND(CohortData!E558*Assumptions!$B$5*CohortData!I558,2)</f>
        <v>8100</v>
      </c>
      <c r="E558" s="6" t="n">
        <f aca="false">ROUND(B558*Assumptions!$B$3,2)</f>
        <v>4677.75</v>
      </c>
      <c r="F558" s="6" t="n">
        <f aca="false">ROUND(B558*Assumptions!$B$6,2)</f>
        <v>2004.75</v>
      </c>
      <c r="G558" s="6" t="n">
        <f aca="false">ROUND(CohortData!G558*CohortData!I558-CohortData!G558*Assumptions!$B$7,2)</f>
        <v>0</v>
      </c>
      <c r="H558" s="7" t="n">
        <f aca="false">SUM(B558:E558,F558:G558)</f>
        <v>166252.5</v>
      </c>
      <c r="I558" s="6" t="n">
        <f aca="false">CEILING(H558,Assumptions!$B$8)</f>
        <v>166300</v>
      </c>
      <c r="J558" s="6" t="n">
        <f aca="false">FLOOR(H558,Assumptions!$B$8)</f>
        <v>166200</v>
      </c>
      <c r="K558" s="6" t="n">
        <f aca="false">ROUNDUP(H558,Assumptions!$B$9)</f>
        <v>166253</v>
      </c>
      <c r="L558" s="6" t="n">
        <f aca="false">ROUNDDOWN(H558,Assumptions!$B$10)</f>
        <v>166252</v>
      </c>
    </row>
    <row r="559" customFormat="false" ht="15" hidden="false" customHeight="false" outlineLevel="0" collapsed="false">
      <c r="A559" s="5" t="s">
        <v>602</v>
      </c>
      <c r="B559" s="6" t="n">
        <f aca="false">ROUND(CohortData!G559*CohortData!I559,2)</f>
        <v>137751.6</v>
      </c>
      <c r="C559" s="6" t="n">
        <f aca="false">ROUND(CohortData!L559*Assumptions!$B$4*CohortData!I559,2)</f>
        <v>18366.88</v>
      </c>
      <c r="D559" s="6" t="n">
        <f aca="false">ROUND(CohortData!E559*Assumptions!$B$5*CohortData!I559,2)</f>
        <v>7406</v>
      </c>
      <c r="E559" s="6" t="n">
        <f aca="false">ROUND(B559*Assumptions!$B$3,2)</f>
        <v>4821.31</v>
      </c>
      <c r="F559" s="6" t="n">
        <f aca="false">ROUND(B559*Assumptions!$B$6,2)</f>
        <v>2066.27</v>
      </c>
      <c r="G559" s="6" t="n">
        <f aca="false">ROUND(CohortData!G559*CohortData!I559-CohortData!G559*Assumptions!$B$7,2)</f>
        <v>17967.6</v>
      </c>
      <c r="H559" s="7" t="n">
        <f aca="false">SUM(B559:E559,F559:G559)</f>
        <v>188379.66</v>
      </c>
      <c r="I559" s="6" t="n">
        <f aca="false">CEILING(H559,Assumptions!$B$8)</f>
        <v>188400</v>
      </c>
      <c r="J559" s="6" t="n">
        <f aca="false">FLOOR(H559,Assumptions!$B$8)</f>
        <v>188300</v>
      </c>
      <c r="K559" s="6" t="n">
        <f aca="false">ROUNDUP(H559,Assumptions!$B$9)</f>
        <v>188380</v>
      </c>
      <c r="L559" s="6" t="n">
        <f aca="false">ROUNDDOWN(H559,Assumptions!$B$10)</f>
        <v>188379</v>
      </c>
    </row>
    <row r="560" customFormat="false" ht="15" hidden="false" customHeight="false" outlineLevel="0" collapsed="false">
      <c r="A560" s="5" t="s">
        <v>603</v>
      </c>
      <c r="B560" s="6" t="n">
        <f aca="false">ROUND(CohortData!G560*CohortData!I560,2)</f>
        <v>115920</v>
      </c>
      <c r="C560" s="6" t="n">
        <f aca="false">ROUND(CohortData!L560*Assumptions!$B$4*CohortData!I560,2)</f>
        <v>15456</v>
      </c>
      <c r="D560" s="6" t="n">
        <f aca="false">ROUND(CohortData!E560*Assumptions!$B$5*CohortData!I560,2)</f>
        <v>5520</v>
      </c>
      <c r="E560" s="6" t="n">
        <f aca="false">ROUND(B560*Assumptions!$B$3,2)</f>
        <v>4057.2</v>
      </c>
      <c r="F560" s="6" t="n">
        <f aca="false">ROUND(B560*Assumptions!$B$6,2)</f>
        <v>1738.8</v>
      </c>
      <c r="G560" s="6" t="n">
        <f aca="false">ROUND(CohortData!G560*CohortData!I560-CohortData!G560*Assumptions!$B$7,2)</f>
        <v>0</v>
      </c>
      <c r="H560" s="7" t="n">
        <f aca="false">SUM(B560:E560,F560:G560)</f>
        <v>142692</v>
      </c>
      <c r="I560" s="6" t="n">
        <f aca="false">CEILING(H560,Assumptions!$B$8)</f>
        <v>142700</v>
      </c>
      <c r="J560" s="6" t="n">
        <f aca="false">FLOOR(H560,Assumptions!$B$8)</f>
        <v>142600</v>
      </c>
      <c r="K560" s="6" t="n">
        <f aca="false">ROUNDUP(H560,Assumptions!$B$9)</f>
        <v>142692</v>
      </c>
      <c r="L560" s="6" t="n">
        <f aca="false">ROUNDDOWN(H560,Assumptions!$B$10)</f>
        <v>142692</v>
      </c>
    </row>
    <row r="561" customFormat="false" ht="15" hidden="false" customHeight="false" outlineLevel="0" collapsed="false">
      <c r="A561" s="5" t="s">
        <v>604</v>
      </c>
      <c r="B561" s="6" t="n">
        <f aca="false">ROUND(CohortData!G561*CohortData!I561,2)</f>
        <v>156090</v>
      </c>
      <c r="C561" s="6" t="n">
        <f aca="false">ROUND(CohortData!L561*Assumptions!$B$4*CohortData!I561,2)</f>
        <v>20812</v>
      </c>
      <c r="D561" s="6" t="n">
        <f aca="false">ROUND(CohortData!E561*Assumptions!$B$5*CohortData!I561,2)</f>
        <v>9460</v>
      </c>
      <c r="E561" s="6" t="n">
        <f aca="false">ROUND(B561*Assumptions!$B$3,2)</f>
        <v>5463.15</v>
      </c>
      <c r="F561" s="6" t="n">
        <f aca="false">ROUND(B561*Assumptions!$B$6,2)</f>
        <v>2341.35</v>
      </c>
      <c r="G561" s="6" t="n">
        <f aca="false">ROUND(CohortData!G561*CohortData!I561-CohortData!G561*Assumptions!$B$7,2)</f>
        <v>0</v>
      </c>
      <c r="H561" s="7" t="n">
        <f aca="false">SUM(B561:E561,F561:G561)</f>
        <v>194166.5</v>
      </c>
      <c r="I561" s="6" t="n">
        <f aca="false">CEILING(H561,Assumptions!$B$8)</f>
        <v>194200</v>
      </c>
      <c r="J561" s="6" t="n">
        <f aca="false">FLOOR(H561,Assumptions!$B$8)</f>
        <v>194100</v>
      </c>
      <c r="K561" s="6" t="n">
        <f aca="false">ROUNDUP(H561,Assumptions!$B$9)</f>
        <v>194167</v>
      </c>
      <c r="L561" s="6" t="n">
        <f aca="false">ROUNDDOWN(H561,Assumptions!$B$10)</f>
        <v>194166</v>
      </c>
    </row>
    <row r="562" customFormat="false" ht="15" hidden="false" customHeight="false" outlineLevel="0" collapsed="false">
      <c r="A562" s="5" t="s">
        <v>605</v>
      </c>
      <c r="B562" s="6" t="n">
        <f aca="false">ROUND(CohortData!G562*CohortData!I562,2)</f>
        <v>96720</v>
      </c>
      <c r="C562" s="6" t="n">
        <f aca="false">ROUND(CohortData!L562*Assumptions!$B$4*CohortData!I562,2)</f>
        <v>12896</v>
      </c>
      <c r="D562" s="6" t="n">
        <f aca="false">ROUND(CohortData!E562*Assumptions!$B$5*CohortData!I562,2)</f>
        <v>5200</v>
      </c>
      <c r="E562" s="6" t="n">
        <f aca="false">ROUND(B562*Assumptions!$B$3,2)</f>
        <v>3385.2</v>
      </c>
      <c r="F562" s="6" t="n">
        <f aca="false">ROUND(B562*Assumptions!$B$6,2)</f>
        <v>1450.8</v>
      </c>
      <c r="G562" s="6" t="n">
        <f aca="false">ROUND(CohortData!G562*CohortData!I562-CohortData!G562*Assumptions!$B$7,2)</f>
        <v>0</v>
      </c>
      <c r="H562" s="7" t="n">
        <f aca="false">SUM(B562:E562,F562:G562)</f>
        <v>119652</v>
      </c>
      <c r="I562" s="6" t="n">
        <f aca="false">CEILING(H562,Assumptions!$B$8)</f>
        <v>119700</v>
      </c>
      <c r="J562" s="6" t="n">
        <f aca="false">FLOOR(H562,Assumptions!$B$8)</f>
        <v>119600</v>
      </c>
      <c r="K562" s="6" t="n">
        <f aca="false">ROUNDUP(H562,Assumptions!$B$9)</f>
        <v>119652</v>
      </c>
      <c r="L562" s="6" t="n">
        <f aca="false">ROUNDDOWN(H562,Assumptions!$B$10)</f>
        <v>119652</v>
      </c>
    </row>
    <row r="563" customFormat="false" ht="15" hidden="false" customHeight="false" outlineLevel="0" collapsed="false">
      <c r="A563" s="5" t="s">
        <v>606</v>
      </c>
      <c r="B563" s="6" t="n">
        <f aca="false">ROUND(CohortData!G563*CohortData!I563,2)</f>
        <v>156009</v>
      </c>
      <c r="C563" s="6" t="n">
        <f aca="false">ROUND(CohortData!L563*Assumptions!$B$4*CohortData!I563,2)</f>
        <v>20801.2</v>
      </c>
      <c r="D563" s="6" t="n">
        <f aca="false">ROUND(CohortData!E563*Assumptions!$B$5*CohortData!I563,2)</f>
        <v>7429</v>
      </c>
      <c r="E563" s="6" t="n">
        <f aca="false">ROUND(B563*Assumptions!$B$3,2)</f>
        <v>5460.32</v>
      </c>
      <c r="F563" s="6" t="n">
        <f aca="false">ROUND(B563*Assumptions!$B$6,2)</f>
        <v>2340.14</v>
      </c>
      <c r="G563" s="6" t="n">
        <f aca="false">ROUND(CohortData!G563*CohortData!I563-CohortData!G563*Assumptions!$B$7,2)</f>
        <v>20349</v>
      </c>
      <c r="H563" s="7" t="n">
        <f aca="false">SUM(B563:E563,F563:G563)</f>
        <v>212388.66</v>
      </c>
      <c r="I563" s="6" t="n">
        <f aca="false">CEILING(H563,Assumptions!$B$8)</f>
        <v>212400</v>
      </c>
      <c r="J563" s="6" t="n">
        <f aca="false">FLOOR(H563,Assumptions!$B$8)</f>
        <v>212300</v>
      </c>
      <c r="K563" s="6" t="n">
        <f aca="false">ROUNDUP(H563,Assumptions!$B$9)</f>
        <v>212389</v>
      </c>
      <c r="L563" s="6" t="n">
        <f aca="false">ROUNDDOWN(H563,Assumptions!$B$10)</f>
        <v>212388</v>
      </c>
    </row>
    <row r="564" customFormat="false" ht="15" hidden="false" customHeight="false" outlineLevel="0" collapsed="false">
      <c r="A564" s="5" t="s">
        <v>607</v>
      </c>
      <c r="B564" s="6" t="n">
        <f aca="false">ROUND(CohortData!G564*CohortData!I564,2)</f>
        <v>135300</v>
      </c>
      <c r="C564" s="6" t="n">
        <f aca="false">ROUND(CohortData!L564*Assumptions!$B$4*CohortData!I564,2)</f>
        <v>0</v>
      </c>
      <c r="D564" s="6" t="n">
        <f aca="false">ROUND(CohortData!E564*Assumptions!$B$5*CohortData!I564,2)</f>
        <v>8200</v>
      </c>
      <c r="E564" s="6" t="n">
        <f aca="false">ROUND(B564*Assumptions!$B$3,2)</f>
        <v>4735.5</v>
      </c>
      <c r="F564" s="6" t="n">
        <f aca="false">ROUND(B564*Assumptions!$B$6,2)</f>
        <v>2029.5</v>
      </c>
      <c r="G564" s="6" t="n">
        <f aca="false">ROUND(CohortData!G564*CohortData!I564-CohortData!G564*Assumptions!$B$7,2)</f>
        <v>0</v>
      </c>
      <c r="H564" s="7" t="n">
        <f aca="false">SUM(B564:E564,F564:G564)</f>
        <v>150265</v>
      </c>
      <c r="I564" s="6" t="n">
        <f aca="false">CEILING(H564,Assumptions!$B$8)</f>
        <v>150300</v>
      </c>
      <c r="J564" s="6" t="n">
        <f aca="false">FLOOR(H564,Assumptions!$B$8)</f>
        <v>150200</v>
      </c>
      <c r="K564" s="6" t="n">
        <f aca="false">ROUNDUP(H564,Assumptions!$B$9)</f>
        <v>150265</v>
      </c>
      <c r="L564" s="6" t="n">
        <f aca="false">ROUNDDOWN(H564,Assumptions!$B$10)</f>
        <v>150265</v>
      </c>
    </row>
    <row r="565" customFormat="false" ht="15" hidden="false" customHeight="false" outlineLevel="0" collapsed="false">
      <c r="A565" s="5" t="s">
        <v>608</v>
      </c>
      <c r="B565" s="6" t="n">
        <f aca="false">ROUND(CohortData!G565*CohortData!I565,2)</f>
        <v>134292</v>
      </c>
      <c r="C565" s="6" t="n">
        <f aca="false">ROUND(CohortData!L565*Assumptions!$B$4*CohortData!I565,2)</f>
        <v>17905.6</v>
      </c>
      <c r="D565" s="6" t="n">
        <f aca="false">ROUND(CohortData!E565*Assumptions!$B$5*CohortData!I565,2)</f>
        <v>7220</v>
      </c>
      <c r="E565" s="6" t="n">
        <f aca="false">ROUND(B565*Assumptions!$B$3,2)</f>
        <v>4700.22</v>
      </c>
      <c r="F565" s="6" t="n">
        <f aca="false">ROUND(B565*Assumptions!$B$6,2)</f>
        <v>2014.38</v>
      </c>
      <c r="G565" s="6" t="n">
        <f aca="false">ROUND(CohortData!G565*CohortData!I565-CohortData!G565*Assumptions!$B$7,2)</f>
        <v>0</v>
      </c>
      <c r="H565" s="7" t="n">
        <f aca="false">SUM(B565:E565,F565:G565)</f>
        <v>166132.2</v>
      </c>
      <c r="I565" s="6" t="n">
        <f aca="false">CEILING(H565,Assumptions!$B$8)</f>
        <v>166200</v>
      </c>
      <c r="J565" s="6" t="n">
        <f aca="false">FLOOR(H565,Assumptions!$B$8)</f>
        <v>166100</v>
      </c>
      <c r="K565" s="6" t="n">
        <f aca="false">ROUNDUP(H565,Assumptions!$B$9)</f>
        <v>166133</v>
      </c>
      <c r="L565" s="6" t="n">
        <f aca="false">ROUNDDOWN(H565,Assumptions!$B$10)</f>
        <v>166132</v>
      </c>
    </row>
    <row r="566" customFormat="false" ht="15" hidden="false" customHeight="false" outlineLevel="0" collapsed="false">
      <c r="A566" s="5" t="s">
        <v>609</v>
      </c>
      <c r="B566" s="6" t="n">
        <f aca="false">ROUND(CohortData!G566*CohortData!I566,2)</f>
        <v>66780</v>
      </c>
      <c r="C566" s="6" t="n">
        <f aca="false">ROUND(CohortData!L566*Assumptions!$B$4*CohortData!I566,2)</f>
        <v>8904</v>
      </c>
      <c r="D566" s="6" t="n">
        <f aca="false">ROUND(CohortData!E566*Assumptions!$B$5*CohortData!I566,2)</f>
        <v>3180</v>
      </c>
      <c r="E566" s="6" t="n">
        <f aca="false">ROUND(B566*Assumptions!$B$3,2)</f>
        <v>2337.3</v>
      </c>
      <c r="F566" s="6" t="n">
        <f aca="false">ROUND(B566*Assumptions!$B$6,2)</f>
        <v>1001.7</v>
      </c>
      <c r="G566" s="6" t="n">
        <f aca="false">ROUND(CohortData!G566*CohortData!I566-CohortData!G566*Assumptions!$B$7,2)</f>
        <v>0</v>
      </c>
      <c r="H566" s="7" t="n">
        <f aca="false">SUM(B566:E566,F566:G566)</f>
        <v>82203</v>
      </c>
      <c r="I566" s="6" t="n">
        <f aca="false">CEILING(H566,Assumptions!$B$8)</f>
        <v>82300</v>
      </c>
      <c r="J566" s="6" t="n">
        <f aca="false">FLOOR(H566,Assumptions!$B$8)</f>
        <v>82200</v>
      </c>
      <c r="K566" s="6" t="n">
        <f aca="false">ROUNDUP(H566,Assumptions!$B$9)</f>
        <v>82203</v>
      </c>
      <c r="L566" s="6" t="n">
        <f aca="false">ROUNDDOWN(H566,Assumptions!$B$10)</f>
        <v>82203</v>
      </c>
    </row>
    <row r="567" customFormat="false" ht="15" hidden="false" customHeight="false" outlineLevel="0" collapsed="false">
      <c r="A567" s="5" t="s">
        <v>610</v>
      </c>
      <c r="B567" s="6" t="n">
        <f aca="false">ROUND(CohortData!G567*CohortData!I567,2)</f>
        <v>112711.5</v>
      </c>
      <c r="C567" s="6" t="n">
        <f aca="false">ROUND(CohortData!L567*Assumptions!$B$4*CohortData!I567,2)</f>
        <v>15028.2</v>
      </c>
      <c r="D567" s="6" t="n">
        <f aca="false">ROUND(CohortData!E567*Assumptions!$B$5*CohortData!I567,2)</f>
        <v>6831</v>
      </c>
      <c r="E567" s="6" t="n">
        <f aca="false">ROUND(B567*Assumptions!$B$3,2)</f>
        <v>3944.9</v>
      </c>
      <c r="F567" s="6" t="n">
        <f aca="false">ROUND(B567*Assumptions!$B$6,2)</f>
        <v>1690.67</v>
      </c>
      <c r="G567" s="6" t="n">
        <f aca="false">ROUND(CohortData!G567*CohortData!I567-CohortData!G567*Assumptions!$B$7,2)</f>
        <v>14701.5</v>
      </c>
      <c r="H567" s="7" t="n">
        <f aca="false">SUM(B567:E567,F567:G567)</f>
        <v>154907.77</v>
      </c>
      <c r="I567" s="6" t="n">
        <f aca="false">CEILING(H567,Assumptions!$B$8)</f>
        <v>155000</v>
      </c>
      <c r="J567" s="6" t="n">
        <f aca="false">FLOOR(H567,Assumptions!$B$8)</f>
        <v>154900</v>
      </c>
      <c r="K567" s="6" t="n">
        <f aca="false">ROUNDUP(H567,Assumptions!$B$9)</f>
        <v>154908</v>
      </c>
      <c r="L567" s="6" t="n">
        <f aca="false">ROUNDDOWN(H567,Assumptions!$B$10)</f>
        <v>154907</v>
      </c>
    </row>
    <row r="568" customFormat="false" ht="15" hidden="false" customHeight="false" outlineLevel="0" collapsed="false">
      <c r="A568" s="5" t="s">
        <v>611</v>
      </c>
      <c r="B568" s="6" t="n">
        <f aca="false">ROUND(CohortData!G568*CohortData!I568,2)</f>
        <v>146940</v>
      </c>
      <c r="C568" s="6" t="n">
        <f aca="false">ROUND(CohortData!L568*Assumptions!$B$4*CohortData!I568,2)</f>
        <v>19592</v>
      </c>
      <c r="D568" s="6" t="n">
        <f aca="false">ROUND(CohortData!E568*Assumptions!$B$5*CohortData!I568,2)</f>
        <v>7900</v>
      </c>
      <c r="E568" s="6" t="n">
        <f aca="false">ROUND(B568*Assumptions!$B$3,2)</f>
        <v>5142.9</v>
      </c>
      <c r="F568" s="6" t="n">
        <f aca="false">ROUND(B568*Assumptions!$B$6,2)</f>
        <v>2204.1</v>
      </c>
      <c r="G568" s="6" t="n">
        <f aca="false">ROUND(CohortData!G568*CohortData!I568-CohortData!G568*Assumptions!$B$7,2)</f>
        <v>0</v>
      </c>
      <c r="H568" s="7" t="n">
        <f aca="false">SUM(B568:E568,F568:G568)</f>
        <v>181779</v>
      </c>
      <c r="I568" s="6" t="n">
        <f aca="false">CEILING(H568,Assumptions!$B$8)</f>
        <v>181800</v>
      </c>
      <c r="J568" s="6" t="n">
        <f aca="false">FLOOR(H568,Assumptions!$B$8)</f>
        <v>181700</v>
      </c>
      <c r="K568" s="6" t="n">
        <f aca="false">ROUNDUP(H568,Assumptions!$B$9)</f>
        <v>181779</v>
      </c>
      <c r="L568" s="6" t="n">
        <f aca="false">ROUNDDOWN(H568,Assumptions!$B$10)</f>
        <v>181779</v>
      </c>
    </row>
    <row r="569" customFormat="false" ht="15" hidden="false" customHeight="false" outlineLevel="0" collapsed="false">
      <c r="A569" s="5" t="s">
        <v>612</v>
      </c>
      <c r="B569" s="6" t="n">
        <f aca="false">ROUND(CohortData!G569*CohortData!I569,2)</f>
        <v>82740</v>
      </c>
      <c r="C569" s="6" t="n">
        <f aca="false">ROUND(CohortData!L569*Assumptions!$B$4*CohortData!I569,2)</f>
        <v>11032</v>
      </c>
      <c r="D569" s="6" t="n">
        <f aca="false">ROUND(CohortData!E569*Assumptions!$B$5*CohortData!I569,2)</f>
        <v>3940</v>
      </c>
      <c r="E569" s="6" t="n">
        <f aca="false">ROUND(B569*Assumptions!$B$3,2)</f>
        <v>2895.9</v>
      </c>
      <c r="F569" s="6" t="n">
        <f aca="false">ROUND(B569*Assumptions!$B$6,2)</f>
        <v>1241.1</v>
      </c>
      <c r="G569" s="6" t="n">
        <f aca="false">ROUND(CohortData!G569*CohortData!I569-CohortData!G569*Assumptions!$B$7,2)</f>
        <v>0</v>
      </c>
      <c r="H569" s="7" t="n">
        <f aca="false">SUM(B569:E569,F569:G569)</f>
        <v>101849</v>
      </c>
      <c r="I569" s="6" t="n">
        <f aca="false">CEILING(H569,Assumptions!$B$8)</f>
        <v>101900</v>
      </c>
      <c r="J569" s="6" t="n">
        <f aca="false">FLOOR(H569,Assumptions!$B$8)</f>
        <v>101800</v>
      </c>
      <c r="K569" s="6" t="n">
        <f aca="false">ROUNDUP(H569,Assumptions!$B$9)</f>
        <v>101849</v>
      </c>
      <c r="L569" s="6" t="n">
        <f aca="false">ROUNDDOWN(H569,Assumptions!$B$10)</f>
        <v>101849</v>
      </c>
    </row>
    <row r="570" customFormat="false" ht="15" hidden="false" customHeight="false" outlineLevel="0" collapsed="false">
      <c r="A570" s="5" t="s">
        <v>613</v>
      </c>
      <c r="B570" s="6" t="n">
        <f aca="false">ROUND(CohortData!G570*CohortData!I570,2)</f>
        <v>75900</v>
      </c>
      <c r="C570" s="6" t="n">
        <f aca="false">ROUND(CohortData!L570*Assumptions!$B$4*CohortData!I570,2)</f>
        <v>10120</v>
      </c>
      <c r="D570" s="6" t="n">
        <f aca="false">ROUND(CohortData!E570*Assumptions!$B$5*CohortData!I570,2)</f>
        <v>4600</v>
      </c>
      <c r="E570" s="6" t="n">
        <f aca="false">ROUND(B570*Assumptions!$B$3,2)</f>
        <v>2656.5</v>
      </c>
      <c r="F570" s="6" t="n">
        <f aca="false">ROUND(B570*Assumptions!$B$6,2)</f>
        <v>1138.5</v>
      </c>
      <c r="G570" s="6" t="n">
        <f aca="false">ROUND(CohortData!G570*CohortData!I570-CohortData!G570*Assumptions!$B$7,2)</f>
        <v>0</v>
      </c>
      <c r="H570" s="7" t="n">
        <f aca="false">SUM(B570:E570,F570:G570)</f>
        <v>94415</v>
      </c>
      <c r="I570" s="6" t="n">
        <f aca="false">CEILING(H570,Assumptions!$B$8)</f>
        <v>94500</v>
      </c>
      <c r="J570" s="6" t="n">
        <f aca="false">FLOOR(H570,Assumptions!$B$8)</f>
        <v>94400</v>
      </c>
      <c r="K570" s="6" t="n">
        <f aca="false">ROUNDUP(H570,Assumptions!$B$9)</f>
        <v>94415</v>
      </c>
      <c r="L570" s="6" t="n">
        <f aca="false">ROUNDDOWN(H570,Assumptions!$B$10)</f>
        <v>94415</v>
      </c>
    </row>
    <row r="571" customFormat="false" ht="15" hidden="false" customHeight="false" outlineLevel="0" collapsed="false">
      <c r="A571" s="5" t="s">
        <v>614</v>
      </c>
      <c r="B571" s="6" t="n">
        <f aca="false">ROUND(CohortData!G571*CohortData!I571,2)</f>
        <v>52191.6</v>
      </c>
      <c r="C571" s="6" t="n">
        <f aca="false">ROUND(CohortData!L571*Assumptions!$B$4*CohortData!I571,2)</f>
        <v>6958.88</v>
      </c>
      <c r="D571" s="6" t="n">
        <f aca="false">ROUND(CohortData!E571*Assumptions!$B$5*CohortData!I571,2)</f>
        <v>2806</v>
      </c>
      <c r="E571" s="6" t="n">
        <f aca="false">ROUND(B571*Assumptions!$B$3,2)</f>
        <v>1826.71</v>
      </c>
      <c r="F571" s="6" t="n">
        <f aca="false">ROUND(B571*Assumptions!$B$6,2)</f>
        <v>782.87</v>
      </c>
      <c r="G571" s="6" t="n">
        <f aca="false">ROUND(CohortData!G571*CohortData!I571-CohortData!G571*Assumptions!$B$7,2)</f>
        <v>6807.6</v>
      </c>
      <c r="H571" s="7" t="n">
        <f aca="false">SUM(B571:E571,F571:G571)</f>
        <v>71373.66</v>
      </c>
      <c r="I571" s="6" t="n">
        <f aca="false">CEILING(H571,Assumptions!$B$8)</f>
        <v>71400</v>
      </c>
      <c r="J571" s="6" t="n">
        <f aca="false">FLOOR(H571,Assumptions!$B$8)</f>
        <v>71300</v>
      </c>
      <c r="K571" s="6" t="n">
        <f aca="false">ROUNDUP(H571,Assumptions!$B$9)</f>
        <v>71374</v>
      </c>
      <c r="L571" s="6" t="n">
        <f aca="false">ROUNDDOWN(H571,Assumptions!$B$10)</f>
        <v>71373</v>
      </c>
    </row>
    <row r="572" customFormat="false" ht="15" hidden="false" customHeight="false" outlineLevel="0" collapsed="false">
      <c r="A572" s="5" t="s">
        <v>615</v>
      </c>
      <c r="B572" s="6" t="n">
        <f aca="false">ROUND(CohortData!G572*CohortData!I572,2)</f>
        <v>194040</v>
      </c>
      <c r="C572" s="6" t="n">
        <f aca="false">ROUND(CohortData!L572*Assumptions!$B$4*CohortData!I572,2)</f>
        <v>25872</v>
      </c>
      <c r="D572" s="6" t="n">
        <f aca="false">ROUND(CohortData!E572*Assumptions!$B$5*CohortData!I572,2)</f>
        <v>9240</v>
      </c>
      <c r="E572" s="6" t="n">
        <f aca="false">ROUND(B572*Assumptions!$B$3,2)</f>
        <v>6791.4</v>
      </c>
      <c r="F572" s="6" t="n">
        <f aca="false">ROUND(B572*Assumptions!$B$6,2)</f>
        <v>2910.6</v>
      </c>
      <c r="G572" s="6" t="n">
        <f aca="false">ROUND(CohortData!G572*CohortData!I572-CohortData!G572*Assumptions!$B$7,2)</f>
        <v>0</v>
      </c>
      <c r="H572" s="7" t="n">
        <f aca="false">SUM(B572:E572,F572:G572)</f>
        <v>238854</v>
      </c>
      <c r="I572" s="6" t="n">
        <f aca="false">CEILING(H572,Assumptions!$B$8)</f>
        <v>238900</v>
      </c>
      <c r="J572" s="6" t="n">
        <f aca="false">FLOOR(H572,Assumptions!$B$8)</f>
        <v>238800</v>
      </c>
      <c r="K572" s="6" t="n">
        <f aca="false">ROUNDUP(H572,Assumptions!$B$9)</f>
        <v>238854</v>
      </c>
      <c r="L572" s="6" t="n">
        <f aca="false">ROUNDDOWN(H572,Assumptions!$B$10)</f>
        <v>238854</v>
      </c>
    </row>
    <row r="573" customFormat="false" ht="15" hidden="false" customHeight="false" outlineLevel="0" collapsed="false">
      <c r="A573" s="5" t="s">
        <v>616</v>
      </c>
      <c r="B573" s="6" t="n">
        <f aca="false">ROUND(CohortData!G573*CohortData!I573,2)</f>
        <v>106590</v>
      </c>
      <c r="C573" s="6" t="n">
        <f aca="false">ROUND(CohortData!L573*Assumptions!$B$4*CohortData!I573,2)</f>
        <v>14212</v>
      </c>
      <c r="D573" s="6" t="n">
        <f aca="false">ROUND(CohortData!E573*Assumptions!$B$5*CohortData!I573,2)</f>
        <v>6460</v>
      </c>
      <c r="E573" s="6" t="n">
        <f aca="false">ROUND(B573*Assumptions!$B$3,2)</f>
        <v>3730.65</v>
      </c>
      <c r="F573" s="6" t="n">
        <f aca="false">ROUND(B573*Assumptions!$B$6,2)</f>
        <v>1598.85</v>
      </c>
      <c r="G573" s="6" t="n">
        <f aca="false">ROUND(CohortData!G573*CohortData!I573-CohortData!G573*Assumptions!$B$7,2)</f>
        <v>0</v>
      </c>
      <c r="H573" s="7" t="n">
        <f aca="false">SUM(B573:E573,F573:G573)</f>
        <v>132591.5</v>
      </c>
      <c r="I573" s="6" t="n">
        <f aca="false">CEILING(H573,Assumptions!$B$8)</f>
        <v>132600</v>
      </c>
      <c r="J573" s="6" t="n">
        <f aca="false">FLOOR(H573,Assumptions!$B$8)</f>
        <v>132500</v>
      </c>
      <c r="K573" s="6" t="n">
        <f aca="false">ROUNDUP(H573,Assumptions!$B$9)</f>
        <v>132592</v>
      </c>
      <c r="L573" s="6" t="n">
        <f aca="false">ROUNDDOWN(H573,Assumptions!$B$10)</f>
        <v>132591</v>
      </c>
    </row>
    <row r="574" customFormat="false" ht="15" hidden="false" customHeight="false" outlineLevel="0" collapsed="false">
      <c r="A574" s="5" t="s">
        <v>617</v>
      </c>
      <c r="B574" s="6" t="n">
        <f aca="false">ROUND(CohortData!G574*CohortData!I574,2)</f>
        <v>37200</v>
      </c>
      <c r="C574" s="6" t="n">
        <f aca="false">ROUND(CohortData!L574*Assumptions!$B$4*CohortData!I574,2)</f>
        <v>4960</v>
      </c>
      <c r="D574" s="6" t="n">
        <f aca="false">ROUND(CohortData!E574*Assumptions!$B$5*CohortData!I574,2)</f>
        <v>2000</v>
      </c>
      <c r="E574" s="6" t="n">
        <f aca="false">ROUND(B574*Assumptions!$B$3,2)</f>
        <v>1302</v>
      </c>
      <c r="F574" s="6" t="n">
        <f aca="false">ROUND(B574*Assumptions!$B$6,2)</f>
        <v>558</v>
      </c>
      <c r="G574" s="6" t="n">
        <f aca="false">ROUND(CohortData!G574*CohortData!I574-CohortData!G574*Assumptions!$B$7,2)</f>
        <v>0</v>
      </c>
      <c r="H574" s="7" t="n">
        <f aca="false">SUM(B574:E574,F574:G574)</f>
        <v>46020</v>
      </c>
      <c r="I574" s="6" t="n">
        <f aca="false">CEILING(H574,Assumptions!$B$8)</f>
        <v>46100</v>
      </c>
      <c r="J574" s="6" t="n">
        <f aca="false">FLOOR(H574,Assumptions!$B$8)</f>
        <v>46000</v>
      </c>
      <c r="K574" s="6" t="n">
        <f aca="false">ROUNDUP(H574,Assumptions!$B$9)</f>
        <v>46020</v>
      </c>
      <c r="L574" s="6" t="n">
        <f aca="false">ROUNDDOWN(H574,Assumptions!$B$10)</f>
        <v>46020</v>
      </c>
    </row>
    <row r="575" customFormat="false" ht="15" hidden="false" customHeight="false" outlineLevel="0" collapsed="false">
      <c r="A575" s="5" t="s">
        <v>618</v>
      </c>
      <c r="B575" s="6" t="n">
        <f aca="false">ROUND(CohortData!G575*CohortData!I575,2)</f>
        <v>176778</v>
      </c>
      <c r="C575" s="6" t="n">
        <f aca="false">ROUND(CohortData!L575*Assumptions!$B$4*CohortData!I575,2)</f>
        <v>23570.4</v>
      </c>
      <c r="D575" s="6" t="n">
        <f aca="false">ROUND(CohortData!E575*Assumptions!$B$5*CohortData!I575,2)</f>
        <v>8418</v>
      </c>
      <c r="E575" s="6" t="n">
        <f aca="false">ROUND(B575*Assumptions!$B$3,2)</f>
        <v>6187.23</v>
      </c>
      <c r="F575" s="6" t="n">
        <f aca="false">ROUND(B575*Assumptions!$B$6,2)</f>
        <v>2651.67</v>
      </c>
      <c r="G575" s="6" t="n">
        <f aca="false">ROUND(CohortData!G575*CohortData!I575-CohortData!G575*Assumptions!$B$7,2)</f>
        <v>23058</v>
      </c>
      <c r="H575" s="7" t="n">
        <f aca="false">SUM(B575:E575,F575:G575)</f>
        <v>240663.3</v>
      </c>
      <c r="I575" s="6" t="n">
        <f aca="false">CEILING(H575,Assumptions!$B$8)</f>
        <v>240700</v>
      </c>
      <c r="J575" s="6" t="n">
        <f aca="false">FLOOR(H575,Assumptions!$B$8)</f>
        <v>240600</v>
      </c>
      <c r="K575" s="6" t="n">
        <f aca="false">ROUNDUP(H575,Assumptions!$B$9)</f>
        <v>240664</v>
      </c>
      <c r="L575" s="6" t="n">
        <f aca="false">ROUNDDOWN(H575,Assumptions!$B$10)</f>
        <v>240663</v>
      </c>
    </row>
    <row r="576" customFormat="false" ht="15" hidden="false" customHeight="false" outlineLevel="0" collapsed="false">
      <c r="A576" s="5" t="s">
        <v>619</v>
      </c>
      <c r="B576" s="6" t="n">
        <f aca="false">ROUND(CohortData!G576*CohortData!I576,2)</f>
        <v>123750</v>
      </c>
      <c r="C576" s="6" t="n">
        <f aca="false">ROUND(CohortData!L576*Assumptions!$B$4*CohortData!I576,2)</f>
        <v>16500</v>
      </c>
      <c r="D576" s="6" t="n">
        <f aca="false">ROUND(CohortData!E576*Assumptions!$B$5*CohortData!I576,2)</f>
        <v>7500</v>
      </c>
      <c r="E576" s="6" t="n">
        <f aca="false">ROUND(B576*Assumptions!$B$3,2)</f>
        <v>4331.25</v>
      </c>
      <c r="F576" s="6" t="n">
        <f aca="false">ROUND(B576*Assumptions!$B$6,2)</f>
        <v>1856.25</v>
      </c>
      <c r="G576" s="6" t="n">
        <f aca="false">ROUND(CohortData!G576*CohortData!I576-CohortData!G576*Assumptions!$B$7,2)</f>
        <v>0</v>
      </c>
      <c r="H576" s="7" t="n">
        <f aca="false">SUM(B576:E576,F576:G576)</f>
        <v>153937.5</v>
      </c>
      <c r="I576" s="6" t="n">
        <f aca="false">CEILING(H576,Assumptions!$B$8)</f>
        <v>154000</v>
      </c>
      <c r="J576" s="6" t="n">
        <f aca="false">FLOOR(H576,Assumptions!$B$8)</f>
        <v>153900</v>
      </c>
      <c r="K576" s="6" t="n">
        <f aca="false">ROUNDUP(H576,Assumptions!$B$9)</f>
        <v>153938</v>
      </c>
      <c r="L576" s="6" t="n">
        <f aca="false">ROUNDDOWN(H576,Assumptions!$B$10)</f>
        <v>153937</v>
      </c>
    </row>
    <row r="577" customFormat="false" ht="15" hidden="false" customHeight="false" outlineLevel="0" collapsed="false">
      <c r="A577" s="5" t="s">
        <v>620</v>
      </c>
      <c r="B577" s="6" t="n">
        <f aca="false">ROUND(CohortData!G577*CohortData!I577,2)</f>
        <v>167772</v>
      </c>
      <c r="C577" s="6" t="n">
        <f aca="false">ROUND(CohortData!L577*Assumptions!$B$4*CohortData!I577,2)</f>
        <v>22369.6</v>
      </c>
      <c r="D577" s="6" t="n">
        <f aca="false">ROUND(CohortData!E577*Assumptions!$B$5*CohortData!I577,2)</f>
        <v>9020</v>
      </c>
      <c r="E577" s="6" t="n">
        <f aca="false">ROUND(B577*Assumptions!$B$3,2)</f>
        <v>5872.02</v>
      </c>
      <c r="F577" s="6" t="n">
        <f aca="false">ROUND(B577*Assumptions!$B$6,2)</f>
        <v>2516.58</v>
      </c>
      <c r="G577" s="6" t="n">
        <f aca="false">ROUND(CohortData!G577*CohortData!I577-CohortData!G577*Assumptions!$B$7,2)</f>
        <v>0</v>
      </c>
      <c r="H577" s="7" t="n">
        <f aca="false">SUM(B577:E577,F577:G577)</f>
        <v>207550.2</v>
      </c>
      <c r="I577" s="6" t="n">
        <f aca="false">CEILING(H577,Assumptions!$B$8)</f>
        <v>207600</v>
      </c>
      <c r="J577" s="6" t="n">
        <f aca="false">FLOOR(H577,Assumptions!$B$8)</f>
        <v>207500</v>
      </c>
      <c r="K577" s="6" t="n">
        <f aca="false">ROUNDUP(H577,Assumptions!$B$9)</f>
        <v>207551</v>
      </c>
      <c r="L577" s="6" t="n">
        <f aca="false">ROUNDDOWN(H577,Assumptions!$B$10)</f>
        <v>207550</v>
      </c>
    </row>
    <row r="578" customFormat="false" ht="15" hidden="false" customHeight="false" outlineLevel="0" collapsed="false">
      <c r="A578" s="5" t="s">
        <v>621</v>
      </c>
      <c r="B578" s="6" t="n">
        <f aca="false">ROUND(CohortData!G578*CohortData!I578,2)</f>
        <v>196560</v>
      </c>
      <c r="C578" s="6" t="n">
        <f aca="false">ROUND(CohortData!L578*Assumptions!$B$4*CohortData!I578,2)</f>
        <v>26208</v>
      </c>
      <c r="D578" s="6" t="n">
        <f aca="false">ROUND(CohortData!E578*Assumptions!$B$5*CohortData!I578,2)</f>
        <v>9360</v>
      </c>
      <c r="E578" s="6" t="n">
        <f aca="false">ROUND(B578*Assumptions!$B$3,2)</f>
        <v>6879.6</v>
      </c>
      <c r="F578" s="6" t="n">
        <f aca="false">ROUND(B578*Assumptions!$B$6,2)</f>
        <v>2948.4</v>
      </c>
      <c r="G578" s="6" t="n">
        <f aca="false">ROUND(CohortData!G578*CohortData!I578-CohortData!G578*Assumptions!$B$7,2)</f>
        <v>0</v>
      </c>
      <c r="H578" s="7" t="n">
        <f aca="false">SUM(B578:E578,F578:G578)</f>
        <v>241956</v>
      </c>
      <c r="I578" s="6" t="n">
        <f aca="false">CEILING(H578,Assumptions!$B$8)</f>
        <v>242000</v>
      </c>
      <c r="J578" s="6" t="n">
        <f aca="false">FLOOR(H578,Assumptions!$B$8)</f>
        <v>241900</v>
      </c>
      <c r="K578" s="6" t="n">
        <f aca="false">ROUNDUP(H578,Assumptions!$B$9)</f>
        <v>241956</v>
      </c>
      <c r="L578" s="6" t="n">
        <f aca="false">ROUNDDOWN(H578,Assumptions!$B$10)</f>
        <v>241956</v>
      </c>
    </row>
    <row r="579" customFormat="false" ht="15" hidden="false" customHeight="false" outlineLevel="0" collapsed="false">
      <c r="A579" s="5" t="s">
        <v>622</v>
      </c>
      <c r="B579" s="6" t="n">
        <f aca="false">ROUND(CohortData!G579*CohortData!I579,2)</f>
        <v>181780.5</v>
      </c>
      <c r="C579" s="6" t="n">
        <f aca="false">ROUND(CohortData!L579*Assumptions!$B$4*CohortData!I579,2)</f>
        <v>24237.4</v>
      </c>
      <c r="D579" s="6" t="n">
        <f aca="false">ROUND(CohortData!E579*Assumptions!$B$5*CohortData!I579,2)</f>
        <v>11017</v>
      </c>
      <c r="E579" s="6" t="n">
        <f aca="false">ROUND(B579*Assumptions!$B$3,2)</f>
        <v>6362.32</v>
      </c>
      <c r="F579" s="6" t="n">
        <f aca="false">ROUND(B579*Assumptions!$B$6,2)</f>
        <v>2726.71</v>
      </c>
      <c r="G579" s="6" t="n">
        <f aca="false">ROUND(CohortData!G579*CohortData!I579-CohortData!G579*Assumptions!$B$7,2)</f>
        <v>23710.5</v>
      </c>
      <c r="H579" s="7" t="n">
        <f aca="false">SUM(B579:E579,F579:G579)</f>
        <v>249834.43</v>
      </c>
      <c r="I579" s="6" t="n">
        <f aca="false">CEILING(H579,Assumptions!$B$8)</f>
        <v>249900</v>
      </c>
      <c r="J579" s="6" t="n">
        <f aca="false">FLOOR(H579,Assumptions!$B$8)</f>
        <v>249800</v>
      </c>
      <c r="K579" s="6" t="n">
        <f aca="false">ROUNDUP(H579,Assumptions!$B$9)</f>
        <v>249835</v>
      </c>
      <c r="L579" s="6" t="n">
        <f aca="false">ROUNDDOWN(H579,Assumptions!$B$10)</f>
        <v>249834</v>
      </c>
    </row>
    <row r="580" customFormat="false" ht="15" hidden="false" customHeight="false" outlineLevel="0" collapsed="false">
      <c r="A580" s="5" t="s">
        <v>623</v>
      </c>
      <c r="B580" s="6" t="n">
        <f aca="false">ROUND(CohortData!G580*CohortData!I580,2)</f>
        <v>177444</v>
      </c>
      <c r="C580" s="6" t="n">
        <f aca="false">ROUND(CohortData!L580*Assumptions!$B$4*CohortData!I580,2)</f>
        <v>23659.2</v>
      </c>
      <c r="D580" s="6" t="n">
        <f aca="false">ROUND(CohortData!E580*Assumptions!$B$5*CohortData!I580,2)</f>
        <v>9540</v>
      </c>
      <c r="E580" s="6" t="n">
        <f aca="false">ROUND(B580*Assumptions!$B$3,2)</f>
        <v>6210.54</v>
      </c>
      <c r="F580" s="6" t="n">
        <f aca="false">ROUND(B580*Assumptions!$B$6,2)</f>
        <v>2661.66</v>
      </c>
      <c r="G580" s="6" t="n">
        <f aca="false">ROUND(CohortData!G580*CohortData!I580-CohortData!G580*Assumptions!$B$7,2)</f>
        <v>0</v>
      </c>
      <c r="H580" s="7" t="n">
        <f aca="false">SUM(B580:E580,F580:G580)</f>
        <v>219515.4</v>
      </c>
      <c r="I580" s="6" t="n">
        <f aca="false">CEILING(H580,Assumptions!$B$8)</f>
        <v>219600</v>
      </c>
      <c r="J580" s="6" t="n">
        <f aca="false">FLOOR(H580,Assumptions!$B$8)</f>
        <v>219500</v>
      </c>
      <c r="K580" s="6" t="n">
        <f aca="false">ROUNDUP(H580,Assumptions!$B$9)</f>
        <v>219516</v>
      </c>
      <c r="L580" s="6" t="n">
        <f aca="false">ROUNDDOWN(H580,Assumptions!$B$10)</f>
        <v>219515</v>
      </c>
    </row>
    <row r="581" customFormat="false" ht="15" hidden="false" customHeight="false" outlineLevel="0" collapsed="false">
      <c r="A581" s="5" t="s">
        <v>624</v>
      </c>
      <c r="B581" s="6" t="n">
        <f aca="false">ROUND(CohortData!G581*CohortData!I581,2)</f>
        <v>186060</v>
      </c>
      <c r="C581" s="6" t="n">
        <f aca="false">ROUND(CohortData!L581*Assumptions!$B$4*CohortData!I581,2)</f>
        <v>0</v>
      </c>
      <c r="D581" s="6" t="n">
        <f aca="false">ROUND(CohortData!E581*Assumptions!$B$5*CohortData!I581,2)</f>
        <v>8860</v>
      </c>
      <c r="E581" s="6" t="n">
        <f aca="false">ROUND(B581*Assumptions!$B$3,2)</f>
        <v>6512.1</v>
      </c>
      <c r="F581" s="6" t="n">
        <f aca="false">ROUND(B581*Assumptions!$B$6,2)</f>
        <v>2790.9</v>
      </c>
      <c r="G581" s="6" t="n">
        <f aca="false">ROUND(CohortData!G581*CohortData!I581-CohortData!G581*Assumptions!$B$7,2)</f>
        <v>0</v>
      </c>
      <c r="H581" s="7" t="n">
        <f aca="false">SUM(B581:E581,F581:G581)</f>
        <v>204223</v>
      </c>
      <c r="I581" s="6" t="n">
        <f aca="false">CEILING(H581,Assumptions!$B$8)</f>
        <v>204300</v>
      </c>
      <c r="J581" s="6" t="n">
        <f aca="false">FLOOR(H581,Assumptions!$B$8)</f>
        <v>204200</v>
      </c>
      <c r="K581" s="6" t="n">
        <f aca="false">ROUNDUP(H581,Assumptions!$B$9)</f>
        <v>204223</v>
      </c>
      <c r="L581" s="6" t="n">
        <f aca="false">ROUNDDOWN(H581,Assumptions!$B$10)</f>
        <v>204223</v>
      </c>
    </row>
    <row r="582" customFormat="false" ht="15" hidden="false" customHeight="false" outlineLevel="0" collapsed="false">
      <c r="A582" s="5" t="s">
        <v>625</v>
      </c>
      <c r="B582" s="6" t="n">
        <f aca="false">ROUND(CohortData!G582*CohortData!I582,2)</f>
        <v>66000</v>
      </c>
      <c r="C582" s="6" t="n">
        <f aca="false">ROUND(CohortData!L582*Assumptions!$B$4*CohortData!I582,2)</f>
        <v>8800</v>
      </c>
      <c r="D582" s="6" t="n">
        <f aca="false">ROUND(CohortData!E582*Assumptions!$B$5*CohortData!I582,2)</f>
        <v>4000</v>
      </c>
      <c r="E582" s="6" t="n">
        <f aca="false">ROUND(B582*Assumptions!$B$3,2)</f>
        <v>2310</v>
      </c>
      <c r="F582" s="6" t="n">
        <f aca="false">ROUND(B582*Assumptions!$B$6,2)</f>
        <v>990</v>
      </c>
      <c r="G582" s="6" t="n">
        <f aca="false">ROUND(CohortData!G582*CohortData!I582-CohortData!G582*Assumptions!$B$7,2)</f>
        <v>0</v>
      </c>
      <c r="H582" s="7" t="n">
        <f aca="false">SUM(B582:E582,F582:G582)</f>
        <v>82100</v>
      </c>
      <c r="I582" s="6" t="n">
        <f aca="false">CEILING(H582,Assumptions!$B$8)</f>
        <v>82100</v>
      </c>
      <c r="J582" s="6" t="n">
        <f aca="false">FLOOR(H582,Assumptions!$B$8)</f>
        <v>82100</v>
      </c>
      <c r="K582" s="6" t="n">
        <f aca="false">ROUNDUP(H582,Assumptions!$B$9)</f>
        <v>82100</v>
      </c>
      <c r="L582" s="6" t="n">
        <f aca="false">ROUNDDOWN(H582,Assumptions!$B$10)</f>
        <v>82100</v>
      </c>
    </row>
    <row r="583" customFormat="false" ht="15" hidden="false" customHeight="false" outlineLevel="0" collapsed="false">
      <c r="A583" s="5" t="s">
        <v>626</v>
      </c>
      <c r="B583" s="6" t="n">
        <f aca="false">ROUND(CohortData!G583*CohortData!I583,2)</f>
        <v>122350.8</v>
      </c>
      <c r="C583" s="6" t="n">
        <f aca="false">ROUND(CohortData!L583*Assumptions!$B$4*CohortData!I583,2)</f>
        <v>16313.44</v>
      </c>
      <c r="D583" s="6" t="n">
        <f aca="false">ROUND(CohortData!E583*Assumptions!$B$5*CohortData!I583,2)</f>
        <v>6578</v>
      </c>
      <c r="E583" s="6" t="n">
        <f aca="false">ROUND(B583*Assumptions!$B$3,2)</f>
        <v>4282.28</v>
      </c>
      <c r="F583" s="6" t="n">
        <f aca="false">ROUND(B583*Assumptions!$B$6,2)</f>
        <v>1835.26</v>
      </c>
      <c r="G583" s="6" t="n">
        <f aca="false">ROUND(CohortData!G583*CohortData!I583-CohortData!G583*Assumptions!$B$7,2)</f>
        <v>15958.8</v>
      </c>
      <c r="H583" s="7" t="n">
        <f aca="false">SUM(B583:E583,F583:G583)</f>
        <v>167318.58</v>
      </c>
      <c r="I583" s="6" t="n">
        <f aca="false">CEILING(H583,Assumptions!$B$8)</f>
        <v>167400</v>
      </c>
      <c r="J583" s="6" t="n">
        <f aca="false">FLOOR(H583,Assumptions!$B$8)</f>
        <v>167300</v>
      </c>
      <c r="K583" s="6" t="n">
        <f aca="false">ROUNDUP(H583,Assumptions!$B$9)</f>
        <v>167319</v>
      </c>
      <c r="L583" s="6" t="n">
        <f aca="false">ROUNDDOWN(H583,Assumptions!$B$10)</f>
        <v>167318</v>
      </c>
    </row>
    <row r="584" customFormat="false" ht="15" hidden="false" customHeight="false" outlineLevel="0" collapsed="false">
      <c r="A584" s="5" t="s">
        <v>627</v>
      </c>
      <c r="B584" s="6" t="n">
        <f aca="false">ROUND(CohortData!G584*CohortData!I584,2)</f>
        <v>134400</v>
      </c>
      <c r="C584" s="6" t="n">
        <f aca="false">ROUND(CohortData!L584*Assumptions!$B$4*CohortData!I584,2)</f>
        <v>17920</v>
      </c>
      <c r="D584" s="6" t="n">
        <f aca="false">ROUND(CohortData!E584*Assumptions!$B$5*CohortData!I584,2)</f>
        <v>6400</v>
      </c>
      <c r="E584" s="6" t="n">
        <f aca="false">ROUND(B584*Assumptions!$B$3,2)</f>
        <v>4704</v>
      </c>
      <c r="F584" s="6" t="n">
        <f aca="false">ROUND(B584*Assumptions!$B$6,2)</f>
        <v>2016</v>
      </c>
      <c r="G584" s="6" t="n">
        <f aca="false">ROUND(CohortData!G584*CohortData!I584-CohortData!G584*Assumptions!$B$7,2)</f>
        <v>0</v>
      </c>
      <c r="H584" s="7" t="n">
        <f aca="false">SUM(B584:E584,F584:G584)</f>
        <v>165440</v>
      </c>
      <c r="I584" s="6" t="n">
        <f aca="false">CEILING(H584,Assumptions!$B$8)</f>
        <v>165500</v>
      </c>
      <c r="J584" s="6" t="n">
        <f aca="false">FLOOR(H584,Assumptions!$B$8)</f>
        <v>165400</v>
      </c>
      <c r="K584" s="6" t="n">
        <f aca="false">ROUNDUP(H584,Assumptions!$B$9)</f>
        <v>165440</v>
      </c>
      <c r="L584" s="6" t="n">
        <f aca="false">ROUNDDOWN(H584,Assumptions!$B$10)</f>
        <v>165440</v>
      </c>
    </row>
    <row r="585" customFormat="false" ht="15" hidden="false" customHeight="false" outlineLevel="0" collapsed="false">
      <c r="A585" s="5" t="s">
        <v>628</v>
      </c>
      <c r="B585" s="6" t="n">
        <f aca="false">ROUND(CohortData!G585*CohortData!I585,2)</f>
        <v>44550</v>
      </c>
      <c r="C585" s="6" t="n">
        <f aca="false">ROUND(CohortData!L585*Assumptions!$B$4*CohortData!I585,2)</f>
        <v>5940</v>
      </c>
      <c r="D585" s="6" t="n">
        <f aca="false">ROUND(CohortData!E585*Assumptions!$B$5*CohortData!I585,2)</f>
        <v>2700</v>
      </c>
      <c r="E585" s="6" t="n">
        <f aca="false">ROUND(B585*Assumptions!$B$3,2)</f>
        <v>1559.25</v>
      </c>
      <c r="F585" s="6" t="n">
        <f aca="false">ROUND(B585*Assumptions!$B$6,2)</f>
        <v>668.25</v>
      </c>
      <c r="G585" s="6" t="n">
        <f aca="false">ROUND(CohortData!G585*CohortData!I585-CohortData!G585*Assumptions!$B$7,2)</f>
        <v>0</v>
      </c>
      <c r="H585" s="7" t="n">
        <f aca="false">SUM(B585:E585,F585:G585)</f>
        <v>55417.5</v>
      </c>
      <c r="I585" s="6" t="n">
        <f aca="false">CEILING(H585,Assumptions!$B$8)</f>
        <v>55500</v>
      </c>
      <c r="J585" s="6" t="n">
        <f aca="false">FLOOR(H585,Assumptions!$B$8)</f>
        <v>55400</v>
      </c>
      <c r="K585" s="6" t="n">
        <f aca="false">ROUNDUP(H585,Assumptions!$B$9)</f>
        <v>55418</v>
      </c>
      <c r="L585" s="6" t="n">
        <f aca="false">ROUNDDOWN(H585,Assumptions!$B$10)</f>
        <v>55417</v>
      </c>
    </row>
    <row r="586" customFormat="false" ht="15" hidden="false" customHeight="false" outlineLevel="0" collapsed="false">
      <c r="A586" s="5" t="s">
        <v>629</v>
      </c>
      <c r="B586" s="6" t="n">
        <f aca="false">ROUND(CohortData!G586*CohortData!I586,2)</f>
        <v>163680</v>
      </c>
      <c r="C586" s="6" t="n">
        <f aca="false">ROUND(CohortData!L586*Assumptions!$B$4*CohortData!I586,2)</f>
        <v>21824</v>
      </c>
      <c r="D586" s="6" t="n">
        <f aca="false">ROUND(CohortData!E586*Assumptions!$B$5*CohortData!I586,2)</f>
        <v>8800</v>
      </c>
      <c r="E586" s="6" t="n">
        <f aca="false">ROUND(B586*Assumptions!$B$3,2)</f>
        <v>5728.8</v>
      </c>
      <c r="F586" s="6" t="n">
        <f aca="false">ROUND(B586*Assumptions!$B$6,2)</f>
        <v>2455.2</v>
      </c>
      <c r="G586" s="6" t="n">
        <f aca="false">ROUND(CohortData!G586*CohortData!I586-CohortData!G586*Assumptions!$B$7,2)</f>
        <v>0</v>
      </c>
      <c r="H586" s="7" t="n">
        <f aca="false">SUM(B586:E586,F586:G586)</f>
        <v>202488</v>
      </c>
      <c r="I586" s="6" t="n">
        <f aca="false">CEILING(H586,Assumptions!$B$8)</f>
        <v>202500</v>
      </c>
      <c r="J586" s="6" t="n">
        <f aca="false">FLOOR(H586,Assumptions!$B$8)</f>
        <v>202400</v>
      </c>
      <c r="K586" s="6" t="n">
        <f aca="false">ROUNDUP(H586,Assumptions!$B$9)</f>
        <v>202488</v>
      </c>
      <c r="L586" s="6" t="n">
        <f aca="false">ROUNDDOWN(H586,Assumptions!$B$10)</f>
        <v>202488</v>
      </c>
    </row>
    <row r="587" customFormat="false" ht="15" hidden="false" customHeight="false" outlineLevel="0" collapsed="false">
      <c r="A587" s="5" t="s">
        <v>630</v>
      </c>
      <c r="B587" s="6" t="n">
        <f aca="false">ROUND(CohortData!G587*CohortData!I587,2)</f>
        <v>129927</v>
      </c>
      <c r="C587" s="6" t="n">
        <f aca="false">ROUND(CohortData!L587*Assumptions!$B$4*CohortData!I587,2)</f>
        <v>17323.6</v>
      </c>
      <c r="D587" s="6" t="n">
        <f aca="false">ROUND(CohortData!E587*Assumptions!$B$5*CohortData!I587,2)</f>
        <v>6187</v>
      </c>
      <c r="E587" s="6" t="n">
        <f aca="false">ROUND(B587*Assumptions!$B$3,2)</f>
        <v>4547.45</v>
      </c>
      <c r="F587" s="6" t="n">
        <f aca="false">ROUND(B587*Assumptions!$B$6,2)</f>
        <v>1948.91</v>
      </c>
      <c r="G587" s="6" t="n">
        <f aca="false">ROUND(CohortData!G587*CohortData!I587-CohortData!G587*Assumptions!$B$7,2)</f>
        <v>16947</v>
      </c>
      <c r="H587" s="7" t="n">
        <f aca="false">SUM(B587:E587,F587:G587)</f>
        <v>176880.96</v>
      </c>
      <c r="I587" s="6" t="n">
        <f aca="false">CEILING(H587,Assumptions!$B$8)</f>
        <v>176900</v>
      </c>
      <c r="J587" s="6" t="n">
        <f aca="false">FLOOR(H587,Assumptions!$B$8)</f>
        <v>176800</v>
      </c>
      <c r="K587" s="6" t="n">
        <f aca="false">ROUNDUP(H587,Assumptions!$B$9)</f>
        <v>176881</v>
      </c>
      <c r="L587" s="6" t="n">
        <f aca="false">ROUNDDOWN(H587,Assumptions!$B$10)</f>
        <v>176880</v>
      </c>
    </row>
    <row r="588" customFormat="false" ht="15" hidden="false" customHeight="false" outlineLevel="0" collapsed="false">
      <c r="A588" s="5" t="s">
        <v>631</v>
      </c>
      <c r="B588" s="6" t="n">
        <f aca="false">ROUND(CohortData!G588*CohortData!I588,2)</f>
        <v>138270</v>
      </c>
      <c r="C588" s="6" t="n">
        <f aca="false">ROUND(CohortData!L588*Assumptions!$B$4*CohortData!I588,2)</f>
        <v>18436</v>
      </c>
      <c r="D588" s="6" t="n">
        <f aca="false">ROUND(CohortData!E588*Assumptions!$B$5*CohortData!I588,2)</f>
        <v>8380</v>
      </c>
      <c r="E588" s="6" t="n">
        <f aca="false">ROUND(B588*Assumptions!$B$3,2)</f>
        <v>4839.45</v>
      </c>
      <c r="F588" s="6" t="n">
        <f aca="false">ROUND(B588*Assumptions!$B$6,2)</f>
        <v>2074.05</v>
      </c>
      <c r="G588" s="6" t="n">
        <f aca="false">ROUND(CohortData!G588*CohortData!I588-CohortData!G588*Assumptions!$B$7,2)</f>
        <v>0</v>
      </c>
      <c r="H588" s="7" t="n">
        <f aca="false">SUM(B588:E588,F588:G588)</f>
        <v>171999.5</v>
      </c>
      <c r="I588" s="6" t="n">
        <f aca="false">CEILING(H588,Assumptions!$B$8)</f>
        <v>172000</v>
      </c>
      <c r="J588" s="6" t="n">
        <f aca="false">FLOOR(H588,Assumptions!$B$8)</f>
        <v>171900</v>
      </c>
      <c r="K588" s="6" t="n">
        <f aca="false">ROUNDUP(H588,Assumptions!$B$9)</f>
        <v>172000</v>
      </c>
      <c r="L588" s="6" t="n">
        <f aca="false">ROUNDDOWN(H588,Assumptions!$B$10)</f>
        <v>171999</v>
      </c>
    </row>
    <row r="589" customFormat="false" ht="15" hidden="false" customHeight="false" outlineLevel="0" collapsed="false">
      <c r="A589" s="5" t="s">
        <v>632</v>
      </c>
      <c r="B589" s="6" t="n">
        <f aca="false">ROUND(CohortData!G589*CohortData!I589,2)</f>
        <v>96720</v>
      </c>
      <c r="C589" s="6" t="n">
        <f aca="false">ROUND(CohortData!L589*Assumptions!$B$4*CohortData!I589,2)</f>
        <v>12896</v>
      </c>
      <c r="D589" s="6" t="n">
        <f aca="false">ROUND(CohortData!E589*Assumptions!$B$5*CohortData!I589,2)</f>
        <v>5200</v>
      </c>
      <c r="E589" s="6" t="n">
        <f aca="false">ROUND(B589*Assumptions!$B$3,2)</f>
        <v>3385.2</v>
      </c>
      <c r="F589" s="6" t="n">
        <f aca="false">ROUND(B589*Assumptions!$B$6,2)</f>
        <v>1450.8</v>
      </c>
      <c r="G589" s="6" t="n">
        <f aca="false">ROUND(CohortData!G589*CohortData!I589-CohortData!G589*Assumptions!$B$7,2)</f>
        <v>0</v>
      </c>
      <c r="H589" s="7" t="n">
        <f aca="false">SUM(B589:E589,F589:G589)</f>
        <v>119652</v>
      </c>
      <c r="I589" s="6" t="n">
        <f aca="false">CEILING(H589,Assumptions!$B$8)</f>
        <v>119700</v>
      </c>
      <c r="J589" s="6" t="n">
        <f aca="false">FLOOR(H589,Assumptions!$B$8)</f>
        <v>119600</v>
      </c>
      <c r="K589" s="6" t="n">
        <f aca="false">ROUNDUP(H589,Assumptions!$B$9)</f>
        <v>119652</v>
      </c>
      <c r="L589" s="6" t="n">
        <f aca="false">ROUNDDOWN(H589,Assumptions!$B$10)</f>
        <v>119652</v>
      </c>
    </row>
    <row r="590" customFormat="false" ht="15" hidden="false" customHeight="false" outlineLevel="0" collapsed="false">
      <c r="A590" s="5" t="s">
        <v>633</v>
      </c>
      <c r="B590" s="6" t="n">
        <f aca="false">ROUND(CohortData!G590*CohortData!I590,2)</f>
        <v>184380</v>
      </c>
      <c r="C590" s="6" t="n">
        <f aca="false">ROUND(CohortData!L590*Assumptions!$B$4*CohortData!I590,2)</f>
        <v>24584</v>
      </c>
      <c r="D590" s="6" t="n">
        <f aca="false">ROUND(CohortData!E590*Assumptions!$B$5*CohortData!I590,2)</f>
        <v>8780</v>
      </c>
      <c r="E590" s="6" t="n">
        <f aca="false">ROUND(B590*Assumptions!$B$3,2)</f>
        <v>6453.3</v>
      </c>
      <c r="F590" s="6" t="n">
        <f aca="false">ROUND(B590*Assumptions!$B$6,2)</f>
        <v>2765.7</v>
      </c>
      <c r="G590" s="6" t="n">
        <f aca="false">ROUND(CohortData!G590*CohortData!I590-CohortData!G590*Assumptions!$B$7,2)</f>
        <v>0</v>
      </c>
      <c r="H590" s="7" t="n">
        <f aca="false">SUM(B590:E590,F590:G590)</f>
        <v>226963</v>
      </c>
      <c r="I590" s="6" t="n">
        <f aca="false">CEILING(H590,Assumptions!$B$8)</f>
        <v>227000</v>
      </c>
      <c r="J590" s="6" t="n">
        <f aca="false">FLOOR(H590,Assumptions!$B$8)</f>
        <v>226900</v>
      </c>
      <c r="K590" s="6" t="n">
        <f aca="false">ROUNDUP(H590,Assumptions!$B$9)</f>
        <v>226963</v>
      </c>
      <c r="L590" s="6" t="n">
        <f aca="false">ROUNDDOWN(H590,Assumptions!$B$10)</f>
        <v>226963</v>
      </c>
    </row>
    <row r="591" customFormat="false" ht="15" hidden="false" customHeight="false" outlineLevel="0" collapsed="false">
      <c r="A591" s="5" t="s">
        <v>634</v>
      </c>
      <c r="B591" s="6" t="n">
        <f aca="false">ROUND(CohortData!G591*CohortData!I591,2)</f>
        <v>61858.5</v>
      </c>
      <c r="C591" s="6" t="n">
        <f aca="false">ROUND(CohortData!L591*Assumptions!$B$4*CohortData!I591,2)</f>
        <v>8247.8</v>
      </c>
      <c r="D591" s="6" t="n">
        <f aca="false">ROUND(CohortData!E591*Assumptions!$B$5*CohortData!I591,2)</f>
        <v>3749</v>
      </c>
      <c r="E591" s="6" t="n">
        <f aca="false">ROUND(B591*Assumptions!$B$3,2)</f>
        <v>2165.05</v>
      </c>
      <c r="F591" s="6" t="n">
        <f aca="false">ROUND(B591*Assumptions!$B$6,2)</f>
        <v>927.88</v>
      </c>
      <c r="G591" s="6" t="n">
        <f aca="false">ROUND(CohortData!G591*CohortData!I591-CohortData!G591*Assumptions!$B$7,2)</f>
        <v>8068.5</v>
      </c>
      <c r="H591" s="7" t="n">
        <f aca="false">SUM(B591:E591,F591:G591)</f>
        <v>85016.73</v>
      </c>
      <c r="I591" s="6" t="n">
        <f aca="false">CEILING(H591,Assumptions!$B$8)</f>
        <v>85100</v>
      </c>
      <c r="J591" s="6" t="n">
        <f aca="false">FLOOR(H591,Assumptions!$B$8)</f>
        <v>85000</v>
      </c>
      <c r="K591" s="6" t="n">
        <f aca="false">ROUNDUP(H591,Assumptions!$B$9)</f>
        <v>85017</v>
      </c>
      <c r="L591" s="6" t="n">
        <f aca="false">ROUNDDOWN(H591,Assumptions!$B$10)</f>
        <v>85016</v>
      </c>
    </row>
    <row r="592" customFormat="false" ht="15" hidden="false" customHeight="false" outlineLevel="0" collapsed="false">
      <c r="A592" s="5" t="s">
        <v>635</v>
      </c>
      <c r="B592" s="6" t="n">
        <f aca="false">ROUND(CohortData!G592*CohortData!I592,2)</f>
        <v>174096</v>
      </c>
      <c r="C592" s="6" t="n">
        <f aca="false">ROUND(CohortData!L592*Assumptions!$B$4*CohortData!I592,2)</f>
        <v>23212.8</v>
      </c>
      <c r="D592" s="6" t="n">
        <f aca="false">ROUND(CohortData!E592*Assumptions!$B$5*CohortData!I592,2)</f>
        <v>9360</v>
      </c>
      <c r="E592" s="6" t="n">
        <f aca="false">ROUND(B592*Assumptions!$B$3,2)</f>
        <v>6093.36</v>
      </c>
      <c r="F592" s="6" t="n">
        <f aca="false">ROUND(B592*Assumptions!$B$6,2)</f>
        <v>2611.44</v>
      </c>
      <c r="G592" s="6" t="n">
        <f aca="false">ROUND(CohortData!G592*CohortData!I592-CohortData!G592*Assumptions!$B$7,2)</f>
        <v>0</v>
      </c>
      <c r="H592" s="7" t="n">
        <f aca="false">SUM(B592:E592,F592:G592)</f>
        <v>215373.6</v>
      </c>
      <c r="I592" s="6" t="n">
        <f aca="false">CEILING(H592,Assumptions!$B$8)</f>
        <v>215400</v>
      </c>
      <c r="J592" s="6" t="n">
        <f aca="false">FLOOR(H592,Assumptions!$B$8)</f>
        <v>215300</v>
      </c>
      <c r="K592" s="6" t="n">
        <f aca="false">ROUNDUP(H592,Assumptions!$B$9)</f>
        <v>215374</v>
      </c>
      <c r="L592" s="6" t="n">
        <f aca="false">ROUNDDOWN(H592,Assumptions!$B$10)</f>
        <v>215373</v>
      </c>
    </row>
    <row r="593" customFormat="false" ht="15" hidden="false" customHeight="false" outlineLevel="0" collapsed="false">
      <c r="A593" s="5" t="s">
        <v>636</v>
      </c>
      <c r="B593" s="6" t="n">
        <f aca="false">ROUND(CohortData!G593*CohortData!I593,2)</f>
        <v>106260</v>
      </c>
      <c r="C593" s="6" t="n">
        <f aca="false">ROUND(CohortData!L593*Assumptions!$B$4*CohortData!I593,2)</f>
        <v>14168</v>
      </c>
      <c r="D593" s="6" t="n">
        <f aca="false">ROUND(CohortData!E593*Assumptions!$B$5*CohortData!I593,2)</f>
        <v>5060</v>
      </c>
      <c r="E593" s="6" t="n">
        <f aca="false">ROUND(B593*Assumptions!$B$3,2)</f>
        <v>3719.1</v>
      </c>
      <c r="F593" s="6" t="n">
        <f aca="false">ROUND(B593*Assumptions!$B$6,2)</f>
        <v>1593.9</v>
      </c>
      <c r="G593" s="6" t="n">
        <f aca="false">ROUND(CohortData!G593*CohortData!I593-CohortData!G593*Assumptions!$B$7,2)</f>
        <v>0</v>
      </c>
      <c r="H593" s="7" t="n">
        <f aca="false">SUM(B593:E593,F593:G593)</f>
        <v>130801</v>
      </c>
      <c r="I593" s="6" t="n">
        <f aca="false">CEILING(H593,Assumptions!$B$8)</f>
        <v>130900</v>
      </c>
      <c r="J593" s="6" t="n">
        <f aca="false">FLOOR(H593,Assumptions!$B$8)</f>
        <v>130800</v>
      </c>
      <c r="K593" s="6" t="n">
        <f aca="false">ROUNDUP(H593,Assumptions!$B$9)</f>
        <v>130801</v>
      </c>
      <c r="L593" s="6" t="n">
        <f aca="false">ROUNDDOWN(H593,Assumptions!$B$10)</f>
        <v>130801</v>
      </c>
    </row>
    <row r="594" customFormat="false" ht="15" hidden="false" customHeight="false" outlineLevel="0" collapsed="false">
      <c r="A594" s="5" t="s">
        <v>637</v>
      </c>
      <c r="B594" s="6" t="n">
        <f aca="false">ROUND(CohortData!G594*CohortData!I594,2)</f>
        <v>118470</v>
      </c>
      <c r="C594" s="6" t="n">
        <f aca="false">ROUND(CohortData!L594*Assumptions!$B$4*CohortData!I594,2)</f>
        <v>15796</v>
      </c>
      <c r="D594" s="6" t="n">
        <f aca="false">ROUND(CohortData!E594*Assumptions!$B$5*CohortData!I594,2)</f>
        <v>7180</v>
      </c>
      <c r="E594" s="6" t="n">
        <f aca="false">ROUND(B594*Assumptions!$B$3,2)</f>
        <v>4146.45</v>
      </c>
      <c r="F594" s="6" t="n">
        <f aca="false">ROUND(B594*Assumptions!$B$6,2)</f>
        <v>1777.05</v>
      </c>
      <c r="G594" s="6" t="n">
        <f aca="false">ROUND(CohortData!G594*CohortData!I594-CohortData!G594*Assumptions!$B$7,2)</f>
        <v>0</v>
      </c>
      <c r="H594" s="7" t="n">
        <f aca="false">SUM(B594:E594,F594:G594)</f>
        <v>147369.5</v>
      </c>
      <c r="I594" s="6" t="n">
        <f aca="false">CEILING(H594,Assumptions!$B$8)</f>
        <v>147400</v>
      </c>
      <c r="J594" s="6" t="n">
        <f aca="false">FLOOR(H594,Assumptions!$B$8)</f>
        <v>147300</v>
      </c>
      <c r="K594" s="6" t="n">
        <f aca="false">ROUNDUP(H594,Assumptions!$B$9)</f>
        <v>147370</v>
      </c>
      <c r="L594" s="6" t="n">
        <f aca="false">ROUNDDOWN(H594,Assumptions!$B$10)</f>
        <v>147369</v>
      </c>
    </row>
    <row r="595" customFormat="false" ht="15" hidden="false" customHeight="false" outlineLevel="0" collapsed="false">
      <c r="A595" s="5" t="s">
        <v>638</v>
      </c>
      <c r="B595" s="6" t="n">
        <f aca="false">ROUND(CohortData!G595*CohortData!I595,2)</f>
        <v>110372.4</v>
      </c>
      <c r="C595" s="6" t="n">
        <f aca="false">ROUND(CohortData!L595*Assumptions!$B$4*CohortData!I595,2)</f>
        <v>14716.32</v>
      </c>
      <c r="D595" s="6" t="n">
        <f aca="false">ROUND(CohortData!E595*Assumptions!$B$5*CohortData!I595,2)</f>
        <v>5934</v>
      </c>
      <c r="E595" s="6" t="n">
        <f aca="false">ROUND(B595*Assumptions!$B$3,2)</f>
        <v>3863.03</v>
      </c>
      <c r="F595" s="6" t="n">
        <f aca="false">ROUND(B595*Assumptions!$B$6,2)</f>
        <v>1655.59</v>
      </c>
      <c r="G595" s="6" t="n">
        <f aca="false">ROUND(CohortData!G595*CohortData!I595-CohortData!G595*Assumptions!$B$7,2)</f>
        <v>14396.4</v>
      </c>
      <c r="H595" s="7" t="n">
        <f aca="false">SUM(B595:E595,F595:G595)</f>
        <v>150937.74</v>
      </c>
      <c r="I595" s="6" t="n">
        <f aca="false">CEILING(H595,Assumptions!$B$8)</f>
        <v>151000</v>
      </c>
      <c r="J595" s="6" t="n">
        <f aca="false">FLOOR(H595,Assumptions!$B$8)</f>
        <v>150900</v>
      </c>
      <c r="K595" s="6" t="n">
        <f aca="false">ROUNDUP(H595,Assumptions!$B$9)</f>
        <v>150938</v>
      </c>
      <c r="L595" s="6" t="n">
        <f aca="false">ROUNDDOWN(H595,Assumptions!$B$10)</f>
        <v>150937</v>
      </c>
    </row>
    <row r="596" customFormat="false" ht="15" hidden="false" customHeight="false" outlineLevel="0" collapsed="false">
      <c r="A596" s="5" t="s">
        <v>639</v>
      </c>
      <c r="B596" s="6" t="n">
        <f aca="false">ROUND(CohortData!G596*CohortData!I596,2)</f>
        <v>185220</v>
      </c>
      <c r="C596" s="6" t="n">
        <f aca="false">ROUND(CohortData!L596*Assumptions!$B$4*CohortData!I596,2)</f>
        <v>24696</v>
      </c>
      <c r="D596" s="6" t="n">
        <f aca="false">ROUND(CohortData!E596*Assumptions!$B$5*CohortData!I596,2)</f>
        <v>8820</v>
      </c>
      <c r="E596" s="6" t="n">
        <f aca="false">ROUND(B596*Assumptions!$B$3,2)</f>
        <v>6482.7</v>
      </c>
      <c r="F596" s="6" t="n">
        <f aca="false">ROUND(B596*Assumptions!$B$6,2)</f>
        <v>2778.3</v>
      </c>
      <c r="G596" s="6" t="n">
        <f aca="false">ROUND(CohortData!G596*CohortData!I596-CohortData!G596*Assumptions!$B$7,2)</f>
        <v>0</v>
      </c>
      <c r="H596" s="7" t="n">
        <f aca="false">SUM(B596:E596,F596:G596)</f>
        <v>227997</v>
      </c>
      <c r="I596" s="6" t="n">
        <f aca="false">CEILING(H596,Assumptions!$B$8)</f>
        <v>228000</v>
      </c>
      <c r="J596" s="6" t="n">
        <f aca="false">FLOOR(H596,Assumptions!$B$8)</f>
        <v>227900</v>
      </c>
      <c r="K596" s="6" t="n">
        <f aca="false">ROUNDUP(H596,Assumptions!$B$9)</f>
        <v>227997</v>
      </c>
      <c r="L596" s="6" t="n">
        <f aca="false">ROUNDDOWN(H596,Assumptions!$B$10)</f>
        <v>227997</v>
      </c>
    </row>
    <row r="597" customFormat="false" ht="15" hidden="false" customHeight="false" outlineLevel="0" collapsed="false">
      <c r="A597" s="5" t="s">
        <v>640</v>
      </c>
      <c r="B597" s="6" t="n">
        <f aca="false">ROUND(CohortData!G597*CohortData!I597,2)</f>
        <v>101970</v>
      </c>
      <c r="C597" s="6" t="n">
        <f aca="false">ROUND(CohortData!L597*Assumptions!$B$4*CohortData!I597,2)</f>
        <v>13596</v>
      </c>
      <c r="D597" s="6" t="n">
        <f aca="false">ROUND(CohortData!E597*Assumptions!$B$5*CohortData!I597,2)</f>
        <v>6180</v>
      </c>
      <c r="E597" s="6" t="n">
        <f aca="false">ROUND(B597*Assumptions!$B$3,2)</f>
        <v>3568.95</v>
      </c>
      <c r="F597" s="6" t="n">
        <f aca="false">ROUND(B597*Assumptions!$B$6,2)</f>
        <v>1529.55</v>
      </c>
      <c r="G597" s="6" t="n">
        <f aca="false">ROUND(CohortData!G597*CohortData!I597-CohortData!G597*Assumptions!$B$7,2)</f>
        <v>0</v>
      </c>
      <c r="H597" s="7" t="n">
        <f aca="false">SUM(B597:E597,F597:G597)</f>
        <v>126844.5</v>
      </c>
      <c r="I597" s="6" t="n">
        <f aca="false">CEILING(H597,Assumptions!$B$8)</f>
        <v>126900</v>
      </c>
      <c r="J597" s="6" t="n">
        <f aca="false">FLOOR(H597,Assumptions!$B$8)</f>
        <v>126800</v>
      </c>
      <c r="K597" s="6" t="n">
        <f aca="false">ROUNDUP(H597,Assumptions!$B$9)</f>
        <v>126845</v>
      </c>
      <c r="L597" s="6" t="n">
        <f aca="false">ROUNDDOWN(H597,Assumptions!$B$10)</f>
        <v>126844</v>
      </c>
    </row>
    <row r="598" customFormat="false" ht="15" hidden="false" customHeight="false" outlineLevel="0" collapsed="false">
      <c r="A598" s="5" t="s">
        <v>641</v>
      </c>
      <c r="B598" s="6" t="n">
        <f aca="false">ROUND(CohortData!G598*CohortData!I598,2)</f>
        <v>99324</v>
      </c>
      <c r="C598" s="6" t="n">
        <f aca="false">ROUND(CohortData!L598*Assumptions!$B$4*CohortData!I598,2)</f>
        <v>0</v>
      </c>
      <c r="D598" s="6" t="n">
        <f aca="false">ROUND(CohortData!E598*Assumptions!$B$5*CohortData!I598,2)</f>
        <v>5340</v>
      </c>
      <c r="E598" s="6" t="n">
        <f aca="false">ROUND(B598*Assumptions!$B$3,2)</f>
        <v>3476.34</v>
      </c>
      <c r="F598" s="6" t="n">
        <f aca="false">ROUND(B598*Assumptions!$B$6,2)</f>
        <v>1489.86</v>
      </c>
      <c r="G598" s="6" t="n">
        <f aca="false">ROUND(CohortData!G598*CohortData!I598-CohortData!G598*Assumptions!$B$7,2)</f>
        <v>0</v>
      </c>
      <c r="H598" s="7" t="n">
        <f aca="false">SUM(B598:E598,F598:G598)</f>
        <v>109630.2</v>
      </c>
      <c r="I598" s="6" t="n">
        <f aca="false">CEILING(H598,Assumptions!$B$8)</f>
        <v>109700</v>
      </c>
      <c r="J598" s="6" t="n">
        <f aca="false">FLOOR(H598,Assumptions!$B$8)</f>
        <v>109600</v>
      </c>
      <c r="K598" s="6" t="n">
        <f aca="false">ROUNDUP(H598,Assumptions!$B$9)</f>
        <v>109631</v>
      </c>
      <c r="L598" s="6" t="n">
        <f aca="false">ROUNDDOWN(H598,Assumptions!$B$10)</f>
        <v>109630</v>
      </c>
    </row>
    <row r="599" customFormat="false" ht="15" hidden="false" customHeight="false" outlineLevel="0" collapsed="false">
      <c r="A599" s="5" t="s">
        <v>642</v>
      </c>
      <c r="B599" s="6" t="n">
        <f aca="false">ROUND(CohortData!G599*CohortData!I599,2)</f>
        <v>147798</v>
      </c>
      <c r="C599" s="6" t="n">
        <f aca="false">ROUND(CohortData!L599*Assumptions!$B$4*CohortData!I599,2)</f>
        <v>19706.4</v>
      </c>
      <c r="D599" s="6" t="n">
        <f aca="false">ROUND(CohortData!E599*Assumptions!$B$5*CohortData!I599,2)</f>
        <v>7038</v>
      </c>
      <c r="E599" s="6" t="n">
        <f aca="false">ROUND(B599*Assumptions!$B$3,2)</f>
        <v>5172.93</v>
      </c>
      <c r="F599" s="6" t="n">
        <f aca="false">ROUND(B599*Assumptions!$B$6,2)</f>
        <v>2216.97</v>
      </c>
      <c r="G599" s="6" t="n">
        <f aca="false">ROUND(CohortData!G599*CohortData!I599-CohortData!G599*Assumptions!$B$7,2)</f>
        <v>19278</v>
      </c>
      <c r="H599" s="7" t="n">
        <f aca="false">SUM(B599:E599,F599:G599)</f>
        <v>201210.3</v>
      </c>
      <c r="I599" s="6" t="n">
        <f aca="false">CEILING(H599,Assumptions!$B$8)</f>
        <v>201300</v>
      </c>
      <c r="J599" s="6" t="n">
        <f aca="false">FLOOR(H599,Assumptions!$B$8)</f>
        <v>201200</v>
      </c>
      <c r="K599" s="6" t="n">
        <f aca="false">ROUNDUP(H599,Assumptions!$B$9)</f>
        <v>201211</v>
      </c>
      <c r="L599" s="6" t="n">
        <f aca="false">ROUNDDOWN(H599,Assumptions!$B$10)</f>
        <v>201210</v>
      </c>
    </row>
    <row r="600" customFormat="false" ht="15" hidden="false" customHeight="false" outlineLevel="0" collapsed="false">
      <c r="A600" s="5" t="s">
        <v>643</v>
      </c>
      <c r="B600" s="6" t="n">
        <f aca="false">ROUND(CohortData!G600*CohortData!I600,2)</f>
        <v>150480</v>
      </c>
      <c r="C600" s="6" t="n">
        <f aca="false">ROUND(CohortData!L600*Assumptions!$B$4*CohortData!I600,2)</f>
        <v>20064</v>
      </c>
      <c r="D600" s="6" t="n">
        <f aca="false">ROUND(CohortData!E600*Assumptions!$B$5*CohortData!I600,2)</f>
        <v>9120</v>
      </c>
      <c r="E600" s="6" t="n">
        <f aca="false">ROUND(B600*Assumptions!$B$3,2)</f>
        <v>5266.8</v>
      </c>
      <c r="F600" s="6" t="n">
        <f aca="false">ROUND(B600*Assumptions!$B$6,2)</f>
        <v>2257.2</v>
      </c>
      <c r="G600" s="6" t="n">
        <f aca="false">ROUND(CohortData!G600*CohortData!I600-CohortData!G600*Assumptions!$B$7,2)</f>
        <v>0</v>
      </c>
      <c r="H600" s="7" t="n">
        <f aca="false">SUM(B600:E600,F600:G600)</f>
        <v>187188</v>
      </c>
      <c r="I600" s="6" t="n">
        <f aca="false">CEILING(H600,Assumptions!$B$8)</f>
        <v>187200</v>
      </c>
      <c r="J600" s="6" t="n">
        <f aca="false">FLOOR(H600,Assumptions!$B$8)</f>
        <v>187100</v>
      </c>
      <c r="K600" s="6" t="n">
        <f aca="false">ROUNDUP(H600,Assumptions!$B$9)</f>
        <v>187188</v>
      </c>
      <c r="L600" s="6" t="n">
        <f aca="false">ROUNDDOWN(H600,Assumptions!$B$10)</f>
        <v>187188</v>
      </c>
    </row>
    <row r="601" customFormat="false" ht="15" hidden="false" customHeight="false" outlineLevel="0" collapsed="false">
      <c r="A601" s="5" t="s">
        <v>644</v>
      </c>
      <c r="B601" s="6" t="n">
        <f aca="false">ROUND(CohortData!G601*CohortData!I601,2)</f>
        <v>93372</v>
      </c>
      <c r="C601" s="6" t="n">
        <f aca="false">ROUND(CohortData!L601*Assumptions!$B$4*CohortData!I601,2)</f>
        <v>12449.6</v>
      </c>
      <c r="D601" s="6" t="n">
        <f aca="false">ROUND(CohortData!E601*Assumptions!$B$5*CohortData!I601,2)</f>
        <v>5020</v>
      </c>
      <c r="E601" s="6" t="n">
        <f aca="false">ROUND(B601*Assumptions!$B$3,2)</f>
        <v>3268.02</v>
      </c>
      <c r="F601" s="6" t="n">
        <f aca="false">ROUND(B601*Assumptions!$B$6,2)</f>
        <v>1400.58</v>
      </c>
      <c r="G601" s="6" t="n">
        <f aca="false">ROUND(CohortData!G601*CohortData!I601-CohortData!G601*Assumptions!$B$7,2)</f>
        <v>0</v>
      </c>
      <c r="H601" s="7" t="n">
        <f aca="false">SUM(B601:E601,F601:G601)</f>
        <v>115510.2</v>
      </c>
      <c r="I601" s="6" t="n">
        <f aca="false">CEILING(H601,Assumptions!$B$8)</f>
        <v>115600</v>
      </c>
      <c r="J601" s="6" t="n">
        <f aca="false">FLOOR(H601,Assumptions!$B$8)</f>
        <v>115500</v>
      </c>
      <c r="K601" s="6" t="n">
        <f aca="false">ROUNDUP(H601,Assumptions!$B$9)</f>
        <v>115511</v>
      </c>
      <c r="L601" s="6" t="n">
        <f aca="false">ROUNDDOWN(H601,Assumptions!$B$10)</f>
        <v>115510</v>
      </c>
    </row>
    <row r="602" customFormat="false" ht="15" hidden="false" customHeight="false" outlineLevel="0" collapsed="false">
      <c r="A602" s="5" t="s">
        <v>645</v>
      </c>
      <c r="B602" s="6" t="n">
        <f aca="false">ROUND(CohortData!G602*CohortData!I602,2)</f>
        <v>160860</v>
      </c>
      <c r="C602" s="6" t="n">
        <f aca="false">ROUND(CohortData!L602*Assumptions!$B$4*CohortData!I602,2)</f>
        <v>21448</v>
      </c>
      <c r="D602" s="6" t="n">
        <f aca="false">ROUND(CohortData!E602*Assumptions!$B$5*CohortData!I602,2)</f>
        <v>7660</v>
      </c>
      <c r="E602" s="6" t="n">
        <f aca="false">ROUND(B602*Assumptions!$B$3,2)</f>
        <v>5630.1</v>
      </c>
      <c r="F602" s="6" t="n">
        <f aca="false">ROUND(B602*Assumptions!$B$6,2)</f>
        <v>2412.9</v>
      </c>
      <c r="G602" s="6" t="n">
        <f aca="false">ROUND(CohortData!G602*CohortData!I602-CohortData!G602*Assumptions!$B$7,2)</f>
        <v>0</v>
      </c>
      <c r="H602" s="7" t="n">
        <f aca="false">SUM(B602:E602,F602:G602)</f>
        <v>198011</v>
      </c>
      <c r="I602" s="6" t="n">
        <f aca="false">CEILING(H602,Assumptions!$B$8)</f>
        <v>198100</v>
      </c>
      <c r="J602" s="6" t="n">
        <f aca="false">FLOOR(H602,Assumptions!$B$8)</f>
        <v>198000</v>
      </c>
      <c r="K602" s="6" t="n">
        <f aca="false">ROUNDUP(H602,Assumptions!$B$9)</f>
        <v>198011</v>
      </c>
      <c r="L602" s="6" t="n">
        <f aca="false">ROUNDDOWN(H602,Assumptions!$B$10)</f>
        <v>198011</v>
      </c>
    </row>
    <row r="603" customFormat="false" ht="15" hidden="false" customHeight="false" outlineLevel="0" collapsed="false">
      <c r="A603" s="5" t="s">
        <v>646</v>
      </c>
      <c r="B603" s="6" t="n">
        <f aca="false">ROUND(CohortData!G603*CohortData!I603,2)</f>
        <v>62617.5</v>
      </c>
      <c r="C603" s="6" t="n">
        <f aca="false">ROUND(CohortData!L603*Assumptions!$B$4*CohortData!I603,2)</f>
        <v>8349</v>
      </c>
      <c r="D603" s="6" t="n">
        <f aca="false">ROUND(CohortData!E603*Assumptions!$B$5*CohortData!I603,2)</f>
        <v>3795</v>
      </c>
      <c r="E603" s="6" t="n">
        <f aca="false">ROUND(B603*Assumptions!$B$3,2)</f>
        <v>2191.61</v>
      </c>
      <c r="F603" s="6" t="n">
        <f aca="false">ROUND(B603*Assumptions!$B$6,2)</f>
        <v>939.26</v>
      </c>
      <c r="G603" s="6" t="n">
        <f aca="false">ROUND(CohortData!G603*CohortData!I603-CohortData!G603*Assumptions!$B$7,2)</f>
        <v>8167.5</v>
      </c>
      <c r="H603" s="7" t="n">
        <f aca="false">SUM(B603:E603,F603:G603)</f>
        <v>86059.87</v>
      </c>
      <c r="I603" s="6" t="n">
        <f aca="false">CEILING(H603,Assumptions!$B$8)</f>
        <v>86100</v>
      </c>
      <c r="J603" s="6" t="n">
        <f aca="false">FLOOR(H603,Assumptions!$B$8)</f>
        <v>86000</v>
      </c>
      <c r="K603" s="6" t="n">
        <f aca="false">ROUNDUP(H603,Assumptions!$B$9)</f>
        <v>86060</v>
      </c>
      <c r="L603" s="6" t="n">
        <f aca="false">ROUNDDOWN(H603,Assumptions!$B$10)</f>
        <v>86059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tru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0"/>
  </cols>
  <sheetData>
    <row r="1" customFormat="false" ht="24" hidden="false" customHeight="true" outlineLevel="0" collapsed="false">
      <c r="A1" s="1" t="s">
        <v>658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659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6</v>
      </c>
      <c r="B3" s="3" t="s">
        <v>660</v>
      </c>
      <c r="C3" s="3" t="s">
        <v>661</v>
      </c>
      <c r="D3" s="3" t="s">
        <v>649</v>
      </c>
      <c r="E3" s="3" t="s">
        <v>662</v>
      </c>
      <c r="F3" s="3" t="s">
        <v>663</v>
      </c>
      <c r="G3" s="3" t="s">
        <v>664</v>
      </c>
      <c r="H3" s="3" t="s">
        <v>665</v>
      </c>
      <c r="I3" s="3" t="s">
        <v>666</v>
      </c>
      <c r="J3" s="3" t="s">
        <v>653</v>
      </c>
    </row>
    <row r="4" customFormat="false" ht="15" hidden="false" customHeight="false" outlineLevel="0" collapsed="false">
      <c r="A4" s="2" t="s">
        <v>13</v>
      </c>
      <c r="B4" s="8" t="n">
        <f aca="false">COUNTIF(CohortData!$C$4:$C$603,A4)</f>
        <v>200</v>
      </c>
      <c r="C4" s="8" t="n">
        <f aca="false">COUNTIFS(CohortData!$C$4:$C$603,A4,CohortData!$H$4:$H$603,TRUE())</f>
        <v>188</v>
      </c>
      <c r="D4" s="8" t="n">
        <f aca="false">SUMIF(CohortData!$C$4:$C$603,A4,ReserveRollforward!$B$4:$B$603)</f>
        <v>22664155.8</v>
      </c>
      <c r="E4" s="6" t="n">
        <f aca="false">SUMIFS(ReserveRollforward!$C$4:$C$603,CohortData!$C$4:$C$603,A4,CohortData!$H$4:$H$603,TRUE())</f>
        <v>2828072.96</v>
      </c>
      <c r="F4" s="6" t="n">
        <f aca="false">AVERAGEIF(CohortData!$C$4:$C$603,A4,ReserveRollforward!$H$4:$H$603)</f>
        <v>143220.837</v>
      </c>
      <c r="G4" s="6" t="n">
        <f aca="false">AVERAGEIFS(ReserveRollforward!$H$4:$H$603,CohortData!$C$4:$C$603,A4,CohortData!$H$4:$H$603,TRUE())</f>
        <v>143532.418989362</v>
      </c>
      <c r="H4" s="6" t="n">
        <f aca="false">_xlfn.MINIFS(ReserveRollforward!$H$4:$H$603,CohortData!$C$4:$C$603,A4)</f>
        <v>46020</v>
      </c>
      <c r="I4" s="6" t="n">
        <f aca="false">_xlfn.MAXIFS(ReserveRollforward!$H$4:$H$603,CohortData!$C$4:$C$603,A4)</f>
        <v>286079.67</v>
      </c>
      <c r="J4" s="6" t="n">
        <f aca="false">SUMIF(CohortData!$C$4:$C$603,A4,ReserveRollforward!$H$4:$H$603)</f>
        <v>28644167.4</v>
      </c>
    </row>
    <row r="5" customFormat="false" ht="15" hidden="false" customHeight="false" outlineLevel="0" collapsed="false">
      <c r="A5" s="2" t="s">
        <v>17</v>
      </c>
      <c r="B5" s="8" t="n">
        <f aca="false">COUNTIF(CohortData!$C$4:$C$603,A5)</f>
        <v>200</v>
      </c>
      <c r="C5" s="8" t="n">
        <f aca="false">COUNTIFS(CohortData!$C$4:$C$603,A5,CohortData!$H$4:$H$603,TRUE())</f>
        <v>188</v>
      </c>
      <c r="D5" s="8" t="n">
        <f aca="false">SUMIF(CohortData!$C$4:$C$603,A5,ReserveRollforward!$B$4:$B$603)</f>
        <v>25773993</v>
      </c>
      <c r="E5" s="6" t="n">
        <f aca="false">SUMIFS(ReserveRollforward!$C$4:$C$603,CohortData!$C$4:$C$603,A5,CohortData!$H$4:$H$603,TRUE())</f>
        <v>3246485.2</v>
      </c>
      <c r="F5" s="6" t="n">
        <f aca="false">AVERAGEIF(CohortData!$C$4:$C$603,A5,ReserveRollforward!$H$4:$H$603)</f>
        <v>162348.0205</v>
      </c>
      <c r="G5" s="6" t="n">
        <f aca="false">AVERAGEIFS(ReserveRollforward!$H$4:$H$603,CohortData!$C$4:$C$603,A5,CohortData!$H$4:$H$603,TRUE())</f>
        <v>164128.161702128</v>
      </c>
      <c r="H5" s="6" t="n">
        <f aca="false">_xlfn.MINIFS(ReserveRollforward!$H$4:$H$603,CohortData!$C$4:$C$603,A5)</f>
        <v>51700</v>
      </c>
      <c r="I5" s="6" t="n">
        <f aca="false">_xlfn.MAXIFS(ReserveRollforward!$H$4:$H$603,CohortData!$C$4:$C$603,A5)</f>
        <v>328775</v>
      </c>
      <c r="J5" s="6" t="n">
        <f aca="false">SUMIF(CohortData!$C$4:$C$603,A5,ReserveRollforward!$H$4:$H$603)</f>
        <v>32469604.1</v>
      </c>
    </row>
    <row r="6" customFormat="false" ht="15" hidden="false" customHeight="false" outlineLevel="0" collapsed="false">
      <c r="A6" s="2" t="s">
        <v>20</v>
      </c>
      <c r="B6" s="8" t="n">
        <f aca="false">COUNTIF(CohortData!$C$4:$C$603,A6)</f>
        <v>200</v>
      </c>
      <c r="C6" s="8" t="n">
        <f aca="false">COUNTIFS(CohortData!$C$4:$C$603,A6,CohortData!$H$4:$H$603,TRUE())</f>
        <v>189</v>
      </c>
      <c r="D6" s="8" t="n">
        <f aca="false">SUMIF(CohortData!$C$4:$C$603,A6,ReserveRollforward!$B$4:$B$603)</f>
        <v>20260465.5</v>
      </c>
      <c r="E6" s="6" t="n">
        <f aca="false">SUMIFS(ReserveRollforward!$C$4:$C$603,CohortData!$C$4:$C$603,A6,CohortData!$H$4:$H$603,TRUE())</f>
        <v>2541275</v>
      </c>
      <c r="F6" s="6" t="n">
        <f aca="false">AVERAGEIF(CohortData!$C$4:$C$603,A6,ReserveRollforward!$H$4:$H$603)</f>
        <v>128715.23205</v>
      </c>
      <c r="G6" s="6" t="n">
        <f aca="false">AVERAGEIFS(ReserveRollforward!$H$4:$H$603,CohortData!$C$4:$C$603,A6,CohortData!$H$4:$H$603,TRUE())</f>
        <v>128941.869047619</v>
      </c>
      <c r="H6" s="6" t="n">
        <f aca="false">_xlfn.MINIFS(ReserveRollforward!$H$4:$H$603,CohortData!$C$4:$C$603,A6)</f>
        <v>42692</v>
      </c>
      <c r="I6" s="6" t="n">
        <f aca="false">_xlfn.MAXIFS(ReserveRollforward!$H$4:$H$603,CohortData!$C$4:$C$603,A6)</f>
        <v>252963.87</v>
      </c>
      <c r="J6" s="6" t="n">
        <f aca="false">SUMIF(CohortData!$C$4:$C$603,A6,ReserveRollforward!$H$4:$H$603)</f>
        <v>25743046.41</v>
      </c>
    </row>
    <row r="7" customFormat="false" ht="15" hidden="false" customHeight="false" outlineLevel="0" collapsed="false">
      <c r="A7" s="2"/>
      <c r="B7" s="2"/>
      <c r="C7" s="2"/>
      <c r="D7" s="2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9" t="s">
        <v>667</v>
      </c>
      <c r="B8" s="10" t="n">
        <f aca="false">SUM(B4:B6)</f>
        <v>600</v>
      </c>
      <c r="C8" s="10" t="n">
        <f aca="false">SUM(C4:C6)</f>
        <v>565</v>
      </c>
      <c r="D8" s="10" t="n">
        <f aca="false">SUM(D4:D6)</f>
        <v>68698614.3</v>
      </c>
      <c r="E8" s="11" t="n">
        <f aca="false">SUM(E4:E6)</f>
        <v>8615833.16</v>
      </c>
      <c r="F8" s="11" t="n">
        <f aca="false">SUM(F4:F6)</f>
        <v>434284.08955</v>
      </c>
      <c r="G8" s="11" t="n">
        <f aca="false">SUM(G4:G6)</f>
        <v>436602.449739108</v>
      </c>
      <c r="H8" s="11" t="n">
        <f aca="false">SUM(H4:H6)</f>
        <v>140412</v>
      </c>
      <c r="I8" s="11" t="n">
        <f aca="false">SUM(I4:I6)</f>
        <v>867818.54</v>
      </c>
      <c r="J8" s="11" t="n">
        <f aca="false">SUM(J4:J4,J6:J6)</f>
        <v>86856817.91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tru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2"/>
  </cols>
  <sheetData>
    <row r="1" customFormat="false" ht="24" hidden="false" customHeight="true" outlineLevel="0" collapsed="false">
      <c r="A1" s="1" t="s">
        <v>668</v>
      </c>
      <c r="B1" s="2"/>
      <c r="C1" s="2"/>
    </row>
    <row r="2" customFormat="false" ht="15" hidden="false" customHeight="false" outlineLevel="0" collapsed="false">
      <c r="A2" s="2" t="s">
        <v>669</v>
      </c>
      <c r="B2" s="2"/>
      <c r="C2" s="2"/>
    </row>
    <row r="3" customFormat="false" ht="15" hidden="false" customHeight="false" outlineLevel="0" collapsed="false">
      <c r="A3" s="3" t="s">
        <v>670</v>
      </c>
      <c r="B3" s="3" t="s">
        <v>671</v>
      </c>
      <c r="C3" s="3" t="s">
        <v>672</v>
      </c>
    </row>
    <row r="4" customFormat="false" ht="15" hidden="false" customHeight="false" outlineLevel="0" collapsed="false">
      <c r="A4" s="2" t="s">
        <v>673</v>
      </c>
      <c r="B4" s="2" t="s">
        <v>649</v>
      </c>
      <c r="C4" s="6" t="n">
        <f aca="false">-SUM(ReserveRollforward!B4:B603)</f>
        <v>-68698614.3</v>
      </c>
    </row>
    <row r="5" customFormat="false" ht="15" hidden="false" customHeight="false" outlineLevel="0" collapsed="false">
      <c r="A5" s="2" t="s">
        <v>674</v>
      </c>
      <c r="B5" s="2" t="s">
        <v>675</v>
      </c>
      <c r="C5" s="6" t="n">
        <f aca="false">-SUM(ReserveRollforward!C4:C603)</f>
        <v>-8615833.16</v>
      </c>
    </row>
    <row r="6" customFormat="false" ht="15" hidden="false" customHeight="false" outlineLevel="0" collapsed="false">
      <c r="A6" s="2" t="s">
        <v>676</v>
      </c>
      <c r="B6" s="2" t="s">
        <v>677</v>
      </c>
      <c r="C6" s="6" t="n">
        <f aca="false">-SUM(ReserveRollforward!F4:F603)</f>
        <v>-1030479.41</v>
      </c>
    </row>
    <row r="7" customFormat="false" ht="15" hidden="false" customHeight="false" outlineLevel="0" collapsed="false">
      <c r="A7" s="2" t="s">
        <v>678</v>
      </c>
      <c r="B7" s="2" t="s">
        <v>652</v>
      </c>
      <c r="C7" s="6" t="n">
        <f aca="false">-SUM(ReserveRollforward!G4:G603)</f>
        <v>-2433696.3</v>
      </c>
    </row>
    <row r="8" customFormat="false" ht="15" hidden="false" customHeight="false" outlineLevel="0" collapsed="false">
      <c r="A8" s="2" t="s">
        <v>679</v>
      </c>
      <c r="B8" s="2" t="s">
        <v>653</v>
      </c>
      <c r="C8" s="6" t="n">
        <f aca="false">-SUM(ReserveRollforward!H4:H603)</f>
        <v>-86856817.91</v>
      </c>
    </row>
    <row r="9" customFormat="false" ht="15" hidden="false" customHeight="false" outlineLevel="0" collapsed="false">
      <c r="A9" s="2" t="s">
        <v>680</v>
      </c>
      <c r="B9" s="2" t="s">
        <v>681</v>
      </c>
      <c r="C9" s="7" t="n">
        <f aca="false">SUM(C4:C8)+OFFSET(Controls!B4,0,0)</f>
        <v>-167635441.08</v>
      </c>
    </row>
    <row r="10">
      <c r="A10" t="inlineStr" s="2">
        <is>
          <t>SYN-2150</t>
        </is>
      </c>
      <c r="B10" t="inlineStr" s="2">
        <is>
          <t>Expense movement output</t>
        </is>
      </c>
      <c r="C10" s="7">
        <f>-SUM(ReserveRollforward!D4:D603)</f>
        <v>-3673743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4" hidden="false" customHeight="true" outlineLevel="0" collapsed="false">
      <c r="A1" s="1" t="s">
        <v>682</v>
      </c>
      <c r="B1" s="2"/>
    </row>
    <row r="2" customFormat="false" ht="15" hidden="false" customHeight="false" outlineLevel="0" collapsed="false">
      <c r="A2" s="2" t="s">
        <v>683</v>
      </c>
      <c r="B2" s="2"/>
    </row>
    <row r="3" customFormat="false" ht="15" hidden="false" customHeight="false" outlineLevel="0" collapsed="false">
      <c r="A3" s="3" t="s">
        <v>684</v>
      </c>
      <c r="B3" s="3" t="s">
        <v>685</v>
      </c>
    </row>
    <row r="4" customFormat="false" ht="15" hidden="false" customHeight="false" outlineLevel="0" collapsed="false">
      <c r="A4" s="2" t="s">
        <v>686</v>
      </c>
      <c r="B4" s="8" t="n">
        <f aca="false">AccountingBridge!C8+SUM(ReserveRollforward!H4:H603)</f>
        <v>0</v>
      </c>
    </row>
    <row r="5" customFormat="false" ht="15" hidden="false" customHeight="false" outlineLevel="0" collapsed="false">
      <c r="A5" s="2" t="s">
        <v>687</v>
      </c>
      <c r="B5" s="8" t="n">
        <f aca="false">AccountingBridge!C4+SUM(ReserveRollforward!B4:B603)</f>
        <v>0</v>
      </c>
    </row>
    <row r="6" customFormat="false" ht="15" hidden="false" customHeight="false" outlineLevel="0" collapsed="false">
      <c r="A6" s="2" t="s">
        <v>688</v>
      </c>
      <c r="B6" s="8" t="n">
        <f aca="false">AccountingBridge!C9-SUM(AccountingBridge!C4:C8)</f>
        <v>0</v>
      </c>
    </row>
    <row r="7" customFormat="false" ht="15" hidden="false" customHeight="false" outlineLevel="0" collapsed="false">
      <c r="A7" s="2" t="s">
        <v>689</v>
      </c>
      <c r="B7" s="8" t="n">
        <f aca="false">ROUND(Aggregation!J8-SUM(ReserveRollforward!H4:H603),2)</f>
        <v>0</v>
      </c>
    </row>
    <row r="8" customFormat="false" ht="15" hidden="false" customHeight="false" outlineLevel="0" collapsed="false">
      <c r="A8" s="2" t="s">
        <v>690</v>
      </c>
      <c r="B8" s="12" t="n">
        <f aca="false">ABS(B4)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  <col collapsed="false" customWidth="true" hidden="false" outlineLevel="0" max="3" min="3" style="0" width="24"/>
  </cols>
  <sheetData>
    <row r="1" customFormat="false" ht="24" hidden="false" customHeight="true" outlineLevel="0" collapsed="false">
      <c r="A1" s="1" t="s">
        <v>691</v>
      </c>
      <c r="B1" s="2"/>
      <c r="C1" s="2"/>
    </row>
    <row r="2" customFormat="false" ht="15" hidden="false" customHeight="false" outlineLevel="0" collapsed="false">
      <c r="A2" s="2" t="s">
        <v>692</v>
      </c>
      <c r="B2" s="2" t="s">
        <v>693</v>
      </c>
      <c r="C2" s="2"/>
    </row>
    <row r="3" customFormat="false" ht="15" hidden="false" customHeight="false" outlineLevel="0" collapsed="false">
      <c r="A3" s="2" t="s">
        <v>694</v>
      </c>
      <c r="B3" s="2" t="s">
        <v>695</v>
      </c>
      <c r="C3" s="2"/>
    </row>
    <row r="4" customFormat="false" ht="15" hidden="false" customHeight="false" outlineLevel="0" collapsed="false">
      <c r="A4" s="2" t="s">
        <v>696</v>
      </c>
      <c r="B4" s="2" t="s">
        <v>697</v>
      </c>
      <c r="C4" s="2"/>
    </row>
    <row r="5" customFormat="false" ht="15" hidden="false" customHeight="false" outlineLevel="0" collapsed="false">
      <c r="A5" s="2" t="s">
        <v>698</v>
      </c>
      <c r="B5" s="2" t="s">
        <v>699</v>
      </c>
      <c r="C5" s="2"/>
    </row>
    <row r="6" customFormat="false" ht="15" hidden="false" customHeight="false" outlineLevel="0" collapsed="false">
      <c r="A6" s="2"/>
      <c r="B6" s="2"/>
      <c r="C6" s="2"/>
    </row>
    <row r="7" customFormat="false" ht="15" hidden="false" customHeight="false" outlineLevel="0" collapsed="false">
      <c r="A7" s="2" t="s">
        <v>700</v>
      </c>
      <c r="B7" s="2" t="s">
        <v>701</v>
      </c>
      <c r="C7" s="2" t="s">
        <v>702</v>
      </c>
    </row>
    <row r="8" customFormat="false" ht="15" hidden="false" customHeight="false" outlineLevel="0" collapsed="false">
      <c r="A8" s="2" t="s">
        <v>703</v>
      </c>
      <c r="B8" s="2" t="s">
        <v>649</v>
      </c>
      <c r="C8" s="2" t="n">
        <v>-68698614.3</v>
      </c>
    </row>
    <row r="9" customFormat="false" ht="15" hidden="false" customHeight="false" outlineLevel="0" collapsed="false">
      <c r="A9" s="2" t="s">
        <v>704</v>
      </c>
      <c r="B9" s="2" t="s">
        <v>675</v>
      </c>
      <c r="C9" s="2" t="n">
        <v>-8615833.16</v>
      </c>
    </row>
    <row r="10" customFormat="false" ht="15" hidden="false" customHeight="false" outlineLevel="0" collapsed="false">
      <c r="A10" s="2" t="s">
        <v>705</v>
      </c>
      <c r="B10" s="2" t="s">
        <v>677</v>
      </c>
      <c r="C10" s="2" t="n">
        <v>-1030479.41</v>
      </c>
    </row>
    <row r="11" customFormat="false" ht="15" hidden="false" customHeight="false" outlineLevel="0" collapsed="false">
      <c r="A11" s="2" t="s">
        <v>706</v>
      </c>
      <c r="B11" s="2" t="s">
        <v>652</v>
      </c>
      <c r="C11" s="2" t="n">
        <v>-2433696.3</v>
      </c>
    </row>
    <row r="12" customFormat="false" ht="15" hidden="false" customHeight="false" outlineLevel="0" collapsed="false">
      <c r="A12" s="2" t="s">
        <v>707</v>
      </c>
      <c r="B12" s="2" t="s">
        <v>653</v>
      </c>
      <c r="C12" s="2" t="n">
        <v>-86856817.91</v>
      </c>
    </row>
    <row r="13" customFormat="false" ht="15" hidden="false" customHeight="false" outlineLevel="0" collapsed="false">
      <c r="A13" s="2" t="s">
        <v>699</v>
      </c>
      <c r="B13" s="2" t="s">
        <v>681</v>
      </c>
      <c r="C13" s="2" t="n">
        <v>-167635441.08</v>
      </c>
    </row>
    <row r="14" customFormat="false" ht="15" hidden="false" customHeight="false" outlineLevel="0" collapsed="false">
      <c r="A14" s="2"/>
      <c r="B14" s="2"/>
      <c r="C14" s="2"/>
    </row>
    <row r="15" customFormat="false" ht="15" hidden="false" customHeight="false" outlineLevel="0" collapsed="false">
      <c r="A15" s="2" t="s">
        <v>708</v>
      </c>
      <c r="B15" s="2"/>
      <c r="C15" s="2"/>
    </row>
    <row r="16" customFormat="false" ht="15" hidden="false" customHeight="false" outlineLevel="0" collapsed="false">
      <c r="A16" s="2" t="s">
        <v>709</v>
      </c>
      <c r="B16" s="2" t="s">
        <v>710</v>
      </c>
      <c r="C16" s="2"/>
    </row>
    <row r="17" customFormat="false" ht="15" hidden="false" customHeight="false" outlineLevel="0" collapsed="false">
      <c r="A17" s="2" t="s">
        <v>711</v>
      </c>
      <c r="B17" s="2" t="s">
        <v>712</v>
      </c>
      <c r="C17" s="2"/>
    </row>
    <row r="18" customFormat="false" ht="15" hidden="false" customHeight="false" outlineLevel="0" collapsed="false">
      <c r="A18" s="2" t="s">
        <v>713</v>
      </c>
      <c r="B18" s="2" t="s">
        <v>714</v>
      </c>
      <c r="C18" s="2"/>
    </row>
    <row r="19" customFormat="false" ht="15" hidden="false" customHeight="false" outlineLevel="0" collapsed="false">
      <c r="A19" s="2" t="s">
        <v>715</v>
      </c>
      <c r="B19" s="2" t="s">
        <v>716</v>
      </c>
      <c r="C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2026-09-14T14:20:04Z</dcterms:created>
  <dc:creator>openpyxl</dc:creator>
  <dc:description/>
  <dc:language>fr-BE</dc:language>
  <cp:lastModifiedBy/>
  <dcterms:modified xsi:type="dcterms:W3CDTF">2026-09-14T14:20:08Z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